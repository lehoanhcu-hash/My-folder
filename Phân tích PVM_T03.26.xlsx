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ml.chartshapes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ml.chartshapes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ml.chartshapes+xml"/>
  <Override PartName="/xl/charts/chart16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ml.chartshapes+xml"/>
  <Override PartName="/xl/charts/chart1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ml.chartshape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hHD\OneDrive - DuyTan Group\Work\Accounting\2026\Tháng 03\"/>
    </mc:Choice>
  </mc:AlternateContent>
  <xr:revisionPtr revIDLastSave="0" documentId="13_ncr:1_{700E15D1-78B7-410F-A880-9555D933C93D}" xr6:coauthVersionLast="47" xr6:coauthVersionMax="47" xr10:uidLastSave="{00000000-0000-0000-0000-000000000000}"/>
  <bookViews>
    <workbookView xWindow="-108" yWindow="-108" windowWidth="30936" windowHeight="18696" tabRatio="890" activeTab="9" xr2:uid="{04F2CB0D-BF99-408C-AF7F-C7B3D4D73C10}"/>
  </bookViews>
  <sheets>
    <sheet name="&gt;&gt;Mth" sheetId="10" r:id="rId1"/>
    <sheet name="BĐ-Dthu EXW" sheetId="1" r:id="rId2"/>
    <sheet name="BĐ-Dthu EXW-v2" sheetId="2" r:id="rId3"/>
    <sheet name="." sheetId="6" r:id="rId4"/>
    <sheet name="BĐ-LG EXW" sheetId="3" r:id="rId5"/>
    <sheet name="BĐ-LG EXW-v2" sheetId="4" r:id="rId6"/>
    <sheet name="||" sheetId="7" r:id="rId7"/>
    <sheet name="BĐ-PL" sheetId="11" r:id="rId8"/>
    <sheet name="Giải trình" sheetId="8" r:id="rId9"/>
    <sheet name="KH-SP lỗ" sheetId="13" r:id="rId10"/>
  </sheets>
  <definedNames>
    <definedName name="mth">'&gt;&gt;Mth'!$B$2</definedName>
    <definedName name="year">'&gt;&gt;Mth'!$B$1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3" l="1"/>
  <c r="H29" i="13"/>
  <c r="I29" i="13" s="1"/>
  <c r="J29" i="13" s="1"/>
  <c r="L28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H24" i="13"/>
  <c r="I24" i="13" s="1"/>
  <c r="J24" i="13" s="1"/>
  <c r="M24" i="13" s="1"/>
  <c r="N24" i="13" s="1"/>
  <c r="L24" i="13"/>
  <c r="H25" i="13"/>
  <c r="I25" i="13" s="1"/>
  <c r="J25" i="13" s="1"/>
  <c r="H23" i="13"/>
  <c r="I23" i="13" s="1"/>
  <c r="J23" i="13" s="1"/>
  <c r="H22" i="13"/>
  <c r="I22" i="13" s="1"/>
  <c r="J22" i="13" s="1"/>
  <c r="H21" i="13"/>
  <c r="I21" i="13" s="1"/>
  <c r="J21" i="13" s="1"/>
  <c r="H20" i="13"/>
  <c r="I20" i="13" s="1"/>
  <c r="J20" i="13" s="1"/>
  <c r="H19" i="13"/>
  <c r="I19" i="13" s="1"/>
  <c r="J19" i="13" s="1"/>
  <c r="H18" i="13"/>
  <c r="I18" i="13" s="1"/>
  <c r="J18" i="13" s="1"/>
  <c r="H17" i="13"/>
  <c r="I17" i="13" s="1"/>
  <c r="J17" i="13" s="1"/>
  <c r="H16" i="13"/>
  <c r="I16" i="13" s="1"/>
  <c r="J16" i="13" s="1"/>
  <c r="H15" i="13"/>
  <c r="I15" i="13" s="1"/>
  <c r="J15" i="13" s="1"/>
  <c r="H14" i="13"/>
  <c r="I14" i="13" s="1"/>
  <c r="J14" i="13" s="1"/>
  <c r="H13" i="13"/>
  <c r="I13" i="13" s="1"/>
  <c r="J13" i="13" s="1"/>
  <c r="H12" i="13"/>
  <c r="I12" i="13" s="1"/>
  <c r="J12" i="13" s="1"/>
  <c r="H11" i="13"/>
  <c r="I11" i="13" s="1"/>
  <c r="J11" i="13" s="1"/>
  <c r="H10" i="13"/>
  <c r="I10" i="13" s="1"/>
  <c r="J10" i="13" s="1"/>
  <c r="H9" i="13"/>
  <c r="I9" i="13" s="1"/>
  <c r="J9" i="13" s="1"/>
  <c r="H8" i="13"/>
  <c r="I8" i="13" s="1"/>
  <c r="J8" i="13" s="1"/>
  <c r="V22" i="3"/>
  <c r="J74" i="3"/>
  <c r="K74" i="3"/>
  <c r="Q78" i="3"/>
  <c r="Q76" i="3"/>
  <c r="Q74" i="3"/>
  <c r="Q72" i="3"/>
  <c r="P78" i="3"/>
  <c r="P76" i="3"/>
  <c r="P74" i="3"/>
  <c r="P72" i="3"/>
  <c r="Q70" i="3"/>
  <c r="P70" i="3"/>
  <c r="V83" i="3"/>
  <c r="V79" i="3"/>
  <c r="V77" i="3"/>
  <c r="V75" i="3"/>
  <c r="V73" i="3"/>
  <c r="V71" i="3"/>
  <c r="H83" i="3"/>
  <c r="E75" i="3"/>
  <c r="F75" i="3"/>
  <c r="F74" i="3"/>
  <c r="AA74" i="3"/>
  <c r="D23" i="11"/>
  <c r="D22" i="11"/>
  <c r="D21" i="11"/>
  <c r="E20" i="11"/>
  <c r="D19" i="11"/>
  <c r="D18" i="11"/>
  <c r="E17" i="11"/>
  <c r="AA10" i="3"/>
  <c r="Q17" i="3"/>
  <c r="Q16" i="3"/>
  <c r="Q14" i="3"/>
  <c r="Q13" i="3"/>
  <c r="Q11" i="3"/>
  <c r="Q10" i="3"/>
  <c r="P17" i="3"/>
  <c r="P16" i="3"/>
  <c r="P14" i="3"/>
  <c r="P13" i="3"/>
  <c r="P11" i="3"/>
  <c r="P10" i="3"/>
  <c r="C36" i="4"/>
  <c r="C35" i="4"/>
  <c r="C34" i="4"/>
  <c r="C33" i="4"/>
  <c r="C32" i="4"/>
  <c r="B36" i="4"/>
  <c r="B35" i="4"/>
  <c r="B34" i="4"/>
  <c r="B33" i="4"/>
  <c r="B32" i="4"/>
  <c r="V17" i="3"/>
  <c r="V14" i="3"/>
  <c r="V11" i="3"/>
  <c r="V8" i="3"/>
  <c r="V5" i="3"/>
  <c r="D35" i="13"/>
  <c r="D40" i="13" s="1"/>
  <c r="Q8" i="3"/>
  <c r="P8" i="3"/>
  <c r="Q7" i="3"/>
  <c r="P7" i="3"/>
  <c r="Q5" i="3"/>
  <c r="P5" i="3"/>
  <c r="Q4" i="3"/>
  <c r="P4" i="3"/>
  <c r="L14" i="1"/>
  <c r="AF8" i="1"/>
  <c r="AA8" i="1"/>
  <c r="M14" i="1"/>
  <c r="D24" i="2"/>
  <c r="H53" i="2" a="1"/>
  <c r="H53" i="2" s="1"/>
  <c r="K7" i="2"/>
  <c r="M29" i="13" l="1"/>
  <c r="N29" i="13" s="1"/>
  <c r="E44" i="13"/>
  <c r="E43" i="13"/>
  <c r="E42" i="13"/>
  <c r="E41" i="13"/>
  <c r="C34" i="2"/>
  <c r="C33" i="2"/>
  <c r="C32" i="2"/>
  <c r="C31" i="2"/>
  <c r="C30" i="2"/>
  <c r="H28" i="13"/>
  <c r="G26" i="13"/>
  <c r="E26" i="13"/>
  <c r="H7" i="13"/>
  <c r="H6" i="13"/>
  <c r="H5" i="13"/>
  <c r="E45" i="13" l="1"/>
  <c r="I6" i="13"/>
  <c r="J6" i="13" s="1"/>
  <c r="I7" i="13"/>
  <c r="J7" i="13" s="1"/>
  <c r="I5" i="13"/>
  <c r="I28" i="13"/>
  <c r="J28" i="13" s="1"/>
  <c r="M28" i="13" s="1"/>
  <c r="N28" i="13" s="1"/>
  <c r="L25" i="13" l="1"/>
  <c r="M25" i="13" s="1"/>
  <c r="N25" i="13" s="1"/>
  <c r="L8" i="13"/>
  <c r="M8" i="13" s="1"/>
  <c r="N8" i="13" s="1"/>
  <c r="L23" i="13"/>
  <c r="M23" i="13" s="1"/>
  <c r="N23" i="13" s="1"/>
  <c r="L22" i="13"/>
  <c r="M22" i="13" s="1"/>
  <c r="N22" i="13" s="1"/>
  <c r="L21" i="13"/>
  <c r="M21" i="13" s="1"/>
  <c r="N21" i="13" s="1"/>
  <c r="L20" i="13"/>
  <c r="M20" i="13" s="1"/>
  <c r="N20" i="13" s="1"/>
  <c r="L14" i="13"/>
  <c r="M14" i="13" s="1"/>
  <c r="N14" i="13" s="1"/>
  <c r="L19" i="13"/>
  <c r="M19" i="13" s="1"/>
  <c r="N19" i="13" s="1"/>
  <c r="L18" i="13"/>
  <c r="M18" i="13" s="1"/>
  <c r="N18" i="13" s="1"/>
  <c r="L13" i="13"/>
  <c r="M13" i="13" s="1"/>
  <c r="N13" i="13" s="1"/>
  <c r="L17" i="13"/>
  <c r="M17" i="13" s="1"/>
  <c r="N17" i="13" s="1"/>
  <c r="L12" i="13"/>
  <c r="M12" i="13" s="1"/>
  <c r="N12" i="13" s="1"/>
  <c r="L16" i="13"/>
  <c r="M16" i="13" s="1"/>
  <c r="N16" i="13" s="1"/>
  <c r="L15" i="13"/>
  <c r="M15" i="13" s="1"/>
  <c r="N15" i="13" s="1"/>
  <c r="L11" i="13"/>
  <c r="M11" i="13" s="1"/>
  <c r="N11" i="13" s="1"/>
  <c r="L10" i="13"/>
  <c r="M10" i="13" s="1"/>
  <c r="N10" i="13" s="1"/>
  <c r="L9" i="13"/>
  <c r="M9" i="13" s="1"/>
  <c r="N9" i="13" s="1"/>
  <c r="L7" i="13"/>
  <c r="M7" i="13" s="1"/>
  <c r="N7" i="13" s="1"/>
  <c r="L6" i="13"/>
  <c r="M6" i="13" s="1"/>
  <c r="N6" i="13" s="1"/>
  <c r="L5" i="13"/>
  <c r="J5" i="13"/>
  <c r="I26" i="13"/>
  <c r="L26" i="13" l="1"/>
  <c r="M5" i="13"/>
  <c r="J26" i="13"/>
  <c r="K26" i="13" s="1"/>
  <c r="N5" i="13" l="1"/>
  <c r="M26" i="13"/>
  <c r="N26" i="13" s="1"/>
  <c r="AC12" i="1" l="1"/>
  <c r="C41" i="2"/>
  <c r="C40" i="2"/>
  <c r="C39" i="2"/>
  <c r="C38" i="2"/>
  <c r="C37" i="2"/>
  <c r="C36" i="2"/>
  <c r="B34" i="2"/>
  <c r="B33" i="2"/>
  <c r="B32" i="2"/>
  <c r="B31" i="2"/>
  <c r="D31" i="2" s="1"/>
  <c r="B30" i="2"/>
  <c r="M4" i="1"/>
  <c r="AA4" i="1"/>
  <c r="C25" i="8" l="1"/>
  <c r="C10" i="8"/>
  <c r="D9" i="8"/>
  <c r="D8" i="8"/>
  <c r="D7" i="8"/>
  <c r="D6" i="8"/>
  <c r="D5" i="8"/>
  <c r="A5" i="8"/>
  <c r="A6" i="8" s="1"/>
  <c r="A7" i="8" s="1"/>
  <c r="A8" i="8" s="1"/>
  <c r="A9" i="8" s="1"/>
  <c r="A10" i="8" s="1"/>
  <c r="D4" i="8"/>
  <c r="D10" i="8" s="1"/>
  <c r="A24" i="11" l="1"/>
  <c r="A15" i="11"/>
  <c r="D10" i="11"/>
  <c r="E10" i="11" s="1"/>
  <c r="D9" i="11"/>
  <c r="E9" i="11" s="1"/>
  <c r="D8" i="11"/>
  <c r="G21" i="11" s="1"/>
  <c r="D7" i="11"/>
  <c r="E7" i="11" s="1"/>
  <c r="D6" i="11"/>
  <c r="G19" i="11" s="1"/>
  <c r="D5" i="11"/>
  <c r="E5" i="11" s="1"/>
  <c r="D4" i="11"/>
  <c r="E4" i="11" s="1"/>
  <c r="J19" i="11" l="1"/>
  <c r="I19" i="11"/>
  <c r="J21" i="11"/>
  <c r="I21" i="11"/>
  <c r="G18" i="11"/>
  <c r="G22" i="11"/>
  <c r="G23" i="11"/>
  <c r="G17" i="11"/>
  <c r="G20" i="11"/>
  <c r="E6" i="11"/>
  <c r="E8" i="11"/>
  <c r="J20" i="11" l="1"/>
  <c r="I20" i="11"/>
  <c r="J23" i="11"/>
  <c r="I23" i="11"/>
  <c r="I22" i="11"/>
  <c r="J22" i="11"/>
  <c r="J18" i="11"/>
  <c r="I18" i="11"/>
  <c r="J17" i="11"/>
  <c r="I17" i="11"/>
  <c r="G85" i="3"/>
  <c r="G31" i="3" l="1"/>
  <c r="C31" i="3" l="1"/>
  <c r="I17" i="1" l="1"/>
  <c r="G20" i="1"/>
  <c r="Q38" i="1" l="1"/>
  <c r="G27" i="3"/>
  <c r="C25" i="2"/>
  <c r="Q26" i="1"/>
  <c r="A98" i="4"/>
  <c r="B139" i="4" s="1"/>
  <c r="A79" i="4"/>
  <c r="B133" i="4" s="1"/>
  <c r="A22" i="3"/>
  <c r="A83" i="3" s="1"/>
  <c r="A3" i="3"/>
  <c r="A69" i="3" s="1"/>
  <c r="A65" i="2"/>
  <c r="A46" i="2"/>
  <c r="C15" i="2"/>
  <c r="B15" i="2"/>
  <c r="C14" i="2"/>
  <c r="B14" i="2"/>
  <c r="C13" i="2"/>
  <c r="B13" i="2"/>
  <c r="C12" i="2"/>
  <c r="B12" i="2"/>
  <c r="C11" i="2"/>
  <c r="B11" i="2"/>
  <c r="D36" i="2"/>
  <c r="E36" i="2" s="1"/>
  <c r="C28" i="4" l="1"/>
  <c r="B106" i="2"/>
  <c r="B100" i="2"/>
  <c r="C58" i="4" l="1"/>
  <c r="P85" i="3"/>
  <c r="P47" i="1"/>
  <c r="B9" i="2" s="1"/>
  <c r="Q44" i="1"/>
  <c r="P43" i="1"/>
  <c r="B5" i="2" s="1"/>
  <c r="Q43" i="1"/>
  <c r="Q47" i="1"/>
  <c r="P83" i="3"/>
  <c r="Q84" i="3"/>
  <c r="Q45" i="1"/>
  <c r="Q86" i="3"/>
  <c r="P87" i="3"/>
  <c r="P86" i="3"/>
  <c r="Q83" i="3"/>
  <c r="P46" i="1"/>
  <c r="B8" i="2" s="1"/>
  <c r="P84" i="3"/>
  <c r="P45" i="1"/>
  <c r="B7" i="2" s="1"/>
  <c r="Q87" i="3"/>
  <c r="Q85" i="3"/>
  <c r="Q46" i="1"/>
  <c r="P44" i="1"/>
  <c r="B6" i="2" s="1"/>
  <c r="C7" i="2" l="1"/>
  <c r="T45" i="1"/>
  <c r="C9" i="2"/>
  <c r="T47" i="1"/>
  <c r="C5" i="2"/>
  <c r="T43" i="1"/>
  <c r="C6" i="2"/>
  <c r="T44" i="1"/>
  <c r="C8" i="2"/>
  <c r="T46" i="1"/>
  <c r="R85" i="3"/>
  <c r="S85" i="3" s="1"/>
  <c r="R43" i="1"/>
  <c r="S43" i="1" s="1"/>
  <c r="R47" i="1"/>
  <c r="S47" i="1" s="1"/>
  <c r="P48" i="1"/>
  <c r="R84" i="3"/>
  <c r="S84" i="3" s="1"/>
  <c r="R45" i="1"/>
  <c r="S45" i="1" s="1"/>
  <c r="R46" i="1"/>
  <c r="S46" i="1" s="1"/>
  <c r="R87" i="3"/>
  <c r="S87" i="3" s="1"/>
  <c r="R83" i="3"/>
  <c r="S83" i="3" s="1"/>
  <c r="R86" i="3"/>
  <c r="S86" i="3" s="1"/>
  <c r="Q48" i="1"/>
  <c r="R44" i="1"/>
  <c r="S44" i="1" s="1"/>
  <c r="T48" i="1" l="1"/>
  <c r="R48" i="1"/>
  <c r="S48" i="1" s="1"/>
  <c r="C69" i="4" l="1"/>
  <c r="B69" i="4"/>
  <c r="C74" i="4"/>
  <c r="B74" i="4"/>
  <c r="C73" i="4"/>
  <c r="B73" i="4"/>
  <c r="C72" i="4"/>
  <c r="B72" i="4"/>
  <c r="C71" i="4"/>
  <c r="B71" i="4"/>
  <c r="C70" i="4"/>
  <c r="B70" i="4"/>
  <c r="C67" i="4"/>
  <c r="B67" i="4"/>
  <c r="F54" i="4" s="1"/>
  <c r="C66" i="4"/>
  <c r="B66" i="4"/>
  <c r="F53" i="4" s="1"/>
  <c r="C65" i="4"/>
  <c r="B65" i="4"/>
  <c r="C64" i="4"/>
  <c r="B64" i="4"/>
  <c r="C63" i="4"/>
  <c r="B63" i="4"/>
  <c r="B8" i="4"/>
  <c r="C8" i="4"/>
  <c r="B9" i="4"/>
  <c r="B40" i="4" s="1"/>
  <c r="C9" i="4"/>
  <c r="B10" i="4"/>
  <c r="B41" i="4" s="1"/>
  <c r="C10" i="4"/>
  <c r="B11" i="4"/>
  <c r="B42" i="4" s="1"/>
  <c r="C11" i="4"/>
  <c r="C42" i="4" s="1"/>
  <c r="B12" i="4"/>
  <c r="B43" i="4" s="1"/>
  <c r="C12" i="4"/>
  <c r="C43" i="4" s="1"/>
  <c r="D13" i="4"/>
  <c r="B14" i="4"/>
  <c r="C14" i="4"/>
  <c r="B15" i="4"/>
  <c r="C15" i="4"/>
  <c r="B16" i="4"/>
  <c r="C16" i="4"/>
  <c r="B17" i="4"/>
  <c r="C17" i="4"/>
  <c r="B18" i="4"/>
  <c r="C18" i="4"/>
  <c r="B25" i="4"/>
  <c r="B55" i="4" s="1"/>
  <c r="C25" i="4"/>
  <c r="C55" i="4" s="1"/>
  <c r="B26" i="4"/>
  <c r="B56" i="4" s="1"/>
  <c r="C26" i="4"/>
  <c r="C56" i="4" s="1"/>
  <c r="B27" i="4"/>
  <c r="B57" i="4" s="1"/>
  <c r="C27" i="4"/>
  <c r="D32" i="4"/>
  <c r="D33" i="4"/>
  <c r="D34" i="4"/>
  <c r="D35" i="4"/>
  <c r="D36" i="4"/>
  <c r="H53" i="3"/>
  <c r="B4" i="2"/>
  <c r="F5" i="2" s="1"/>
  <c r="U5" i="2" s="1"/>
  <c r="C4" i="2"/>
  <c r="G5" i="2" s="1"/>
  <c r="V5" i="2" s="1"/>
  <c r="D5" i="2"/>
  <c r="E5" i="2" s="1"/>
  <c r="D6" i="2"/>
  <c r="E6" i="2" s="1"/>
  <c r="D7" i="2"/>
  <c r="E7" i="2" s="1"/>
  <c r="D8" i="2"/>
  <c r="E8" i="2" s="1"/>
  <c r="D9" i="2"/>
  <c r="E9" i="2" s="1"/>
  <c r="D10" i="2"/>
  <c r="B17" i="2"/>
  <c r="C17" i="2"/>
  <c r="N5" i="2" s="1"/>
  <c r="B18" i="2"/>
  <c r="C18" i="2"/>
  <c r="N6" i="2" s="1"/>
  <c r="B19" i="2"/>
  <c r="C19" i="2"/>
  <c r="B20" i="2"/>
  <c r="C20" i="2"/>
  <c r="N8" i="2" s="1"/>
  <c r="B21" i="2"/>
  <c r="C21" i="2"/>
  <c r="N9" i="2" s="1"/>
  <c r="D22" i="2"/>
  <c r="O22" i="2" s="1"/>
  <c r="Q22" i="2" s="1"/>
  <c r="D23" i="2"/>
  <c r="O23" i="2" s="1"/>
  <c r="Q23" i="2" s="1"/>
  <c r="O24" i="2"/>
  <c r="Q24" i="2" s="1"/>
  <c r="D30" i="2"/>
  <c r="D32" i="2"/>
  <c r="D33" i="2"/>
  <c r="D34" i="2"/>
  <c r="G52" i="4" l="1"/>
  <c r="N53" i="4"/>
  <c r="E20" i="2"/>
  <c r="F20" i="2" s="1"/>
  <c r="E17" i="2"/>
  <c r="F17" i="2" s="1"/>
  <c r="E21" i="2"/>
  <c r="F21" i="2" s="1"/>
  <c r="E18" i="2"/>
  <c r="F18" i="2" s="1"/>
  <c r="E19" i="2"/>
  <c r="F19" i="2" s="1"/>
  <c r="D67" i="4"/>
  <c r="M24" i="4" s="1"/>
  <c r="O26" i="2"/>
  <c r="H63" i="2" s="1"/>
  <c r="D56" i="4"/>
  <c r="F52" i="4"/>
  <c r="D27" i="4"/>
  <c r="O27" i="4" s="1"/>
  <c r="Q27" i="4" s="1"/>
  <c r="G50" i="4"/>
  <c r="F50" i="4"/>
  <c r="F51" i="4"/>
  <c r="D65" i="4"/>
  <c r="M22" i="4" s="1"/>
  <c r="D64" i="4"/>
  <c r="M21" i="4" s="1"/>
  <c r="M6" i="2"/>
  <c r="E31" i="2"/>
  <c r="D66" i="4"/>
  <c r="M53" i="4" s="1"/>
  <c r="D63" i="4"/>
  <c r="M20" i="4" s="1"/>
  <c r="M9" i="2"/>
  <c r="E34" i="2"/>
  <c r="M5" i="2"/>
  <c r="E30" i="2"/>
  <c r="M8" i="2"/>
  <c r="E33" i="2"/>
  <c r="E32" i="2"/>
  <c r="D10" i="4"/>
  <c r="N52" i="4"/>
  <c r="D11" i="4"/>
  <c r="C41" i="4"/>
  <c r="C22" i="4"/>
  <c r="B23" i="4"/>
  <c r="B53" i="4" s="1"/>
  <c r="B22" i="4"/>
  <c r="B52" i="4" s="1"/>
  <c r="B16" i="2"/>
  <c r="G51" i="4"/>
  <c r="G54" i="4"/>
  <c r="G53" i="4"/>
  <c r="F9" i="2"/>
  <c r="U9" i="2" s="1"/>
  <c r="G9" i="2"/>
  <c r="V9" i="2" s="1"/>
  <c r="N51" i="4"/>
  <c r="G8" i="2"/>
  <c r="V8" i="2" s="1"/>
  <c r="G7" i="2"/>
  <c r="V7" i="2" s="1"/>
  <c r="B21" i="4"/>
  <c r="B51" i="4" s="1"/>
  <c r="C24" i="4"/>
  <c r="N54" i="4"/>
  <c r="C23" i="4"/>
  <c r="D26" i="4"/>
  <c r="O26" i="4" s="1"/>
  <c r="Q26" i="4" s="1"/>
  <c r="C57" i="4"/>
  <c r="D57" i="4" s="1"/>
  <c r="W75" i="3"/>
  <c r="X75" i="3" s="1"/>
  <c r="W13" i="1"/>
  <c r="X13" i="1" s="1"/>
  <c r="R8" i="3"/>
  <c r="Q73" i="3"/>
  <c r="Q90" i="3" s="1"/>
  <c r="Q23" i="1"/>
  <c r="AF10" i="1"/>
  <c r="Q34" i="1"/>
  <c r="AH10" i="1"/>
  <c r="R10" i="1"/>
  <c r="W79" i="3"/>
  <c r="X79" i="3" s="1"/>
  <c r="P73" i="3"/>
  <c r="P90" i="3" s="1"/>
  <c r="AE10" i="1"/>
  <c r="AO13" i="3" s="1"/>
  <c r="P23" i="1"/>
  <c r="P34" i="1"/>
  <c r="Q35" i="1"/>
  <c r="AF12" i="1"/>
  <c r="AH12" i="1"/>
  <c r="R12" i="1"/>
  <c r="Q24" i="1"/>
  <c r="R76" i="3"/>
  <c r="W17" i="1"/>
  <c r="X17" i="1" s="1"/>
  <c r="AH13" i="3"/>
  <c r="R7" i="1"/>
  <c r="W5" i="1"/>
  <c r="W77" i="3"/>
  <c r="X77" i="3" s="1"/>
  <c r="W11" i="3"/>
  <c r="X11" i="3" s="1"/>
  <c r="W5" i="3"/>
  <c r="Q79" i="3"/>
  <c r="Q93" i="3" s="1"/>
  <c r="R17" i="3"/>
  <c r="P77" i="3"/>
  <c r="P92" i="3" s="1"/>
  <c r="R11" i="1"/>
  <c r="W9" i="1"/>
  <c r="X9" i="1" s="1"/>
  <c r="Q21" i="1"/>
  <c r="Q32" i="1"/>
  <c r="AF6" i="1"/>
  <c r="R6" i="1"/>
  <c r="AH6" i="1"/>
  <c r="P32" i="1"/>
  <c r="P21" i="1"/>
  <c r="AE6" i="1"/>
  <c r="AO7" i="3" s="1"/>
  <c r="R78" i="3"/>
  <c r="W14" i="3"/>
  <c r="X14" i="3" s="1"/>
  <c r="R12" i="3"/>
  <c r="J17" i="1"/>
  <c r="W22" i="3"/>
  <c r="X22" i="3" s="1"/>
  <c r="R16" i="3"/>
  <c r="AI16" i="3"/>
  <c r="AM16" i="3"/>
  <c r="AM7" i="3"/>
  <c r="R7" i="3"/>
  <c r="AI7" i="3"/>
  <c r="R70" i="3"/>
  <c r="P71" i="3"/>
  <c r="P89" i="3" s="1"/>
  <c r="P35" i="1"/>
  <c r="P24" i="1"/>
  <c r="AE12" i="1"/>
  <c r="AO16" i="3" s="1"/>
  <c r="W7" i="1"/>
  <c r="X7" i="1" s="1"/>
  <c r="R5" i="1"/>
  <c r="W71" i="3"/>
  <c r="X71" i="3" s="1"/>
  <c r="AH16" i="3"/>
  <c r="P20" i="1"/>
  <c r="AE4" i="1"/>
  <c r="AO4" i="3" s="1"/>
  <c r="P31" i="1"/>
  <c r="R74" i="3"/>
  <c r="R18" i="3"/>
  <c r="R14" i="3"/>
  <c r="AB13" i="3" s="1"/>
  <c r="Q77" i="3"/>
  <c r="Q92" i="3" s="1"/>
  <c r="R11" i="3"/>
  <c r="Q75" i="3"/>
  <c r="Q91" i="3" s="1"/>
  <c r="R6" i="3"/>
  <c r="R9" i="1"/>
  <c r="W83" i="3"/>
  <c r="X83" i="3" s="1"/>
  <c r="R72" i="3"/>
  <c r="W17" i="3"/>
  <c r="X17" i="3" s="1"/>
  <c r="R15" i="3"/>
  <c r="W8" i="3"/>
  <c r="X8" i="3" s="1"/>
  <c r="W11" i="1"/>
  <c r="X11" i="1" s="1"/>
  <c r="R8" i="1"/>
  <c r="AH8" i="1"/>
  <c r="Q22" i="1"/>
  <c r="Q33" i="1"/>
  <c r="C3" i="1"/>
  <c r="P75" i="3"/>
  <c r="P91" i="3" s="1"/>
  <c r="P33" i="1"/>
  <c r="AE8" i="1"/>
  <c r="AO10" i="3" s="1"/>
  <c r="P22" i="1"/>
  <c r="Q71" i="3"/>
  <c r="Q89" i="3" s="1"/>
  <c r="R5" i="3"/>
  <c r="P79" i="3"/>
  <c r="P93" i="3" s="1"/>
  <c r="R9" i="3"/>
  <c r="R13" i="1"/>
  <c r="AM10" i="3"/>
  <c r="R10" i="3"/>
  <c r="AH7" i="3"/>
  <c r="AI4" i="3"/>
  <c r="AM4" i="3"/>
  <c r="R4" i="3"/>
  <c r="Q31" i="1"/>
  <c r="R4" i="1"/>
  <c r="Q20" i="1"/>
  <c r="AF4" i="1"/>
  <c r="AH4" i="1"/>
  <c r="W73" i="3"/>
  <c r="X73" i="3" s="1"/>
  <c r="R13" i="3"/>
  <c r="AM13" i="3"/>
  <c r="AI13" i="3"/>
  <c r="AH4" i="3"/>
  <c r="H5" i="2"/>
  <c r="F6" i="2"/>
  <c r="F7" i="2"/>
  <c r="F8" i="2"/>
  <c r="D8" i="4"/>
  <c r="C20" i="4"/>
  <c r="N50" i="4"/>
  <c r="C7" i="4"/>
  <c r="C39" i="4"/>
  <c r="B20" i="4"/>
  <c r="B39" i="4"/>
  <c r="B38" i="4" s="1"/>
  <c r="B47" i="4" s="1"/>
  <c r="B7" i="4"/>
  <c r="F8" i="4" s="1"/>
  <c r="D12" i="4"/>
  <c r="B24" i="4"/>
  <c r="B54" i="4" s="1"/>
  <c r="D4" i="2"/>
  <c r="E4" i="2" s="1"/>
  <c r="G6" i="2"/>
  <c r="V6" i="2" s="1"/>
  <c r="D25" i="4"/>
  <c r="C16" i="2"/>
  <c r="C26" i="2" s="1"/>
  <c r="G33" i="3" s="1"/>
  <c r="C40" i="4"/>
  <c r="D9" i="4"/>
  <c r="C21" i="4"/>
  <c r="D55" i="4"/>
  <c r="P55" i="4" s="1"/>
  <c r="D24" i="4" l="1"/>
  <c r="N21" i="4"/>
  <c r="O51" i="4" s="1"/>
  <c r="V51" i="4" s="1"/>
  <c r="D21" i="4"/>
  <c r="N20" i="4"/>
  <c r="D20" i="4"/>
  <c r="D22" i="4"/>
  <c r="D23" i="4"/>
  <c r="B27" i="11"/>
  <c r="C20" i="1"/>
  <c r="U53" i="4"/>
  <c r="N22" i="4"/>
  <c r="O52" i="4" s="1"/>
  <c r="V52" i="4" s="1"/>
  <c r="N23" i="4"/>
  <c r="O53" i="4" s="1"/>
  <c r="V53" i="4" s="1"/>
  <c r="C54" i="4"/>
  <c r="D54" i="4" s="1"/>
  <c r="N24" i="4"/>
  <c r="O54" i="4" s="1"/>
  <c r="V54" i="4" s="1"/>
  <c r="X5" i="3"/>
  <c r="AD4" i="3"/>
  <c r="N26" i="2"/>
  <c r="H62" i="2" s="1"/>
  <c r="E62" i="2" s="1"/>
  <c r="N59" i="4"/>
  <c r="W55" i="4"/>
  <c r="P57" i="4"/>
  <c r="W57" i="4" s="1"/>
  <c r="M54" i="4"/>
  <c r="U54" i="4" s="1"/>
  <c r="P56" i="4"/>
  <c r="W56" i="4" s="1"/>
  <c r="M51" i="4"/>
  <c r="U51" i="4" s="1"/>
  <c r="M26" i="2"/>
  <c r="M52" i="4"/>
  <c r="U52" i="4" s="1"/>
  <c r="M23" i="4"/>
  <c r="M29" i="4" s="1"/>
  <c r="M50" i="4"/>
  <c r="B19" i="4"/>
  <c r="AI12" i="1"/>
  <c r="H9" i="2"/>
  <c r="I15" i="2" s="1"/>
  <c r="L9" i="2" s="1"/>
  <c r="B50" i="4"/>
  <c r="B49" i="4" s="1"/>
  <c r="C52" i="4"/>
  <c r="D52" i="4" s="1"/>
  <c r="F9" i="4"/>
  <c r="H9" i="4" s="1"/>
  <c r="O25" i="4"/>
  <c r="C53" i="4"/>
  <c r="D53" i="4" s="1"/>
  <c r="H8" i="4"/>
  <c r="H50" i="4" s="1"/>
  <c r="X5" i="1"/>
  <c r="AC4" i="1"/>
  <c r="R71" i="3"/>
  <c r="S71" i="3" s="1"/>
  <c r="AR4" i="3"/>
  <c r="AD16" i="3"/>
  <c r="AC78" i="3" s="1"/>
  <c r="R35" i="1"/>
  <c r="S35" i="1" s="1"/>
  <c r="R33" i="1"/>
  <c r="S33" i="1" s="1"/>
  <c r="R22" i="1"/>
  <c r="S22" i="1" s="1"/>
  <c r="R77" i="3"/>
  <c r="S77" i="3" s="1"/>
  <c r="AD13" i="3"/>
  <c r="AC76" i="3" s="1"/>
  <c r="AD7" i="3"/>
  <c r="AC72" i="3" s="1"/>
  <c r="R24" i="1"/>
  <c r="S24" i="1" s="1"/>
  <c r="AB12" i="1"/>
  <c r="M13" i="1" s="1"/>
  <c r="H13" i="1" s="1"/>
  <c r="S13" i="1"/>
  <c r="S11" i="3"/>
  <c r="I11" i="2"/>
  <c r="R31" i="1"/>
  <c r="S31" i="1" s="1"/>
  <c r="S9" i="3"/>
  <c r="AC7" i="3"/>
  <c r="S7" i="3"/>
  <c r="AA7" i="3"/>
  <c r="D16" i="2"/>
  <c r="C38" i="4"/>
  <c r="C47" i="4" s="1"/>
  <c r="AB6" i="1"/>
  <c r="M7" i="1" s="1"/>
  <c r="H7" i="1" s="1"/>
  <c r="S7" i="1"/>
  <c r="C4" i="4"/>
  <c r="G12" i="4"/>
  <c r="D7" i="4"/>
  <c r="E7" i="4" s="1"/>
  <c r="G11" i="4"/>
  <c r="G10" i="4"/>
  <c r="S4" i="3"/>
  <c r="AA4" i="3"/>
  <c r="AJ16" i="3"/>
  <c r="AK16" i="3" s="1"/>
  <c r="AA6" i="1"/>
  <c r="S6" i="1"/>
  <c r="AR13" i="3"/>
  <c r="AA10" i="1"/>
  <c r="S10" i="1"/>
  <c r="S18" i="3"/>
  <c r="AC16" i="3"/>
  <c r="AP7" i="3"/>
  <c r="AS7" i="3" s="1"/>
  <c r="AK6" i="1"/>
  <c r="AL6" i="1" s="1"/>
  <c r="AR10" i="3"/>
  <c r="AJ4" i="3"/>
  <c r="AK4" i="3" s="1"/>
  <c r="AB4" i="3"/>
  <c r="S5" i="3"/>
  <c r="AR16" i="3"/>
  <c r="S16" i="3"/>
  <c r="AA16" i="3"/>
  <c r="AC6" i="1"/>
  <c r="AI6" i="1" s="1"/>
  <c r="AC10" i="1"/>
  <c r="AI10" i="1" s="1"/>
  <c r="AK4" i="1"/>
  <c r="AL4" i="1" s="1"/>
  <c r="AP4" i="3"/>
  <c r="AS4" i="3" s="1"/>
  <c r="R20" i="1"/>
  <c r="S20" i="1" s="1"/>
  <c r="AA78" i="3"/>
  <c r="S78" i="3"/>
  <c r="S4" i="1"/>
  <c r="S14" i="3"/>
  <c r="S15" i="3"/>
  <c r="AC13" i="3"/>
  <c r="G8" i="4"/>
  <c r="AJ13" i="3"/>
  <c r="AK13" i="3" s="1"/>
  <c r="AR7" i="3"/>
  <c r="S72" i="3"/>
  <c r="AA72" i="3"/>
  <c r="R32" i="1"/>
  <c r="S32" i="1" s="1"/>
  <c r="R34" i="1"/>
  <c r="S34" i="1" s="1"/>
  <c r="S70" i="3"/>
  <c r="AA70" i="3"/>
  <c r="M70" i="3" s="1" a="1"/>
  <c r="M70" i="3" s="1"/>
  <c r="H70" i="3" s="1"/>
  <c r="AJ7" i="3"/>
  <c r="AK7" i="3" s="1"/>
  <c r="AJ10" i="3"/>
  <c r="AK10" i="3" s="1"/>
  <c r="S5" i="1"/>
  <c r="AB4" i="1"/>
  <c r="M5" i="1" s="1"/>
  <c r="H5" i="1" s="1"/>
  <c r="R21" i="1"/>
  <c r="S21" i="1" s="1"/>
  <c r="S76" i="3"/>
  <c r="AA76" i="3"/>
  <c r="AP13" i="3"/>
  <c r="AS13" i="3" s="1"/>
  <c r="AK10" i="1"/>
  <c r="AL10" i="1" s="1"/>
  <c r="C51" i="4"/>
  <c r="D51" i="4" s="1"/>
  <c r="AK8" i="1"/>
  <c r="AL8" i="1" s="1"/>
  <c r="AP10" i="3"/>
  <c r="AS10" i="3" s="1"/>
  <c r="S8" i="1"/>
  <c r="S74" i="3"/>
  <c r="F63" i="2"/>
  <c r="E63" i="2"/>
  <c r="C19" i="4"/>
  <c r="C29" i="4" s="1"/>
  <c r="C50" i="4"/>
  <c r="U8" i="2"/>
  <c r="H8" i="2"/>
  <c r="I14" i="2" s="1"/>
  <c r="S10" i="3"/>
  <c r="S9" i="1"/>
  <c r="M9" i="1"/>
  <c r="H9" i="1" s="1"/>
  <c r="R23" i="1"/>
  <c r="S23" i="1" s="1"/>
  <c r="U7" i="2"/>
  <c r="H7" i="2"/>
  <c r="I13" i="2" s="1"/>
  <c r="AA13" i="3"/>
  <c r="S13" i="3"/>
  <c r="S11" i="1"/>
  <c r="AB10" i="1"/>
  <c r="M11" i="1" s="1"/>
  <c r="H11" i="1" s="1"/>
  <c r="R73" i="3"/>
  <c r="S73" i="3" s="1"/>
  <c r="H6" i="2"/>
  <c r="I12" i="2" s="1"/>
  <c r="U6" i="2"/>
  <c r="AC4" i="3"/>
  <c r="S6" i="3"/>
  <c r="AA12" i="1"/>
  <c r="S12" i="1"/>
  <c r="AB7" i="3"/>
  <c r="S8" i="3"/>
  <c r="AE17" i="1"/>
  <c r="AE15" i="1" s="1"/>
  <c r="AO20" i="3" s="1"/>
  <c r="AO22" i="3" s="1"/>
  <c r="AO23" i="3" s="1"/>
  <c r="S12" i="3"/>
  <c r="S17" i="3"/>
  <c r="AB16" i="3"/>
  <c r="G9" i="4"/>
  <c r="F11" i="4"/>
  <c r="H11" i="4" s="1"/>
  <c r="F10" i="4"/>
  <c r="H10" i="4" s="1"/>
  <c r="F12" i="4"/>
  <c r="H12" i="4" s="1"/>
  <c r="AI8" i="1"/>
  <c r="R75" i="3"/>
  <c r="S75" i="3" s="1"/>
  <c r="R79" i="3"/>
  <c r="S79" i="3" s="1"/>
  <c r="AP16" i="3"/>
  <c r="AS16" i="3" s="1"/>
  <c r="AK12" i="1"/>
  <c r="AL12" i="1" s="1"/>
  <c r="M13" i="3" l="1" a="1"/>
  <c r="M13" i="3" s="1"/>
  <c r="M19" i="3"/>
  <c r="H19" i="3" s="1"/>
  <c r="F62" i="2"/>
  <c r="M59" i="4"/>
  <c r="H104" i="2"/>
  <c r="E104" i="2" s="1"/>
  <c r="P38" i="1"/>
  <c r="R38" i="1" s="1"/>
  <c r="S38" i="1" s="1"/>
  <c r="C27" i="3"/>
  <c r="B25" i="2"/>
  <c r="P26" i="1"/>
  <c r="P59" i="4"/>
  <c r="W59" i="4"/>
  <c r="H96" i="4" s="1"/>
  <c r="F96" i="4" s="1"/>
  <c r="N29" i="4"/>
  <c r="U50" i="4"/>
  <c r="U59" i="4" s="1"/>
  <c r="Q25" i="4"/>
  <c r="O29" i="4"/>
  <c r="K9" i="2"/>
  <c r="AI4" i="1"/>
  <c r="Q36" i="1"/>
  <c r="I14" i="4"/>
  <c r="K20" i="4" s="1"/>
  <c r="H4" i="2"/>
  <c r="H14" i="1"/>
  <c r="AN7" i="3"/>
  <c r="AN16" i="3"/>
  <c r="AN4" i="3"/>
  <c r="AB70" i="3"/>
  <c r="AB72" i="3"/>
  <c r="M72" i="3" s="1" a="1"/>
  <c r="AN10" i="3"/>
  <c r="AB76" i="3"/>
  <c r="Z76" i="3" s="1"/>
  <c r="AE76" i="3" s="1"/>
  <c r="AN13" i="3"/>
  <c r="H51" i="4"/>
  <c r="I15" i="4"/>
  <c r="M10" i="1"/>
  <c r="Z10" i="1"/>
  <c r="E11" i="1"/>
  <c r="F11" i="1"/>
  <c r="I18" i="4"/>
  <c r="H54" i="4"/>
  <c r="I16" i="4"/>
  <c r="H52" i="4"/>
  <c r="M8" i="1"/>
  <c r="Z8" i="1"/>
  <c r="E9" i="1"/>
  <c r="F9" i="1"/>
  <c r="L6" i="2"/>
  <c r="K6" i="2"/>
  <c r="M16" i="3" a="1"/>
  <c r="Z16" i="3"/>
  <c r="AF16" i="3" s="1"/>
  <c r="Z10" i="3"/>
  <c r="AF10" i="3" s="1"/>
  <c r="M10" i="3" a="1"/>
  <c r="L8" i="2"/>
  <c r="K8" i="2"/>
  <c r="Z4" i="1"/>
  <c r="M6" i="1"/>
  <c r="Z6" i="1"/>
  <c r="E7" i="1"/>
  <c r="F7" i="1"/>
  <c r="D50" i="4"/>
  <c r="C49" i="4"/>
  <c r="C59" i="4" s="1"/>
  <c r="K50" i="4"/>
  <c r="L50" i="4"/>
  <c r="O50" i="4"/>
  <c r="O59" i="4" s="1"/>
  <c r="AC70" i="3"/>
  <c r="M80" i="3" s="1"/>
  <c r="H7" i="4"/>
  <c r="D19" i="4"/>
  <c r="Z4" i="3"/>
  <c r="AF4" i="3" s="1"/>
  <c r="M4" i="3" a="1"/>
  <c r="H5" i="3" s="1"/>
  <c r="F5" i="1"/>
  <c r="E5" i="1"/>
  <c r="H28" i="1"/>
  <c r="I10" i="2"/>
  <c r="K5" i="2"/>
  <c r="L5" i="2"/>
  <c r="I17" i="4"/>
  <c r="H53" i="4"/>
  <c r="M12" i="1"/>
  <c r="Z12" i="1"/>
  <c r="Z13" i="3"/>
  <c r="AF13" i="3" s="1"/>
  <c r="Z74" i="3"/>
  <c r="AE74" i="3" s="1"/>
  <c r="M7" i="3" a="1"/>
  <c r="Z7" i="3"/>
  <c r="AF7" i="3" s="1"/>
  <c r="AB78" i="3"/>
  <c r="M78" i="3" s="1" a="1"/>
  <c r="E13" i="1"/>
  <c r="F13" i="1"/>
  <c r="F104" i="2" l="1"/>
  <c r="Q6" i="2"/>
  <c r="H47" i="2" a="1"/>
  <c r="H47" i="2" s="1"/>
  <c r="E96" i="4"/>
  <c r="P37" i="1"/>
  <c r="P39" i="1" s="1"/>
  <c r="Q7" i="2"/>
  <c r="Q8" i="2"/>
  <c r="R26" i="1"/>
  <c r="S26" i="1" s="1"/>
  <c r="P25" i="1"/>
  <c r="P27" i="1" s="1"/>
  <c r="D25" i="2"/>
  <c r="P25" i="2" s="1"/>
  <c r="P26" i="2" s="1"/>
  <c r="H64" i="2" s="1"/>
  <c r="H105" i="2" s="1"/>
  <c r="B26" i="2"/>
  <c r="H59" i="2" a="1"/>
  <c r="F61" i="2" s="1"/>
  <c r="Q9" i="2"/>
  <c r="Q5" i="2"/>
  <c r="B28" i="4"/>
  <c r="H21" i="3"/>
  <c r="H82" i="3" s="1"/>
  <c r="K26" i="2"/>
  <c r="L26" i="2"/>
  <c r="R9" i="2"/>
  <c r="H80" i="3"/>
  <c r="L20" i="4"/>
  <c r="I13" i="4"/>
  <c r="M74" i="3" a="1"/>
  <c r="H75" i="3" s="1"/>
  <c r="Z72" i="3"/>
  <c r="AE72" i="3" s="1"/>
  <c r="M76" i="3" a="1"/>
  <c r="H77" i="3" s="1"/>
  <c r="H49" i="4"/>
  <c r="Z78" i="3"/>
  <c r="AE78" i="3" s="1"/>
  <c r="H6" i="1"/>
  <c r="L7" i="1"/>
  <c r="H14" i="3"/>
  <c r="H15" i="3"/>
  <c r="H13" i="3"/>
  <c r="T50" i="4"/>
  <c r="R8" i="2"/>
  <c r="H56" i="2" a="1"/>
  <c r="K54" i="4"/>
  <c r="S54" i="4" s="1"/>
  <c r="L54" i="4"/>
  <c r="T54" i="4" s="1"/>
  <c r="K24" i="4"/>
  <c r="L24" i="4"/>
  <c r="K53" i="4"/>
  <c r="S53" i="4" s="1"/>
  <c r="L53" i="4"/>
  <c r="T53" i="4" s="1"/>
  <c r="E19" i="3"/>
  <c r="F19" i="3"/>
  <c r="M16" i="3"/>
  <c r="H16" i="3" s="1"/>
  <c r="H18" i="3"/>
  <c r="H17" i="3"/>
  <c r="H71" i="3"/>
  <c r="R36" i="1"/>
  <c r="S36" i="1" s="1"/>
  <c r="D49" i="4"/>
  <c r="H12" i="1"/>
  <c r="L13" i="1"/>
  <c r="K23" i="4"/>
  <c r="L23" i="4"/>
  <c r="R6" i="2"/>
  <c r="H50" i="2" a="1"/>
  <c r="H11" i="3"/>
  <c r="H12" i="3"/>
  <c r="M10" i="3"/>
  <c r="H10" i="3" s="1"/>
  <c r="M78" i="3"/>
  <c r="H78" i="3" s="1"/>
  <c r="H79" i="3"/>
  <c r="K52" i="4"/>
  <c r="S52" i="4" s="1"/>
  <c r="L52" i="4"/>
  <c r="T52" i="4" s="1"/>
  <c r="F14" i="1"/>
  <c r="E14" i="1"/>
  <c r="S50" i="4"/>
  <c r="K22" i="4"/>
  <c r="L22" i="4"/>
  <c r="M7" i="3"/>
  <c r="H7" i="3" s="1"/>
  <c r="H8" i="3"/>
  <c r="H9" i="3"/>
  <c r="R5" i="2"/>
  <c r="Z70" i="3"/>
  <c r="AE70" i="3" s="1"/>
  <c r="H10" i="1"/>
  <c r="L11" i="1"/>
  <c r="K21" i="4"/>
  <c r="L21" i="4"/>
  <c r="R7" i="2"/>
  <c r="K51" i="4"/>
  <c r="S51" i="4" s="1"/>
  <c r="L51" i="4"/>
  <c r="T51" i="4" s="1"/>
  <c r="H6" i="3"/>
  <c r="M4" i="3"/>
  <c r="H4" i="3" s="1"/>
  <c r="H4" i="1"/>
  <c r="L5" i="1"/>
  <c r="H8" i="1"/>
  <c r="L9" i="1"/>
  <c r="V50" i="4"/>
  <c r="M72" i="3"/>
  <c r="H72" i="3" s="1"/>
  <c r="H73" i="3"/>
  <c r="H20" i="3" l="1"/>
  <c r="I22" i="3"/>
  <c r="J22" i="3"/>
  <c r="K82" i="3"/>
  <c r="F82" i="3"/>
  <c r="J82" i="3"/>
  <c r="E82" i="3"/>
  <c r="J78" i="3"/>
  <c r="F78" i="3"/>
  <c r="E78" i="3"/>
  <c r="K78" i="3"/>
  <c r="F73" i="3"/>
  <c r="E73" i="3"/>
  <c r="K73" i="3"/>
  <c r="J73" i="3"/>
  <c r="J71" i="3"/>
  <c r="F71" i="3"/>
  <c r="E71" i="3"/>
  <c r="K71" i="3"/>
  <c r="K70" i="3"/>
  <c r="E70" i="3"/>
  <c r="F70" i="3"/>
  <c r="J70" i="3"/>
  <c r="J72" i="3"/>
  <c r="F72" i="3"/>
  <c r="E72" i="3"/>
  <c r="K72" i="3"/>
  <c r="E77" i="3"/>
  <c r="K77" i="3"/>
  <c r="J77" i="3"/>
  <c r="F77" i="3"/>
  <c r="K75" i="3"/>
  <c r="J75" i="3"/>
  <c r="E79" i="3"/>
  <c r="K79" i="3"/>
  <c r="F79" i="3"/>
  <c r="J79" i="3"/>
  <c r="F80" i="3"/>
  <c r="E80" i="3"/>
  <c r="K80" i="3"/>
  <c r="J80" i="3"/>
  <c r="E60" i="2"/>
  <c r="H59" i="2"/>
  <c r="E59" i="2" s="1"/>
  <c r="E61" i="2"/>
  <c r="F60" i="2"/>
  <c r="H69" i="3"/>
  <c r="C3" i="3"/>
  <c r="B3" i="11" s="1"/>
  <c r="B58" i="4"/>
  <c r="D28" i="4"/>
  <c r="P28" i="4" s="1"/>
  <c r="B29" i="4"/>
  <c r="D29" i="4" s="1"/>
  <c r="Q26" i="2"/>
  <c r="C100" i="2"/>
  <c r="C33" i="3"/>
  <c r="C46" i="2"/>
  <c r="D26" i="2"/>
  <c r="D27" i="2" s="1"/>
  <c r="B27" i="2"/>
  <c r="E64" i="2"/>
  <c r="F64" i="2"/>
  <c r="F21" i="3"/>
  <c r="E21" i="3"/>
  <c r="T59" i="4"/>
  <c r="S59" i="4"/>
  <c r="V59" i="4"/>
  <c r="H95" i="4" s="1"/>
  <c r="L59" i="4"/>
  <c r="K59" i="4"/>
  <c r="K29" i="4"/>
  <c r="L29" i="4"/>
  <c r="H43" i="3"/>
  <c r="H44" i="3" s="1"/>
  <c r="M74" i="3"/>
  <c r="H74" i="3" s="1"/>
  <c r="M76" i="3"/>
  <c r="H76" i="3" s="1"/>
  <c r="F76" i="3" s="1"/>
  <c r="H39" i="3"/>
  <c r="H89" i="4" a="1"/>
  <c r="E90" i="4" s="1"/>
  <c r="E49" i="2"/>
  <c r="F49" i="2"/>
  <c r="H103" i="2"/>
  <c r="E48" i="2"/>
  <c r="F48" i="2"/>
  <c r="H102" i="2"/>
  <c r="E6" i="1"/>
  <c r="F6" i="1"/>
  <c r="E9" i="3"/>
  <c r="F9" i="3"/>
  <c r="F57" i="2"/>
  <c r="E57" i="2"/>
  <c r="E58" i="2"/>
  <c r="H56" i="2"/>
  <c r="F58" i="2"/>
  <c r="E18" i="3"/>
  <c r="F18" i="3"/>
  <c r="H27" i="1"/>
  <c r="E4" i="1"/>
  <c r="F4" i="1"/>
  <c r="D4" i="1" s="1"/>
  <c r="E4" i="3"/>
  <c r="H40" i="3"/>
  <c r="H41" i="3" s="1"/>
  <c r="F4" i="3"/>
  <c r="E6" i="3"/>
  <c r="F6" i="3"/>
  <c r="I6" i="3"/>
  <c r="H83" i="4" a="1"/>
  <c r="E54" i="2"/>
  <c r="F54" i="2"/>
  <c r="E55" i="2"/>
  <c r="F55" i="2"/>
  <c r="E10" i="3"/>
  <c r="F10" i="3"/>
  <c r="H49" i="3"/>
  <c r="H50" i="3" s="1"/>
  <c r="E17" i="3"/>
  <c r="F17" i="3"/>
  <c r="E16" i="3"/>
  <c r="F16" i="3"/>
  <c r="F5" i="3"/>
  <c r="I5" i="3"/>
  <c r="H46" i="3"/>
  <c r="H47" i="3" s="1"/>
  <c r="E5" i="3"/>
  <c r="F11" i="3"/>
  <c r="E11" i="3"/>
  <c r="F12" i="1"/>
  <c r="E12" i="1"/>
  <c r="E8" i="3"/>
  <c r="F8" i="3"/>
  <c r="H92" i="4" a="1"/>
  <c r="F7" i="3"/>
  <c r="E7" i="3"/>
  <c r="E12" i="3"/>
  <c r="F12" i="3"/>
  <c r="H80" i="4" a="1"/>
  <c r="E51" i="2"/>
  <c r="F51" i="2"/>
  <c r="E52" i="2"/>
  <c r="F52" i="2"/>
  <c r="H50" i="2"/>
  <c r="F13" i="3"/>
  <c r="E13" i="3"/>
  <c r="E15" i="3"/>
  <c r="F15" i="3"/>
  <c r="E8" i="1"/>
  <c r="F8" i="1"/>
  <c r="E10" i="1"/>
  <c r="F10" i="1"/>
  <c r="E14" i="3"/>
  <c r="F14" i="3"/>
  <c r="H86" i="4" a="1"/>
  <c r="B11" i="11" l="1"/>
  <c r="C29" i="3"/>
  <c r="H81" i="3"/>
  <c r="F59" i="2"/>
  <c r="B48" i="4"/>
  <c r="I73" i="3"/>
  <c r="K76" i="3"/>
  <c r="J76" i="3"/>
  <c r="E76" i="3"/>
  <c r="E74" i="3"/>
  <c r="I71" i="3"/>
  <c r="I70" i="3"/>
  <c r="I72" i="3"/>
  <c r="C69" i="3"/>
  <c r="D70" i="3" s="1"/>
  <c r="D71" i="3" s="1"/>
  <c r="D72" i="3" s="1"/>
  <c r="D73" i="3" s="1"/>
  <c r="H84" i="3"/>
  <c r="Q27" i="2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F105" i="2"/>
  <c r="E105" i="2"/>
  <c r="P29" i="4"/>
  <c r="Q29" i="4" s="1"/>
  <c r="Q30" i="4" s="1"/>
  <c r="Q28" i="4"/>
  <c r="D58" i="4"/>
  <c r="Q58" i="4" s="1"/>
  <c r="B59" i="4"/>
  <c r="C32" i="3"/>
  <c r="C34" i="3" s="1"/>
  <c r="AH22" i="3"/>
  <c r="AH20" i="3" s="1"/>
  <c r="F95" i="4"/>
  <c r="E95" i="4"/>
  <c r="H137" i="4"/>
  <c r="F137" i="4" s="1"/>
  <c r="Q31" i="2"/>
  <c r="I77" i="3"/>
  <c r="I74" i="3"/>
  <c r="I75" i="3"/>
  <c r="I76" i="3"/>
  <c r="I78" i="3"/>
  <c r="I79" i="3"/>
  <c r="I80" i="3"/>
  <c r="H89" i="4"/>
  <c r="F89" i="4" s="1"/>
  <c r="E91" i="4"/>
  <c r="F90" i="4"/>
  <c r="F91" i="4"/>
  <c r="F81" i="4"/>
  <c r="H135" i="4"/>
  <c r="H80" i="4"/>
  <c r="H136" i="4"/>
  <c r="E81" i="4"/>
  <c r="E82" i="4"/>
  <c r="F82" i="4"/>
  <c r="F53" i="2"/>
  <c r="E53" i="2"/>
  <c r="D5" i="1"/>
  <c r="D6" i="1" s="1"/>
  <c r="E103" i="2"/>
  <c r="F103" i="2"/>
  <c r="E47" i="2"/>
  <c r="F47" i="2"/>
  <c r="D47" i="2" s="1"/>
  <c r="H101" i="2"/>
  <c r="E56" i="2"/>
  <c r="F56" i="2"/>
  <c r="F50" i="2"/>
  <c r="E50" i="2"/>
  <c r="F84" i="4"/>
  <c r="E84" i="4"/>
  <c r="E85" i="4"/>
  <c r="F85" i="4"/>
  <c r="H83" i="4"/>
  <c r="F102" i="2"/>
  <c r="E102" i="2"/>
  <c r="F88" i="4"/>
  <c r="H86" i="4"/>
  <c r="E87" i="4"/>
  <c r="F87" i="4"/>
  <c r="E88" i="4"/>
  <c r="E20" i="3"/>
  <c r="F20" i="3"/>
  <c r="H92" i="4"/>
  <c r="F93" i="4"/>
  <c r="E93" i="4"/>
  <c r="E94" i="4"/>
  <c r="F94" i="4"/>
  <c r="B15" i="11" l="1"/>
  <c r="D16" i="11" s="1"/>
  <c r="L4" i="11"/>
  <c r="B28" i="11"/>
  <c r="F81" i="3"/>
  <c r="K81" i="3"/>
  <c r="J81" i="3"/>
  <c r="E81" i="3"/>
  <c r="I82" i="3"/>
  <c r="D74" i="3"/>
  <c r="D75" i="3" s="1"/>
  <c r="D76" i="3" s="1"/>
  <c r="D77" i="3" s="1"/>
  <c r="D78" i="3" s="1"/>
  <c r="D79" i="3" s="1"/>
  <c r="D80" i="3" s="1"/>
  <c r="D81" i="3" s="1"/>
  <c r="D82" i="3" s="1"/>
  <c r="G83" i="3" s="1"/>
  <c r="I81" i="3"/>
  <c r="E137" i="4"/>
  <c r="C79" i="4"/>
  <c r="C133" i="4"/>
  <c r="B60" i="4"/>
  <c r="D59" i="4"/>
  <c r="Q59" i="4"/>
  <c r="X58" i="4"/>
  <c r="X59" i="4" s="1"/>
  <c r="D7" i="1"/>
  <c r="D8" i="1" s="1"/>
  <c r="D9" i="1" s="1"/>
  <c r="D10" i="1" s="1"/>
  <c r="D11" i="1" s="1"/>
  <c r="D12" i="1" s="1"/>
  <c r="D13" i="1" s="1"/>
  <c r="D14" i="1" s="1"/>
  <c r="D48" i="2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E89" i="4"/>
  <c r="D20" i="3"/>
  <c r="F101" i="2"/>
  <c r="D101" i="2" s="1"/>
  <c r="E101" i="2"/>
  <c r="E86" i="4"/>
  <c r="F86" i="4"/>
  <c r="E92" i="4"/>
  <c r="F92" i="4"/>
  <c r="E83" i="4"/>
  <c r="F83" i="4"/>
  <c r="E136" i="4"/>
  <c r="F136" i="4"/>
  <c r="F80" i="4"/>
  <c r="E80" i="4"/>
  <c r="H134" i="4"/>
  <c r="E135" i="4"/>
  <c r="F135" i="4"/>
  <c r="D62" i="2" l="1"/>
  <c r="D63" i="2" s="1"/>
  <c r="D64" i="2" s="1"/>
  <c r="G65" i="2" s="1"/>
  <c r="G66" i="2" s="1"/>
  <c r="G84" i="3"/>
  <c r="D80" i="4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H97" i="4"/>
  <c r="Y59" i="4"/>
  <c r="Y60" i="4" s="1"/>
  <c r="D21" i="3"/>
  <c r="G22" i="3" s="1"/>
  <c r="C3" i="11" s="1"/>
  <c r="D102" i="2"/>
  <c r="D103" i="2" s="1"/>
  <c r="D104" i="2" s="1"/>
  <c r="D105" i="2" s="1"/>
  <c r="G106" i="2" s="1"/>
  <c r="E134" i="4"/>
  <c r="F134" i="4"/>
  <c r="D134" i="4" s="1"/>
  <c r="G107" i="2" l="1"/>
  <c r="G108" i="2"/>
  <c r="H108" i="2" s="1"/>
  <c r="G29" i="3"/>
  <c r="AI22" i="3"/>
  <c r="AI20" i="3" s="1"/>
  <c r="AJ20" i="3" s="1"/>
  <c r="AK20" i="3" s="1"/>
  <c r="C60" i="4"/>
  <c r="F84" i="3"/>
  <c r="F85" i="3" s="1"/>
  <c r="G23" i="3"/>
  <c r="F23" i="3"/>
  <c r="F24" i="3" s="1"/>
  <c r="F97" i="4"/>
  <c r="D97" i="4" s="1"/>
  <c r="E97" i="4"/>
  <c r="H138" i="4"/>
  <c r="D135" i="4"/>
  <c r="D136" i="4" s="1"/>
  <c r="D137" i="4" s="1"/>
  <c r="C11" i="11" l="1"/>
  <c r="M4" i="11" s="1"/>
  <c r="D3" i="11"/>
  <c r="AJ22" i="3"/>
  <c r="AK22" i="3" s="1"/>
  <c r="G32" i="3"/>
  <c r="H32" i="3" s="1"/>
  <c r="H29" i="3"/>
  <c r="G98" i="4"/>
  <c r="G99" i="4" s="1"/>
  <c r="E138" i="4"/>
  <c r="F138" i="4"/>
  <c r="D138" i="4" s="1"/>
  <c r="E3" i="11" l="1"/>
  <c r="G16" i="11"/>
  <c r="E16" i="11" s="1"/>
  <c r="C17" i="11" s="1"/>
  <c r="C18" i="11" s="1"/>
  <c r="C19" i="11" s="1"/>
  <c r="C20" i="11" s="1"/>
  <c r="C21" i="11" s="1"/>
  <c r="C22" i="11" s="1"/>
  <c r="C23" i="11" s="1"/>
  <c r="F24" i="11" s="1"/>
  <c r="D11" i="11"/>
  <c r="E11" i="11" s="1"/>
  <c r="G34" i="3"/>
  <c r="G139" i="4"/>
  <c r="G140" i="4" s="1"/>
  <c r="J16" i="11" l="1"/>
  <c r="I16" i="11"/>
  <c r="K23" i="11"/>
  <c r="K20" i="11"/>
  <c r="K19" i="11"/>
  <c r="K18" i="11"/>
  <c r="K22" i="11"/>
  <c r="K17" i="11"/>
  <c r="K21" i="11"/>
  <c r="K16" i="11"/>
  <c r="H16" i="11"/>
  <c r="H16" i="1"/>
  <c r="F25" i="11" l="1"/>
  <c r="H17" i="11"/>
  <c r="H18" i="11" s="1"/>
  <c r="H19" i="11" s="1"/>
  <c r="H20" i="11" s="1"/>
  <c r="H21" i="11" s="1"/>
  <c r="H22" i="11" s="1"/>
  <c r="H23" i="11" s="1"/>
  <c r="F16" i="1"/>
  <c r="H15" i="1"/>
  <c r="E16" i="1"/>
  <c r="E15" i="1" l="1"/>
  <c r="F15" i="1"/>
  <c r="D15" i="1" s="1"/>
  <c r="D16" i="1" l="1"/>
  <c r="G17" i="1" s="1"/>
  <c r="G18" i="1" s="1"/>
  <c r="Q37" i="1" l="1"/>
  <c r="Q39" i="1" s="1"/>
  <c r="R39" i="1" s="1"/>
  <c r="S39" i="1" s="1"/>
  <c r="Q25" i="1"/>
  <c r="R25" i="1" s="1"/>
  <c r="S25" i="1" s="1"/>
  <c r="AF17" i="1"/>
  <c r="AF15" i="1" s="1"/>
  <c r="AP20" i="3" s="1"/>
  <c r="AP22" i="3" s="1"/>
  <c r="AP23" i="3" s="1"/>
  <c r="C27" i="11"/>
  <c r="C28" i="11" s="1"/>
  <c r="C48" i="4"/>
  <c r="C27" i="2"/>
  <c r="R37" i="1" l="1"/>
  <c r="S37" i="1" s="1"/>
  <c r="Q27" i="1"/>
  <c r="R27" i="1" s="1"/>
  <c r="S27" i="1" s="1"/>
  <c r="AH17" i="1"/>
  <c r="U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K14" authorId="0" shapeId="0" xr:uid="{3F29B5F0-A78F-4DB2-9DF3-7A4F7C3BED96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Do thấy tác động tỷ giá ở tất cả các nhóm sản phẩm đều cùng dấu =&gt; gom lại
</t>
        </r>
      </text>
    </comment>
    <comment ref="M14" authorId="0" shapeId="0" xr:uid="{28AD5B50-1B25-4BBB-AEF6-81AEF87E5DA7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Đang lấy mỗi 5 nhóm sản phẩm chính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K7" authorId="0" shapeId="0" xr:uid="{E6A67A82-F4B0-44DC-9584-D73542779B4B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do thực tế không có bán mặt hàng này, đáng lẽ ghi nhận ở "Price" nhưng trình bày ở "Sản lượng cho dễ)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C3" authorId="0" shapeId="0" xr:uid="{B73D36A9-9FAA-476E-8406-2C3FBA11E663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lãi gộp kế hoạch của kỳ này (trình bày theo BCTC)</t>
        </r>
      </text>
    </comment>
    <comment ref="M19" authorId="0" shapeId="0" xr:uid="{3A0284C7-2B50-4EBF-8BBF-D324EFD0F178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Đang lấy mỗi 5 nhóm sản phẩm chính</t>
        </r>
      </text>
    </comment>
    <comment ref="G22" authorId="0" shapeId="0" xr:uid="{D0A60616-3C28-49E7-AC5E-DB86F0DF22DC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lãi gộp thực tế của kỳ này (trình bày theo BCTC)</t>
        </r>
      </text>
    </comment>
    <comment ref="M80" authorId="0" shapeId="0" xr:uid="{1D89978C-1395-441A-8A01-F6CCC0B70A8B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Đang lấy mỗi 5 nhóm sản phẩm chính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D2" authorId="0" shapeId="0" xr:uid="{DF7EB0C2-B0C5-4BA4-BBF0-AA70F2B2C175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T03 lỗ nên không có thuế suất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<sst xmlns="http://schemas.openxmlformats.org/spreadsheetml/2006/main" count="625" uniqueCount="197">
  <si>
    <t>Tổng</t>
  </si>
  <si>
    <t>Khác</t>
  </si>
  <si>
    <t>Chênh lệch tỷ giá</t>
  </si>
  <si>
    <t>Xơ sợi</t>
  </si>
  <si>
    <t>rPP</t>
  </si>
  <si>
    <t>rHDPE ép</t>
  </si>
  <si>
    <t>rHDPE thổi</t>
  </si>
  <si>
    <t>rPET</t>
  </si>
  <si>
    <t>TT</t>
  </si>
  <si>
    <t>KH</t>
  </si>
  <si>
    <r>
      <t xml:space="preserve">Dthu </t>
    </r>
    <r>
      <rPr>
        <i/>
        <u/>
        <sz val="11"/>
        <color theme="1"/>
        <rFont val="Aptos Narrow"/>
        <family val="2"/>
        <scheme val="minor"/>
      </rPr>
      <t>(tỷ VND)</t>
    </r>
  </si>
  <si>
    <t>Check</t>
  </si>
  <si>
    <t>Tỷ giá</t>
  </si>
  <si>
    <t>$/tấn</t>
  </si>
  <si>
    <t>Giá bán</t>
  </si>
  <si>
    <t>tấn</t>
  </si>
  <si>
    <t>Sản lượng</t>
  </si>
  <si>
    <t>EXR</t>
  </si>
  <si>
    <t>GB</t>
  </si>
  <si>
    <t>SL</t>
  </si>
  <si>
    <t>Tổng tác động</t>
  </si>
  <si>
    <t>T/Đ nếu như nhóm ngành</t>
  </si>
  <si>
    <t>T/Đ làm từng SKU</t>
  </si>
  <si>
    <t>Chênh lệch</t>
  </si>
  <si>
    <t>End</t>
  </si>
  <si>
    <t>Decrease</t>
  </si>
  <si>
    <t>Increase</t>
  </si>
  <si>
    <t>Hidden</t>
  </si>
  <si>
    <t>Start</t>
  </si>
  <si>
    <t>Dthu (theo tỷ giá KH)</t>
  </si>
  <si>
    <t>ĐVT: VND nhưng show là tỷ đồng</t>
  </si>
  <si>
    <t>Cơ cấu</t>
  </si>
  <si>
    <t>Vẽ (VND nhưng thể hiện là tỷ)</t>
  </si>
  <si>
    <t>Exchange rate</t>
  </si>
  <si>
    <t>GB EXW (USD/ton)</t>
  </si>
  <si>
    <t>Dây đai, phó sản</t>
  </si>
  <si>
    <t>Tài trợ</t>
  </si>
  <si>
    <t>Doanh thu SPC</t>
  </si>
  <si>
    <t>GB EXW (VND/kg)</t>
  </si>
  <si>
    <t>Sản lượng SPC</t>
  </si>
  <si>
    <t>Label chart-SL-TT</t>
  </si>
  <si>
    <t>Label chart-SL-KH</t>
  </si>
  <si>
    <t>Cơ cấu ngành</t>
  </si>
  <si>
    <t>DT-TT-Cơ cấu KH</t>
  </si>
  <si>
    <t>SL-TT-Cơ cấu KH</t>
  </si>
  <si>
    <t>%Cơ cấu SL-TT</t>
  </si>
  <si>
    <t>%Cơ cấu SL-KH</t>
  </si>
  <si>
    <t>+/</t>
  </si>
  <si>
    <t>TÁC ĐỘNG</t>
  </si>
  <si>
    <t>ĐVT: VND; kg; VND/kg; USD/ton</t>
  </si>
  <si>
    <t>LG đơn vị</t>
  </si>
  <si>
    <t>Model</t>
  </si>
  <si>
    <t>LG/kg</t>
  </si>
  <si>
    <t>LG/kg ở đây là gom lại ở tác động GB và tác động GV</t>
  </si>
  <si>
    <t>$/tấn LG đang quy về cùng tỷ giá KH</t>
  </si>
  <si>
    <t>PET-LNST</t>
  </si>
  <si>
    <t>PET</t>
  </si>
  <si>
    <t>SL-LNST</t>
  </si>
  <si>
    <t>Tổng t/đ SL</t>
  </si>
  <si>
    <t>VND/kg</t>
  </si>
  <si>
    <t>Giá vốn</t>
  </si>
  <si>
    <t>%+/-</t>
  </si>
  <si>
    <t>+/-</t>
  </si>
  <si>
    <t>GV</t>
  </si>
  <si>
    <t>%Biên</t>
  </si>
  <si>
    <t>DTHU EXW (THEO TỶ GIÁ KH)</t>
  </si>
  <si>
    <t>LG EXW (THEO TỶ GIÁ KH)</t>
  </si>
  <si>
    <t>Tổng LG EXW</t>
  </si>
  <si>
    <t>LG EXW-SPC</t>
  </si>
  <si>
    <t>LG EXW-TT-Cơ cấu KH</t>
  </si>
  <si>
    <t>LG EXW ĐV-TT</t>
  </si>
  <si>
    <t>LG EXW ĐV-KH</t>
  </si>
  <si>
    <t>TÁC ĐỘNG-GOM</t>
  </si>
  <si>
    <t>GVHB-SPC</t>
  </si>
  <si>
    <t>GVĐV (đ/kg)</t>
  </si>
  <si>
    <t>Dthu</t>
  </si>
  <si>
    <t>Thuế TNDN</t>
  </si>
  <si>
    <t>Thu nhập khác</t>
  </si>
  <si>
    <t>Lãi tiền gửi</t>
  </si>
  <si>
    <t>Dthu/Cp tài chính-Tỷ giá</t>
  </si>
  <si>
    <t>Cp lãi vay</t>
  </si>
  <si>
    <t>CPQLDN</t>
  </si>
  <si>
    <t>CPBH</t>
  </si>
  <si>
    <t>LG EXW</t>
  </si>
  <si>
    <t>LNST</t>
  </si>
  <si>
    <t>Thu nhập/Chi phí khác</t>
  </si>
  <si>
    <t>CHỈ TIÊU</t>
  </si>
  <si>
    <t>Tổng GVHB</t>
  </si>
  <si>
    <t>check</t>
  </si>
  <si>
    <t>LNTT</t>
  </si>
  <si>
    <t>Ghi chú</t>
  </si>
  <si>
    <t>Thuế suất</t>
  </si>
  <si>
    <t>STT</t>
  </si>
  <si>
    <t>Tác động</t>
  </si>
  <si>
    <t>ng. tấn</t>
  </si>
  <si>
    <t>Sản lượng (ng.tấn)</t>
  </si>
  <si>
    <t xml:space="preserve"> - Loại trừ chênh lệch tỷ giá</t>
  </si>
  <si>
    <t>+-/-</t>
  </si>
  <si>
    <t>%+-/-</t>
  </si>
  <si>
    <t>%Thực hiện</t>
  </si>
  <si>
    <t>Tổng t/đ LG đơn vị</t>
  </si>
  <si>
    <t>LGĐV-LNST</t>
  </si>
  <si>
    <t>GVHB</t>
  </si>
  <si>
    <t>Cộng dồn</t>
  </si>
  <si>
    <t>(format âm để chỉnh)</t>
  </si>
  <si>
    <t>Label-Increase</t>
  </si>
  <si>
    <t>Label-Decrease</t>
  </si>
  <si>
    <t>Cp vận chuyển, hoa hồng, chiết khấu</t>
  </si>
  <si>
    <t>Doanh thu EXW</t>
  </si>
  <si>
    <t>Tổng dthu thuần</t>
  </si>
  <si>
    <t>gom lại cp vận chuyển vào đây</t>
  </si>
  <si>
    <t>gom lại cp vận chuyển, hoa hồng, chiết khấu</t>
  </si>
  <si>
    <t>LG EXW không gồm tài trợ</t>
  </si>
  <si>
    <t>Dthu EXW không gồm tài trợ</t>
  </si>
  <si>
    <t>Cp vận chuyển</t>
  </si>
  <si>
    <t>hoa hồng, chiết khấu</t>
  </si>
  <si>
    <t>Trong đó: Pallet</t>
  </si>
  <si>
    <t>Cumulative</t>
  </si>
  <si>
    <t>Nhóm hàng rHDPE ép lỗ</t>
  </si>
  <si>
    <t>Ngân sách không lập bán nhóm hàng này</t>
  </si>
  <si>
    <t>Đẩy mạnh bán nhóm xơ sợi</t>
  </si>
  <si>
    <t>Ngân sách lập bán 86.6 tấn. Thực tế bán 363.5 tấn</t>
  </si>
  <si>
    <t>Dây đai PET lỗ</t>
  </si>
  <si>
    <t>Bụi tank lỗ</t>
  </si>
  <si>
    <t>Tỷ giá thực tế trung bình là 26,209 (KH: 26,500)</t>
  </si>
  <si>
    <t>Điều chỉnh thuê xưởng-thuê máy theo yêu cầu kiểm toán</t>
  </si>
  <si>
    <t>Kế hoạch</t>
  </si>
  <si>
    <t>Thực tế</t>
  </si>
  <si>
    <t>TT sv KH</t>
  </si>
  <si>
    <t>KH T03</t>
  </si>
  <si>
    <t>TT T03</t>
  </si>
  <si>
    <t xml:space="preserve"> </t>
  </si>
  <si>
    <t>Đồng/kg</t>
  </si>
  <si>
    <t>Công ty</t>
  </si>
  <si>
    <t>Sản phẩm</t>
  </si>
  <si>
    <t>SL bán</t>
  </si>
  <si>
    <t>Giá EXW BQ</t>
  </si>
  <si>
    <t>Giá thành</t>
  </si>
  <si>
    <t>Tổng chi phí SX</t>
  </si>
  <si>
    <t>Tổng Lãi gộp</t>
  </si>
  <si>
    <t>% Lãi gộp/DT</t>
  </si>
  <si>
    <t>CP bán hàng, quản lý, TC phân bổ</t>
  </si>
  <si>
    <t>% LNST/DT</t>
  </si>
  <si>
    <t>Vảy HD Ép Trắng</t>
  </si>
  <si>
    <t>Hạt nhựa rPET WSS05SB</t>
  </si>
  <si>
    <t>GIA TƯỜNG</t>
  </si>
  <si>
    <t>Dây đai PET</t>
  </si>
  <si>
    <t>ĐẠI NHẤT LONG</t>
  </si>
  <si>
    <t>Vảy HD Ép Đỏ</t>
  </si>
  <si>
    <t>Hạt nhựa rPP20R02</t>
  </si>
  <si>
    <t>NHỰA TRƯỜNG AN</t>
  </si>
  <si>
    <t>HUY THÀNH</t>
  </si>
  <si>
    <t>Hạt nhựa rHDI3G01</t>
  </si>
  <si>
    <t>Hạt nhựa rHDI3Y01</t>
  </si>
  <si>
    <t>Hạt nhựa rHDI3R01</t>
  </si>
  <si>
    <t>ANTEX</t>
  </si>
  <si>
    <t>MTVN Plastic</t>
  </si>
  <si>
    <t>Hạt nhựa rHDB04B01</t>
  </si>
  <si>
    <t>VĂN MINH</t>
  </si>
  <si>
    <t>CPSX Nhựa Duy Tân</t>
  </si>
  <si>
    <t>Hạt nhựa rHDI4L01</t>
  </si>
  <si>
    <t>TỔNG</t>
  </si>
  <si>
    <t>*</t>
  </si>
  <si>
    <t>Hạt nhựa rPET WSS01G 1</t>
  </si>
  <si>
    <t>-</t>
  </si>
  <si>
    <t>Doanh thu kế toán</t>
  </si>
  <si>
    <t>Biến phí hàng bán</t>
  </si>
  <si>
    <t>Chiết khấu/hoa hồng</t>
  </si>
  <si>
    <t>Pallet xuất hàng</t>
  </si>
  <si>
    <t>Cp xuất khẩu</t>
  </si>
  <si>
    <t>Cp thuê xe giao hàng nội địa</t>
  </si>
  <si>
    <t>CPBH còn lại</t>
  </si>
  <si>
    <t>Chi phí lãi vay</t>
  </si>
  <si>
    <t>Cp khác (811)</t>
  </si>
  <si>
    <t>%CP phân bổ</t>
  </si>
  <si>
    <t>NHỮNG KHÁCH HÀNG, SẢN PHẨM BÁN LỖ NHIỀU LÀ NGUYÊN NHÂN CHÍNH LỢI NHUẬN T03.2026 BỊ LỖ</t>
  </si>
  <si>
    <t>VĨNH MINH PHƯỚC</t>
  </si>
  <si>
    <t>X</t>
  </si>
  <si>
    <t>ĐẠI LỤC</t>
  </si>
  <si>
    <t>Vảy PP Đỏ Nhạt</t>
  </si>
  <si>
    <t>HOÀNG TẤN</t>
  </si>
  <si>
    <t>Phó Sản PET Bụi Tank A</t>
  </si>
  <si>
    <t>Phó Sản PET Bụi Tank D</t>
  </si>
  <si>
    <t>Phó Sản PET Bụi Tank B</t>
  </si>
  <si>
    <t>CƯỜNG GIA PHÁT</t>
  </si>
  <si>
    <t>Vảy PET GC Dây Đai</t>
  </si>
  <si>
    <t>Quang Chí Bảo</t>
  </si>
  <si>
    <t>Hạt nhựa rPET WSS04SD</t>
  </si>
  <si>
    <t>MHE ENTERPRISE</t>
  </si>
  <si>
    <t>Suntory</t>
  </si>
  <si>
    <t>Hạt nhựa rPET iSS01084G</t>
  </si>
  <si>
    <t>Ngoài ra các khách đang có %Lãi gộp thấp:</t>
  </si>
  <si>
    <t>Niagara-US</t>
  </si>
  <si>
    <t>Tấn</t>
  </si>
  <si>
    <t>Tỷ đồng</t>
  </si>
  <si>
    <t>Triệu đồng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</si>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</sst>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_);\(&quot;$&quot;#,##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_(* #,##0,,,_);_(* \(#,##0,,,\);;_(@_)"/>
    <numFmt numFmtId="168" formatCode="[Color3]\▼_(* #,##0.0,,,_);_(* \(#,##0.0,,,\);;_(@_)"/>
    <numFmt numFmtId="169" formatCode="[Color10]\▲_(* #,##0.0,,,_);_(* \(#,##0.0,,,\);;_(@_)"/>
    <numFmt numFmtId="170" formatCode="[Color3]\▼_(* #,##0_);_(* \(#,##0\);;_(@_)"/>
    <numFmt numFmtId="171" formatCode="[Color10]\▲_(* #,##0_);_(* \(#,##0\);;_(@_)"/>
    <numFmt numFmtId="172" formatCode="_(* #,##0.0,,,_);_(* \(#,##0.0,,,\);;_(@_)"/>
    <numFmt numFmtId="173" formatCode="_(* #,##0,,_);_(* \(#,##0,,\);_(* &quot;-&quot;??_);_(@_)"/>
    <numFmt numFmtId="174" formatCode="_(* #,##0.0,,,_);_(* \(#,##0.0,,,\);_(* &quot;-&quot;??_);_(@_)"/>
    <numFmt numFmtId="175" formatCode="_(* #,##0,,,_);_(* \(#,##0,,,\);_(* &quot;-&quot;??_);_(@_)"/>
    <numFmt numFmtId="176" formatCode="_(* #,##0.00,,,_);_(* \(#,##0.00,,,\);_(* &quot;-&quot;??_);_(@_)"/>
    <numFmt numFmtId="177" formatCode="_(* #,##0.00,,,_);_(* \(#,##0.00,,,\);;_(@_)"/>
    <numFmt numFmtId="178" formatCode="_(* #,##0.000,,,_);_(* \(#,##0.000,,,\);;_(@_)"/>
    <numFmt numFmtId="180" formatCode="_(* #,##0,_);_(* \(#,##0,\);_(* &quot;-&quot;??_);_(@_)"/>
    <numFmt numFmtId="181" formatCode="_(* #,##0.0,,_);_(* \(#,##0.0,,\);_(* &quot;-&quot;??_);_(@_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i/>
      <sz val="11"/>
      <color rgb="FF00B0F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B0F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theme="6" tint="0.59999389629810485"/>
      <name val="Aptos Narrow"/>
      <family val="2"/>
      <scheme val="minor"/>
    </font>
    <font>
      <b/>
      <sz val="11"/>
      <color theme="6" tint="0.59999389629810485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00B0F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4"/>
      <color rgb="FF0066FF"/>
      <name val="Aptos Display"/>
      <family val="2"/>
      <scheme val="major"/>
    </font>
    <font>
      <sz val="11"/>
      <color rgb="FF0066FF"/>
      <name val="Aptos Display"/>
      <family val="2"/>
      <scheme val="major"/>
    </font>
  </fonts>
  <fills count="2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39997558519241921"/>
        <bgColor theme="4" tint="0.79998168889431442"/>
      </patternFill>
    </fill>
  </fills>
  <borders count="3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theme="0" tint="-0.14996795556505021"/>
      </top>
      <bottom style="hair">
        <color theme="0" tint="-0.149937437055574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hair">
        <color theme="0" tint="-0.14993743705557422"/>
      </bottom>
      <diagonal/>
    </border>
    <border>
      <left/>
      <right/>
      <top style="hair">
        <color theme="0" tint="-0.14993743705557422"/>
      </top>
      <bottom style="hair">
        <color theme="0" tint="-0.14993743705557422"/>
      </bottom>
      <diagonal/>
    </border>
    <border>
      <left/>
      <right/>
      <top style="hair">
        <color theme="0" tint="-0.14993743705557422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3">
    <xf numFmtId="0" fontId="0" fillId="0" borderId="0" xfId="0"/>
    <xf numFmtId="164" fontId="0" fillId="0" borderId="0" xfId="1" applyNumberFormat="1" applyFont="1"/>
    <xf numFmtId="165" fontId="2" fillId="0" borderId="0" xfId="0" applyNumberFormat="1" applyFont="1"/>
    <xf numFmtId="43" fontId="2" fillId="0" borderId="0" xfId="1" applyFont="1"/>
    <xf numFmtId="166" fontId="2" fillId="2" borderId="1" xfId="0" applyNumberFormat="1" applyFont="1" applyFill="1" applyBorder="1"/>
    <xf numFmtId="0" fontId="2" fillId="2" borderId="1" xfId="0" applyFont="1" applyFill="1" applyBorder="1"/>
    <xf numFmtId="165" fontId="0" fillId="0" borderId="0" xfId="0" applyNumberFormat="1"/>
    <xf numFmtId="43" fontId="0" fillId="0" borderId="0" xfId="1" applyFont="1"/>
    <xf numFmtId="166" fontId="0" fillId="2" borderId="0" xfId="1" applyNumberFormat="1" applyFont="1" applyFill="1"/>
    <xf numFmtId="0" fontId="0" fillId="2" borderId="0" xfId="0" applyFill="1"/>
    <xf numFmtId="166" fontId="0" fillId="2" borderId="0" xfId="0" applyNumberFormat="1" applyFill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165" fontId="2" fillId="0" borderId="0" xfId="1" applyNumberFormat="1" applyFont="1"/>
    <xf numFmtId="43" fontId="2" fillId="0" borderId="1" xfId="0" applyNumberFormat="1" applyFont="1" applyBorder="1"/>
    <xf numFmtId="0" fontId="2" fillId="0" borderId="1" xfId="0" applyFont="1" applyBorder="1"/>
    <xf numFmtId="165" fontId="0" fillId="0" borderId="0" xfId="1" applyNumberFormat="1" applyFont="1"/>
    <xf numFmtId="166" fontId="0" fillId="0" borderId="0" xfId="1" applyNumberFormat="1" applyFont="1"/>
    <xf numFmtId="164" fontId="0" fillId="0" borderId="0" xfId="0" applyNumberFormat="1"/>
    <xf numFmtId="0" fontId="2" fillId="0" borderId="0" xfId="0" applyFont="1" applyAlignment="1">
      <alignment horizontal="right"/>
    </xf>
    <xf numFmtId="0" fontId="3" fillId="0" borderId="0" xfId="0" applyFont="1"/>
    <xf numFmtId="0" fontId="5" fillId="0" borderId="0" xfId="0" applyFont="1"/>
    <xf numFmtId="166" fontId="5" fillId="0" borderId="0" xfId="1" applyNumberFormat="1" applyFont="1" applyFill="1"/>
    <xf numFmtId="164" fontId="2" fillId="3" borderId="0" xfId="1" applyNumberFormat="1" applyFont="1" applyFill="1"/>
    <xf numFmtId="164" fontId="2" fillId="3" borderId="0" xfId="0" applyNumberFormat="1" applyFont="1" applyFill="1"/>
    <xf numFmtId="0" fontId="0" fillId="4" borderId="0" xfId="0" applyFill="1"/>
    <xf numFmtId="165" fontId="0" fillId="5" borderId="0" xfId="0" applyNumberFormat="1" applyFill="1"/>
    <xf numFmtId="164" fontId="0" fillId="5" borderId="0" xfId="0" applyNumberFormat="1" applyFill="1"/>
    <xf numFmtId="164" fontId="2" fillId="5" borderId="0" xfId="1" applyNumberFormat="1" applyFont="1" applyFill="1"/>
    <xf numFmtId="167" fontId="2" fillId="6" borderId="0" xfId="1" applyNumberFormat="1" applyFont="1" applyFill="1"/>
    <xf numFmtId="168" fontId="2" fillId="6" borderId="0" xfId="1" applyNumberFormat="1" applyFont="1" applyFill="1" applyAlignment="1">
      <alignment horizontal="right"/>
    </xf>
    <xf numFmtId="169" fontId="2" fillId="6" borderId="0" xfId="1" applyNumberFormat="1" applyFont="1" applyFill="1" applyAlignment="1">
      <alignment horizontal="right"/>
    </xf>
    <xf numFmtId="167" fontId="0" fillId="6" borderId="0" xfId="1" applyNumberFormat="1" applyFont="1" applyFill="1"/>
    <xf numFmtId="0" fontId="0" fillId="6" borderId="0" xfId="0" applyFill="1"/>
    <xf numFmtId="164" fontId="0" fillId="3" borderId="0" xfId="1" applyNumberFormat="1" applyFont="1" applyFill="1"/>
    <xf numFmtId="0" fontId="0" fillId="5" borderId="0" xfId="0" applyFill="1"/>
    <xf numFmtId="0" fontId="0" fillId="3" borderId="0" xfId="0" applyFill="1"/>
    <xf numFmtId="164" fontId="6" fillId="7" borderId="0" xfId="0" applyNumberFormat="1" applyFont="1" applyFill="1"/>
    <xf numFmtId="164" fontId="6" fillId="8" borderId="0" xfId="1" applyNumberFormat="1" applyFont="1" applyFill="1"/>
    <xf numFmtId="164" fontId="0" fillId="9" borderId="0" xfId="1" applyNumberFormat="1" applyFont="1" applyFill="1"/>
    <xf numFmtId="164" fontId="0" fillId="5" borderId="0" xfId="1" applyNumberFormat="1" applyFont="1" applyFill="1"/>
    <xf numFmtId="165" fontId="0" fillId="6" borderId="0" xfId="0" applyNumberFormat="1" applyFill="1"/>
    <xf numFmtId="5" fontId="0" fillId="6" borderId="0" xfId="1" applyNumberFormat="1" applyFont="1" applyFill="1"/>
    <xf numFmtId="164" fontId="0" fillId="7" borderId="0" xfId="0" applyNumberFormat="1" applyFill="1"/>
    <xf numFmtId="164" fontId="0" fillId="8" borderId="0" xfId="1" applyNumberFormat="1" applyFont="1" applyFill="1"/>
    <xf numFmtId="164" fontId="0" fillId="4" borderId="0" xfId="1" applyNumberFormat="1" applyFont="1" applyFill="1"/>
    <xf numFmtId="164" fontId="2" fillId="4" borderId="0" xfId="0" applyNumberFormat="1" applyFont="1" applyFill="1"/>
    <xf numFmtId="165" fontId="2" fillId="6" borderId="0" xfId="0" applyNumberFormat="1" applyFont="1" applyFill="1"/>
    <xf numFmtId="164" fontId="2" fillId="6" borderId="0" xfId="1" applyNumberFormat="1" applyFont="1" applyFill="1"/>
    <xf numFmtId="0" fontId="2" fillId="6" borderId="0" xfId="0" applyFont="1" applyFill="1"/>
    <xf numFmtId="0" fontId="2" fillId="0" borderId="0" xfId="0" applyFont="1"/>
    <xf numFmtId="167" fontId="2" fillId="6" borderId="0" xfId="1" applyNumberFormat="1" applyFont="1" applyFill="1" applyAlignment="1">
      <alignment horizontal="right"/>
    </xf>
    <xf numFmtId="170" fontId="2" fillId="6" borderId="0" xfId="1" applyNumberFormat="1" applyFont="1" applyFill="1" applyAlignment="1">
      <alignment horizontal="right"/>
    </xf>
    <xf numFmtId="171" fontId="2" fillId="6" borderId="0" xfId="1" applyNumberFormat="1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4" borderId="0" xfId="0" applyFont="1" applyFill="1"/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right"/>
    </xf>
    <xf numFmtId="0" fontId="2" fillId="8" borderId="0" xfId="0" applyFont="1" applyFill="1" applyAlignment="1">
      <alignment horizontal="right"/>
    </xf>
    <xf numFmtId="0" fontId="2" fillId="6" borderId="0" xfId="0" applyFont="1" applyFill="1" applyAlignment="1">
      <alignment horizontal="right"/>
    </xf>
    <xf numFmtId="164" fontId="5" fillId="0" borderId="0" xfId="1" applyNumberFormat="1" applyFont="1" applyFill="1"/>
    <xf numFmtId="164" fontId="0" fillId="10" borderId="0" xfId="1" applyNumberFormat="1" applyFont="1" applyFill="1"/>
    <xf numFmtId="164" fontId="0" fillId="10" borderId="0" xfId="0" applyNumberFormat="1" applyFill="1"/>
    <xf numFmtId="0" fontId="0" fillId="8" borderId="0" xfId="0" applyFill="1"/>
    <xf numFmtId="164" fontId="9" fillId="0" borderId="0" xfId="0" applyNumberFormat="1" applyFont="1"/>
    <xf numFmtId="164" fontId="2" fillId="8" borderId="0" xfId="1" applyNumberFormat="1" applyFont="1" applyFill="1"/>
    <xf numFmtId="0" fontId="2" fillId="8" borderId="0" xfId="0" applyFont="1" applyFill="1"/>
    <xf numFmtId="164" fontId="0" fillId="7" borderId="0" xfId="1" applyNumberFormat="1" applyFont="1" applyFill="1"/>
    <xf numFmtId="0" fontId="0" fillId="7" borderId="0" xfId="0" applyFill="1"/>
    <xf numFmtId="164" fontId="2" fillId="7" borderId="0" xfId="1" applyNumberFormat="1" applyFont="1" applyFill="1"/>
    <xf numFmtId="164" fontId="2" fillId="7" borderId="0" xfId="1" applyNumberFormat="1" applyFont="1" applyFill="1" applyAlignment="1">
      <alignment horizontal="right"/>
    </xf>
    <xf numFmtId="0" fontId="2" fillId="7" borderId="0" xfId="0" applyFont="1" applyFill="1"/>
    <xf numFmtId="164" fontId="5" fillId="0" borderId="0" xfId="0" applyNumberFormat="1" applyFont="1"/>
    <xf numFmtId="164" fontId="2" fillId="0" borderId="0" xfId="0" applyNumberFormat="1" applyFont="1"/>
    <xf numFmtId="164" fontId="2" fillId="0" borderId="0" xfId="1" applyNumberFormat="1" applyFont="1"/>
    <xf numFmtId="164" fontId="2" fillId="0" borderId="2" xfId="0" applyNumberFormat="1" applyFont="1" applyBorder="1"/>
    <xf numFmtId="0" fontId="2" fillId="0" borderId="2" xfId="0" applyFont="1" applyBorder="1"/>
    <xf numFmtId="0" fontId="10" fillId="0" borderId="0" xfId="0" applyFont="1"/>
    <xf numFmtId="0" fontId="11" fillId="0" borderId="0" xfId="0" applyFont="1"/>
    <xf numFmtId="164" fontId="11" fillId="0" borderId="0" xfId="0" applyNumberFormat="1" applyFont="1"/>
    <xf numFmtId="164" fontId="11" fillId="0" borderId="0" xfId="1" applyNumberFormat="1" applyFont="1"/>
    <xf numFmtId="0" fontId="12" fillId="0" borderId="0" xfId="0" applyFont="1"/>
    <xf numFmtId="164" fontId="12" fillId="0" borderId="0" xfId="1" applyNumberFormat="1" applyFont="1"/>
    <xf numFmtId="165" fontId="11" fillId="0" borderId="0" xfId="0" applyNumberFormat="1" applyFont="1"/>
    <xf numFmtId="11" fontId="12" fillId="0" borderId="0" xfId="0" applyNumberFormat="1" applyFont="1"/>
    <xf numFmtId="165" fontId="12" fillId="0" borderId="0" xfId="0" applyNumberFormat="1" applyFont="1"/>
    <xf numFmtId="164" fontId="12" fillId="0" borderId="0" xfId="0" applyNumberFormat="1" applyFont="1"/>
    <xf numFmtId="0" fontId="13" fillId="11" borderId="0" xfId="0" applyFont="1" applyFill="1" applyAlignment="1">
      <alignment horizontal="right"/>
    </xf>
    <xf numFmtId="0" fontId="14" fillId="11" borderId="0" xfId="0" applyFont="1" applyFill="1"/>
    <xf numFmtId="0" fontId="0" fillId="11" borderId="3" xfId="0" applyFill="1" applyBorder="1" applyAlignment="1">
      <alignment horizontal="centerContinuous"/>
    </xf>
    <xf numFmtId="0" fontId="13" fillId="11" borderId="3" xfId="0" applyFont="1" applyFill="1" applyBorder="1" applyAlignment="1">
      <alignment horizontal="centerContinuous"/>
    </xf>
    <xf numFmtId="43" fontId="0" fillId="0" borderId="0" xfId="0" applyNumberFormat="1"/>
    <xf numFmtId="0" fontId="0" fillId="12" borderId="0" xfId="0" applyFill="1"/>
    <xf numFmtId="10" fontId="0" fillId="0" borderId="0" xfId="0" applyNumberFormat="1"/>
    <xf numFmtId="166" fontId="5" fillId="12" borderId="0" xfId="1" applyNumberFormat="1" applyFont="1" applyFill="1"/>
    <xf numFmtId="172" fontId="2" fillId="6" borderId="0" xfId="1" applyNumberFormat="1" applyFont="1" applyFill="1"/>
    <xf numFmtId="164" fontId="15" fillId="0" borderId="0" xfId="0" applyNumberFormat="1" applyFont="1"/>
    <xf numFmtId="165" fontId="0" fillId="3" borderId="0" xfId="0" applyNumberFormat="1" applyFill="1"/>
    <xf numFmtId="5" fontId="0" fillId="3" borderId="0" xfId="1" applyNumberFormat="1" applyFont="1" applyFill="1"/>
    <xf numFmtId="165" fontId="2" fillId="3" borderId="0" xfId="0" applyNumberFormat="1" applyFont="1" applyFill="1"/>
    <xf numFmtId="0" fontId="2" fillId="3" borderId="0" xfId="0" applyFont="1" applyFill="1"/>
    <xf numFmtId="172" fontId="2" fillId="6" borderId="0" xfId="1" applyNumberFormat="1" applyFont="1" applyFill="1" applyAlignment="1">
      <alignment horizontal="right"/>
    </xf>
    <xf numFmtId="0" fontId="2" fillId="3" borderId="0" xfId="0" applyFont="1" applyFill="1" applyAlignment="1">
      <alignment horizontal="center"/>
    </xf>
    <xf numFmtId="5" fontId="0" fillId="0" borderId="0" xfId="0" applyNumberFormat="1"/>
    <xf numFmtId="167" fontId="0" fillId="0" borderId="0" xfId="0" applyNumberFormat="1"/>
    <xf numFmtId="165" fontId="1" fillId="8" borderId="0" xfId="0" applyNumberFormat="1" applyFont="1" applyFill="1"/>
    <xf numFmtId="0" fontId="6" fillId="0" borderId="0" xfId="0" applyFont="1"/>
    <xf numFmtId="164" fontId="5" fillId="12" borderId="0" xfId="1" applyNumberFormat="1" applyFont="1" applyFill="1"/>
    <xf numFmtId="164" fontId="16" fillId="8" borderId="0" xfId="1" applyNumberFormat="1" applyFont="1" applyFill="1"/>
    <xf numFmtId="165" fontId="2" fillId="3" borderId="0" xfId="1" applyNumberFormat="1" applyFont="1" applyFill="1"/>
    <xf numFmtId="165" fontId="0" fillId="3" borderId="0" xfId="1" applyNumberFormat="1" applyFont="1" applyFill="1"/>
    <xf numFmtId="0" fontId="15" fillId="0" borderId="0" xfId="0" applyFont="1"/>
    <xf numFmtId="164" fontId="0" fillId="6" borderId="0" xfId="1" applyNumberFormat="1" applyFont="1" applyFill="1"/>
    <xf numFmtId="164" fontId="0" fillId="9" borderId="4" xfId="1" applyNumberFormat="1" applyFont="1" applyFill="1" applyBorder="1"/>
    <xf numFmtId="167" fontId="0" fillId="6" borderId="4" xfId="1" applyNumberFormat="1" applyFont="1" applyFill="1" applyBorder="1"/>
    <xf numFmtId="168" fontId="2" fillId="6" borderId="4" xfId="1" applyNumberFormat="1" applyFont="1" applyFill="1" applyBorder="1" applyAlignment="1">
      <alignment horizontal="right"/>
    </xf>
    <xf numFmtId="169" fontId="2" fillId="6" borderId="4" xfId="1" applyNumberFormat="1" applyFont="1" applyFill="1" applyBorder="1" applyAlignment="1">
      <alignment horizontal="right"/>
    </xf>
    <xf numFmtId="0" fontId="0" fillId="6" borderId="4" xfId="0" applyFill="1" applyBorder="1"/>
    <xf numFmtId="164" fontId="0" fillId="9" borderId="0" xfId="1" applyNumberFormat="1" applyFont="1" applyFill="1" applyBorder="1"/>
    <xf numFmtId="167" fontId="0" fillId="6" borderId="0" xfId="1" applyNumberFormat="1" applyFont="1" applyFill="1" applyBorder="1"/>
    <xf numFmtId="168" fontId="2" fillId="6" borderId="0" xfId="1" applyNumberFormat="1" applyFont="1" applyFill="1" applyBorder="1" applyAlignment="1">
      <alignment horizontal="right"/>
    </xf>
    <xf numFmtId="169" fontId="2" fillId="6" borderId="0" xfId="1" applyNumberFormat="1" applyFont="1" applyFill="1" applyBorder="1" applyAlignment="1">
      <alignment horizontal="right"/>
    </xf>
    <xf numFmtId="164" fontId="0" fillId="9" borderId="5" xfId="1" applyNumberFormat="1" applyFont="1" applyFill="1" applyBorder="1"/>
    <xf numFmtId="167" fontId="0" fillId="6" borderId="5" xfId="1" applyNumberFormat="1" applyFont="1" applyFill="1" applyBorder="1"/>
    <xf numFmtId="168" fontId="2" fillId="6" borderId="5" xfId="1" applyNumberFormat="1" applyFont="1" applyFill="1" applyBorder="1" applyAlignment="1">
      <alignment horizontal="right"/>
    </xf>
    <xf numFmtId="169" fontId="2" fillId="6" borderId="5" xfId="1" applyNumberFormat="1" applyFont="1" applyFill="1" applyBorder="1" applyAlignment="1">
      <alignment horizontal="right"/>
    </xf>
    <xf numFmtId="0" fontId="0" fillId="6" borderId="5" xfId="0" applyFill="1" applyBorder="1"/>
    <xf numFmtId="0" fontId="2" fillId="3" borderId="0" xfId="0" quotePrefix="1" applyFont="1" applyFill="1" applyAlignment="1">
      <alignment horizontal="right"/>
    </xf>
    <xf numFmtId="0" fontId="17" fillId="0" borderId="0" xfId="0" applyFont="1"/>
    <xf numFmtId="164" fontId="2" fillId="6" borderId="2" xfId="0" applyNumberFormat="1" applyFont="1" applyFill="1" applyBorder="1"/>
    <xf numFmtId="0" fontId="2" fillId="6" borderId="2" xfId="0" applyFont="1" applyFill="1" applyBorder="1"/>
    <xf numFmtId="164" fontId="0" fillId="2" borderId="0" xfId="1" applyNumberFormat="1" applyFont="1" applyFill="1"/>
    <xf numFmtId="164" fontId="10" fillId="6" borderId="0" xfId="1" applyNumberFormat="1" applyFont="1" applyFill="1"/>
    <xf numFmtId="0" fontId="10" fillId="6" borderId="0" xfId="0" applyFont="1" applyFill="1"/>
    <xf numFmtId="164" fontId="2" fillId="2" borderId="0" xfId="0" applyNumberFormat="1" applyFont="1" applyFill="1"/>
    <xf numFmtId="0" fontId="2" fillId="5" borderId="0" xfId="0" applyFont="1" applyFill="1" applyAlignment="1">
      <alignment horizontal="right"/>
    </xf>
    <xf numFmtId="0" fontId="2" fillId="2" borderId="0" xfId="0" applyFont="1" applyFill="1"/>
    <xf numFmtId="164" fontId="11" fillId="6" borderId="0" xfId="1" applyNumberFormat="1" applyFont="1" applyFill="1"/>
    <xf numFmtId="0" fontId="11" fillId="6" borderId="0" xfId="0" applyFont="1" applyFill="1"/>
    <xf numFmtId="164" fontId="12" fillId="6" borderId="0" xfId="1" applyNumberFormat="1" applyFont="1" applyFill="1"/>
    <xf numFmtId="0" fontId="12" fillId="6" borderId="0" xfId="0" applyFont="1" applyFill="1"/>
    <xf numFmtId="164" fontId="11" fillId="6" borderId="0" xfId="0" applyNumberFormat="1" applyFont="1" applyFill="1"/>
    <xf numFmtId="164" fontId="12" fillId="6" borderId="0" xfId="0" applyNumberFormat="1" applyFont="1" applyFill="1"/>
    <xf numFmtId="173" fontId="0" fillId="0" borderId="0" xfId="0" applyNumberFormat="1"/>
    <xf numFmtId="174" fontId="0" fillId="3" borderId="0" xfId="0" applyNumberFormat="1" applyFill="1"/>
    <xf numFmtId="175" fontId="0" fillId="3" borderId="0" xfId="0" applyNumberFormat="1" applyFill="1"/>
    <xf numFmtId="173" fontId="2" fillId="6" borderId="1" xfId="1" applyNumberFormat="1" applyFont="1" applyFill="1" applyBorder="1"/>
    <xf numFmtId="0" fontId="2" fillId="6" borderId="1" xfId="0" applyFont="1" applyFill="1" applyBorder="1"/>
    <xf numFmtId="173" fontId="0" fillId="6" borderId="0" xfId="1" applyNumberFormat="1" applyFont="1" applyFill="1"/>
    <xf numFmtId="173" fontId="1" fillId="6" borderId="0" xfId="1" applyNumberFormat="1" applyFont="1" applyFill="1"/>
    <xf numFmtId="173" fontId="15" fillId="6" borderId="0" xfId="1" applyNumberFormat="1" applyFont="1" applyFill="1"/>
    <xf numFmtId="0" fontId="15" fillId="6" borderId="0" xfId="0" applyFont="1" applyFill="1"/>
    <xf numFmtId="0" fontId="13" fillId="13" borderId="0" xfId="0" applyFont="1" applyFill="1" applyAlignment="1">
      <alignment horizontal="right"/>
    </xf>
    <xf numFmtId="0" fontId="13" fillId="13" borderId="0" xfId="0" applyFont="1" applyFill="1"/>
    <xf numFmtId="3" fontId="0" fillId="0" borderId="0" xfId="0" applyNumberFormat="1"/>
    <xf numFmtId="164" fontId="0" fillId="8" borderId="0" xfId="0" applyNumberFormat="1" applyFill="1"/>
    <xf numFmtId="165" fontId="0" fillId="8" borderId="0" xfId="0" applyNumberFormat="1" applyFill="1"/>
    <xf numFmtId="0" fontId="2" fillId="12" borderId="0" xfId="0" applyFont="1" applyFill="1"/>
    <xf numFmtId="10" fontId="2" fillId="12" borderId="0" xfId="0" applyNumberFormat="1" applyFont="1" applyFill="1"/>
    <xf numFmtId="0" fontId="13" fillId="14" borderId="0" xfId="0" applyFont="1" applyFill="1"/>
    <xf numFmtId="0" fontId="13" fillId="14" borderId="0" xfId="0" applyFont="1" applyFill="1" applyAlignment="1">
      <alignment horizontal="right"/>
    </xf>
    <xf numFmtId="0" fontId="13" fillId="1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15" borderId="0" xfId="0" applyFont="1" applyFill="1"/>
    <xf numFmtId="0" fontId="0" fillId="15" borderId="0" xfId="0" applyFill="1"/>
    <xf numFmtId="43" fontId="0" fillId="15" borderId="0" xfId="0" applyNumberFormat="1" applyFill="1"/>
    <xf numFmtId="165" fontId="0" fillId="15" borderId="0" xfId="0" applyNumberFormat="1" applyFill="1"/>
    <xf numFmtId="43" fontId="1" fillId="15" borderId="0" xfId="1" applyFont="1" applyFill="1"/>
    <xf numFmtId="0" fontId="2" fillId="16" borderId="0" xfId="0" applyFont="1" applyFill="1"/>
    <xf numFmtId="0" fontId="2" fillId="16" borderId="0" xfId="0" applyFont="1" applyFill="1" applyAlignment="1">
      <alignment horizontal="right"/>
    </xf>
    <xf numFmtId="0" fontId="0" fillId="16" borderId="0" xfId="0" applyFill="1"/>
    <xf numFmtId="43" fontId="0" fillId="16" borderId="0" xfId="1" applyFont="1" applyFill="1"/>
    <xf numFmtId="165" fontId="0" fillId="16" borderId="0" xfId="0" applyNumberFormat="1" applyFill="1"/>
    <xf numFmtId="0" fontId="2" fillId="16" borderId="1" xfId="0" applyFont="1" applyFill="1" applyBorder="1"/>
    <xf numFmtId="43" fontId="2" fillId="16" borderId="0" xfId="1" applyFont="1" applyFill="1"/>
    <xf numFmtId="165" fontId="2" fillId="16" borderId="0" xfId="0" applyNumberFormat="1" applyFont="1" applyFill="1"/>
    <xf numFmtId="43" fontId="0" fillId="16" borderId="0" xfId="0" applyNumberFormat="1" applyFill="1"/>
    <xf numFmtId="43" fontId="2" fillId="16" borderId="1" xfId="0" applyNumberFormat="1" applyFont="1" applyFill="1" applyBorder="1"/>
    <xf numFmtId="0" fontId="18" fillId="0" borderId="0" xfId="0" applyFont="1"/>
    <xf numFmtId="43" fontId="0" fillId="8" borderId="0" xfId="1" applyFont="1" applyFill="1"/>
    <xf numFmtId="164" fontId="11" fillId="0" borderId="0" xfId="1" applyNumberFormat="1" applyFont="1" applyFill="1"/>
    <xf numFmtId="164" fontId="2" fillId="0" borderId="0" xfId="1" applyNumberFormat="1" applyFont="1" applyFill="1"/>
    <xf numFmtId="164" fontId="10" fillId="0" borderId="0" xfId="1" applyNumberFormat="1" applyFont="1" applyFill="1"/>
    <xf numFmtId="0" fontId="2" fillId="16" borderId="0" xfId="0" quotePrefix="1" applyFont="1" applyFill="1" applyAlignment="1">
      <alignment horizontal="right"/>
    </xf>
    <xf numFmtId="43" fontId="0" fillId="2" borderId="0" xfId="0" applyNumberFormat="1" applyFill="1"/>
    <xf numFmtId="164" fontId="0" fillId="6" borderId="0" xfId="0" applyNumberFormat="1" applyFill="1"/>
    <xf numFmtId="164" fontId="15" fillId="0" borderId="0" xfId="1" applyNumberFormat="1" applyFont="1" applyFill="1"/>
    <xf numFmtId="0" fontId="0" fillId="0" borderId="7" xfId="0" applyBorder="1"/>
    <xf numFmtId="0" fontId="2" fillId="0" borderId="8" xfId="0" applyFont="1" applyBorder="1" applyAlignment="1">
      <alignment horizontal="right"/>
    </xf>
    <xf numFmtId="164" fontId="0" fillId="0" borderId="8" xfId="0" applyNumberFormat="1" applyBorder="1"/>
    <xf numFmtId="164" fontId="0" fillId="0" borderId="9" xfId="0" applyNumberFormat="1" applyBorder="1"/>
    <xf numFmtId="0" fontId="2" fillId="17" borderId="0" xfId="0" applyFont="1" applyFill="1" applyAlignment="1">
      <alignment horizontal="right"/>
    </xf>
    <xf numFmtId="0" fontId="0" fillId="17" borderId="0" xfId="0" applyFill="1"/>
    <xf numFmtId="169" fontId="2" fillId="17" borderId="0" xfId="1" applyNumberFormat="1" applyFont="1" applyFill="1" applyAlignment="1">
      <alignment horizontal="right"/>
    </xf>
    <xf numFmtId="168" fontId="2" fillId="17" borderId="0" xfId="1" applyNumberFormat="1" applyFont="1" applyFill="1" applyAlignment="1">
      <alignment horizontal="right"/>
    </xf>
    <xf numFmtId="165" fontId="0" fillId="17" borderId="0" xfId="0" applyNumberFormat="1" applyFill="1"/>
    <xf numFmtId="164" fontId="6" fillId="6" borderId="0" xfId="1" applyNumberFormat="1" applyFont="1" applyFill="1"/>
    <xf numFmtId="167" fontId="2" fillId="8" borderId="0" xfId="1" applyNumberFormat="1" applyFont="1" applyFill="1" applyAlignment="1">
      <alignment horizontal="right"/>
    </xf>
    <xf numFmtId="167" fontId="6" fillId="8" borderId="0" xfId="1" applyNumberFormat="1" applyFont="1" applyFill="1" applyAlignment="1">
      <alignment horizontal="right"/>
    </xf>
    <xf numFmtId="0" fontId="0" fillId="11" borderId="0" xfId="0" applyFill="1" applyAlignment="1">
      <alignment horizontal="centerContinuous"/>
    </xf>
    <xf numFmtId="0" fontId="13" fillId="11" borderId="10" xfId="0" applyFont="1" applyFill="1" applyBorder="1" applyAlignment="1">
      <alignment horizontal="right"/>
    </xf>
    <xf numFmtId="177" fontId="6" fillId="8" borderId="0" xfId="1" applyNumberFormat="1" applyFont="1" applyFill="1" applyAlignment="1">
      <alignment horizontal="right"/>
    </xf>
    <xf numFmtId="177" fontId="2" fillId="7" borderId="0" xfId="1" applyNumberFormat="1" applyFont="1" applyFill="1" applyAlignment="1">
      <alignment horizontal="right"/>
    </xf>
    <xf numFmtId="177" fontId="1" fillId="7" borderId="0" xfId="1" applyNumberFormat="1" applyFont="1" applyFill="1" applyAlignment="1">
      <alignment horizontal="right"/>
    </xf>
    <xf numFmtId="0" fontId="16" fillId="0" borderId="0" xfId="0" applyFont="1"/>
    <xf numFmtId="165" fontId="16" fillId="0" borderId="0" xfId="0" applyNumberFormat="1" applyFont="1"/>
    <xf numFmtId="164" fontId="10" fillId="0" borderId="0" xfId="1" applyNumberFormat="1" applyFont="1"/>
    <xf numFmtId="165" fontId="10" fillId="0" borderId="0" xfId="1" applyNumberFormat="1" applyFont="1"/>
    <xf numFmtId="0" fontId="0" fillId="6" borderId="0" xfId="1" applyNumberFormat="1" applyFont="1" applyFill="1"/>
    <xf numFmtId="177" fontId="2" fillId="8" borderId="0" xfId="1" applyNumberFormat="1" applyFont="1" applyFill="1" applyAlignment="1">
      <alignment horizontal="right"/>
    </xf>
    <xf numFmtId="178" fontId="2" fillId="8" borderId="0" xfId="1" applyNumberFormat="1" applyFont="1" applyFill="1" applyAlignment="1">
      <alignment horizontal="right"/>
    </xf>
    <xf numFmtId="0" fontId="16" fillId="8" borderId="0" xfId="0" applyFont="1" applyFill="1"/>
    <xf numFmtId="167" fontId="19" fillId="8" borderId="0" xfId="1" applyNumberFormat="1" applyFont="1" applyFill="1" applyAlignment="1">
      <alignment horizontal="right"/>
    </xf>
    <xf numFmtId="167" fontId="16" fillId="0" borderId="0" xfId="0" applyNumberFormat="1" applyFont="1"/>
    <xf numFmtId="176" fontId="2" fillId="3" borderId="0" xfId="0" applyNumberFormat="1" applyFont="1" applyFill="1"/>
    <xf numFmtId="175" fontId="2" fillId="3" borderId="0" xfId="0" applyNumberFormat="1" applyFont="1" applyFill="1"/>
    <xf numFmtId="174" fontId="2" fillId="3" borderId="0" xfId="0" applyNumberFormat="1" applyFont="1" applyFill="1"/>
    <xf numFmtId="164" fontId="2" fillId="12" borderId="0" xfId="1" applyNumberFormat="1" applyFont="1" applyFill="1"/>
    <xf numFmtId="164" fontId="2" fillId="12" borderId="0" xfId="0" applyNumberFormat="1" applyFont="1" applyFill="1"/>
    <xf numFmtId="177" fontId="19" fillId="8" borderId="0" xfId="1" applyNumberFormat="1" applyFont="1" applyFill="1" applyAlignment="1">
      <alignment horizontal="right"/>
    </xf>
    <xf numFmtId="0" fontId="0" fillId="0" borderId="0" xfId="0" applyAlignment="1">
      <alignment horizontal="right"/>
    </xf>
    <xf numFmtId="176" fontId="0" fillId="0" borderId="0" xfId="0" applyNumberFormat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164" fontId="0" fillId="0" borderId="6" xfId="1" applyNumberFormat="1" applyFont="1" applyBorder="1" applyAlignment="1">
      <alignment vertical="center"/>
    </xf>
    <xf numFmtId="164" fontId="0" fillId="6" borderId="6" xfId="1" applyNumberFormat="1" applyFont="1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164" fontId="0" fillId="0" borderId="11" xfId="1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164" fontId="0" fillId="0" borderId="12" xfId="1" applyNumberFormat="1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164" fontId="0" fillId="0" borderId="13" xfId="1" applyNumberFormat="1" applyFont="1" applyBorder="1" applyAlignment="1">
      <alignment vertical="center"/>
    </xf>
    <xf numFmtId="164" fontId="0" fillId="6" borderId="13" xfId="1" applyNumberFormat="1" applyFont="1" applyFill="1" applyBorder="1" applyAlignment="1">
      <alignment vertical="center"/>
    </xf>
    <xf numFmtId="0" fontId="16" fillId="6" borderId="0" xfId="0" quotePrefix="1" applyFont="1" applyFill="1"/>
    <xf numFmtId="164" fontId="16" fillId="6" borderId="0" xfId="0" applyNumberFormat="1" applyFont="1" applyFill="1"/>
    <xf numFmtId="11" fontId="0" fillId="0" borderId="0" xfId="0" applyNumberFormat="1"/>
    <xf numFmtId="0" fontId="21" fillId="18" borderId="0" xfId="0" applyFont="1" applyFill="1"/>
    <xf numFmtId="0" fontId="0" fillId="18" borderId="0" xfId="0" applyFill="1"/>
    <xf numFmtId="0" fontId="22" fillId="18" borderId="14" xfId="0" applyFont="1" applyFill="1" applyBorder="1" applyAlignment="1">
      <alignment horizontal="center"/>
    </xf>
    <xf numFmtId="0" fontId="22" fillId="18" borderId="15" xfId="0" applyFont="1" applyFill="1" applyBorder="1" applyAlignment="1">
      <alignment horizontal="center"/>
    </xf>
    <xf numFmtId="0" fontId="22" fillId="18" borderId="5" xfId="0" applyFont="1" applyFill="1" applyBorder="1" applyAlignment="1">
      <alignment horizontal="center"/>
    </xf>
    <xf numFmtId="0" fontId="22" fillId="18" borderId="0" xfId="0" applyFont="1" applyFill="1" applyAlignment="1">
      <alignment horizontal="center"/>
    </xf>
    <xf numFmtId="0" fontId="0" fillId="18" borderId="0" xfId="0" applyFill="1" applyAlignment="1">
      <alignment wrapText="1"/>
    </xf>
    <xf numFmtId="0" fontId="0" fillId="18" borderId="20" xfId="0" applyFill="1" applyBorder="1" applyAlignment="1">
      <alignment horizontal="left" wrapText="1"/>
    </xf>
    <xf numFmtId="0" fontId="0" fillId="18" borderId="21" xfId="0" applyFill="1" applyBorder="1" applyAlignment="1">
      <alignment horizontal="left" wrapText="1"/>
    </xf>
    <xf numFmtId="164" fontId="0" fillId="18" borderId="20" xfId="0" applyNumberFormat="1" applyFill="1" applyBorder="1" applyAlignment="1">
      <alignment wrapText="1"/>
    </xf>
    <xf numFmtId="164" fontId="0" fillId="18" borderId="22" xfId="0" applyNumberFormat="1" applyFill="1" applyBorder="1" applyAlignment="1">
      <alignment wrapText="1"/>
    </xf>
    <xf numFmtId="165" fontId="0" fillId="18" borderId="21" xfId="0" applyNumberFormat="1" applyFill="1" applyBorder="1" applyAlignment="1">
      <alignment wrapText="1"/>
    </xf>
    <xf numFmtId="165" fontId="0" fillId="18" borderId="21" xfId="2" applyNumberFormat="1" applyFont="1" applyFill="1" applyBorder="1"/>
    <xf numFmtId="165" fontId="20" fillId="0" borderId="24" xfId="2" applyNumberFormat="1" applyFont="1" applyFill="1" applyBorder="1"/>
    <xf numFmtId="0" fontId="20" fillId="18" borderId="0" xfId="0" applyFont="1" applyFill="1"/>
    <xf numFmtId="0" fontId="20" fillId="18" borderId="20" xfId="0" applyFont="1" applyFill="1" applyBorder="1" applyAlignment="1">
      <alignment horizontal="center" wrapText="1"/>
    </xf>
    <xf numFmtId="164" fontId="0" fillId="18" borderId="0" xfId="1" applyNumberFormat="1" applyFont="1" applyFill="1" applyBorder="1"/>
    <xf numFmtId="0" fontId="20" fillId="18" borderId="0" xfId="0" applyFont="1" applyFill="1" applyAlignment="1">
      <alignment horizontal="center"/>
    </xf>
    <xf numFmtId="43" fontId="0" fillId="18" borderId="0" xfId="0" applyNumberFormat="1" applyFill="1"/>
    <xf numFmtId="172" fontId="0" fillId="0" borderId="0" xfId="0" applyNumberFormat="1"/>
    <xf numFmtId="164" fontId="0" fillId="12" borderId="0" xfId="1" applyNumberFormat="1" applyFont="1" applyFill="1"/>
    <xf numFmtId="164" fontId="11" fillId="12" borderId="0" xfId="0" applyNumberFormat="1" applyFont="1" applyFill="1"/>
    <xf numFmtId="164" fontId="11" fillId="12" borderId="0" xfId="1" applyNumberFormat="1" applyFont="1" applyFill="1"/>
    <xf numFmtId="0" fontId="11" fillId="12" borderId="0" xfId="0" applyFont="1" applyFill="1"/>
    <xf numFmtId="0" fontId="2" fillId="18" borderId="25" xfId="0" applyFont="1" applyFill="1" applyBorder="1"/>
    <xf numFmtId="164" fontId="2" fillId="18" borderId="26" xfId="1" applyNumberFormat="1" applyFont="1" applyFill="1" applyBorder="1"/>
    <xf numFmtId="0" fontId="0" fillId="18" borderId="27" xfId="0" applyFill="1" applyBorder="1"/>
    <xf numFmtId="0" fontId="2" fillId="18" borderId="28" xfId="0" applyFont="1" applyFill="1" applyBorder="1"/>
    <xf numFmtId="164" fontId="2" fillId="18" borderId="0" xfId="0" applyNumberFormat="1" applyFont="1" applyFill="1"/>
    <xf numFmtId="0" fontId="0" fillId="18" borderId="29" xfId="0" applyFill="1" applyBorder="1"/>
    <xf numFmtId="0" fontId="0" fillId="18" borderId="28" xfId="0" applyFill="1" applyBorder="1"/>
    <xf numFmtId="3" fontId="0" fillId="18" borderId="0" xfId="0" applyNumberFormat="1" applyFill="1"/>
    <xf numFmtId="165" fontId="0" fillId="18" borderId="29" xfId="0" applyNumberFormat="1" applyFill="1" applyBorder="1"/>
    <xf numFmtId="165" fontId="2" fillId="12" borderId="32" xfId="0" applyNumberFormat="1" applyFont="1" applyFill="1" applyBorder="1"/>
    <xf numFmtId="0" fontId="2" fillId="12" borderId="30" xfId="0" applyFont="1" applyFill="1" applyBorder="1"/>
    <xf numFmtId="0" fontId="2" fillId="12" borderId="31" xfId="0" applyFont="1" applyFill="1" applyBorder="1"/>
    <xf numFmtId="0" fontId="20" fillId="19" borderId="16" xfId="0" applyFont="1" applyFill="1" applyBorder="1" applyAlignment="1">
      <alignment horizontal="center" vertical="center" wrapText="1"/>
    </xf>
    <xf numFmtId="0" fontId="20" fillId="19" borderId="16" xfId="0" applyFont="1" applyFill="1" applyBorder="1" applyAlignment="1">
      <alignment horizontal="left" vertical="center" wrapText="1"/>
    </xf>
    <xf numFmtId="0" fontId="20" fillId="19" borderId="17" xfId="0" applyFont="1" applyFill="1" applyBorder="1" applyAlignment="1">
      <alignment horizontal="left" vertical="center" wrapText="1"/>
    </xf>
    <xf numFmtId="0" fontId="20" fillId="20" borderId="16" xfId="0" applyFont="1" applyFill="1" applyBorder="1" applyAlignment="1">
      <alignment horizontal="right" vertical="center" wrapText="1"/>
    </xf>
    <xf numFmtId="0" fontId="20" fillId="20" borderId="18" xfId="0" applyFont="1" applyFill="1" applyBorder="1" applyAlignment="1">
      <alignment horizontal="right" vertical="center" wrapText="1"/>
    </xf>
    <xf numFmtId="164" fontId="20" fillId="20" borderId="17" xfId="0" applyNumberFormat="1" applyFont="1" applyFill="1" applyBorder="1" applyAlignment="1">
      <alignment horizontal="right" vertical="center" wrapText="1"/>
    </xf>
    <xf numFmtId="164" fontId="20" fillId="21" borderId="16" xfId="0" applyNumberFormat="1" applyFont="1" applyFill="1" applyBorder="1" applyAlignment="1">
      <alignment horizontal="right" vertical="center" wrapText="1"/>
    </xf>
    <xf numFmtId="164" fontId="20" fillId="21" borderId="18" xfId="0" applyNumberFormat="1" applyFont="1" applyFill="1" applyBorder="1" applyAlignment="1">
      <alignment horizontal="right" vertical="center" wrapText="1"/>
    </xf>
    <xf numFmtId="165" fontId="20" fillId="21" borderId="17" xfId="0" applyNumberFormat="1" applyFont="1" applyFill="1" applyBorder="1" applyAlignment="1">
      <alignment horizontal="center" vertical="center" wrapText="1"/>
    </xf>
    <xf numFmtId="164" fontId="20" fillId="22" borderId="16" xfId="0" applyNumberFormat="1" applyFont="1" applyFill="1" applyBorder="1" applyAlignment="1">
      <alignment horizontal="right" vertical="center" wrapText="1"/>
    </xf>
    <xf numFmtId="0" fontId="20" fillId="16" borderId="0" xfId="0" applyFont="1" applyFill="1" applyAlignment="1">
      <alignment horizontal="center" vertical="center" wrapText="1"/>
    </xf>
    <xf numFmtId="0" fontId="20" fillId="16" borderId="19" xfId="0" applyFont="1" applyFill="1" applyBorder="1" applyAlignment="1">
      <alignment horizontal="center" vertical="center" wrapText="1"/>
    </xf>
    <xf numFmtId="0" fontId="5" fillId="6" borderId="0" xfId="0" applyFont="1" applyFill="1"/>
    <xf numFmtId="43" fontId="5" fillId="6" borderId="0" xfId="0" applyNumberFormat="1" applyFont="1" applyFill="1"/>
    <xf numFmtId="0" fontId="0" fillId="18" borderId="0" xfId="0" applyFill="1" applyAlignment="1">
      <alignment horizontal="center"/>
    </xf>
    <xf numFmtId="0" fontId="0" fillId="0" borderId="20" xfId="0" applyFill="1" applyBorder="1" applyAlignment="1">
      <alignment horizontal="center" wrapText="1"/>
    </xf>
    <xf numFmtId="0" fontId="0" fillId="0" borderId="20" xfId="0" applyFill="1" applyBorder="1" applyAlignment="1">
      <alignment horizontal="left" wrapText="1"/>
    </xf>
    <xf numFmtId="0" fontId="0" fillId="0" borderId="21" xfId="0" applyFill="1" applyBorder="1" applyAlignment="1">
      <alignment horizontal="left" wrapText="1"/>
    </xf>
    <xf numFmtId="164" fontId="0" fillId="0" borderId="20" xfId="0" applyNumberFormat="1" applyFill="1" applyBorder="1" applyAlignment="1">
      <alignment wrapText="1"/>
    </xf>
    <xf numFmtId="164" fontId="0" fillId="0" borderId="22" xfId="0" applyNumberFormat="1" applyFill="1" applyBorder="1" applyAlignment="1">
      <alignment wrapText="1"/>
    </xf>
    <xf numFmtId="165" fontId="0" fillId="0" borderId="21" xfId="0" applyNumberFormat="1" applyFill="1" applyBorder="1" applyAlignment="1">
      <alignment wrapText="1"/>
    </xf>
    <xf numFmtId="165" fontId="0" fillId="0" borderId="21" xfId="2" applyNumberFormat="1" applyFont="1" applyFill="1" applyBorder="1"/>
    <xf numFmtId="0" fontId="20" fillId="0" borderId="23" xfId="0" applyFont="1" applyFill="1" applyBorder="1" applyAlignment="1">
      <alignment horizontal="center"/>
    </xf>
    <xf numFmtId="0" fontId="20" fillId="0" borderId="23" xfId="0" applyFont="1" applyFill="1" applyBorder="1" applyAlignment="1">
      <alignment horizontal="right"/>
    </xf>
    <xf numFmtId="0" fontId="20" fillId="0" borderId="24" xfId="0" applyFont="1" applyFill="1" applyBorder="1"/>
    <xf numFmtId="164" fontId="20" fillId="0" borderId="23" xfId="0" applyNumberFormat="1" applyFont="1" applyFill="1" applyBorder="1"/>
    <xf numFmtId="164" fontId="20" fillId="0" borderId="4" xfId="0" applyNumberFormat="1" applyFont="1" applyFill="1" applyBorder="1"/>
    <xf numFmtId="165" fontId="20" fillId="0" borderId="24" xfId="0" applyNumberFormat="1" applyFont="1" applyFill="1" applyBorder="1"/>
    <xf numFmtId="180" fontId="0" fillId="0" borderId="20" xfId="1" applyNumberFormat="1" applyFont="1" applyFill="1" applyBorder="1" applyAlignment="1">
      <alignment wrapText="1"/>
    </xf>
    <xf numFmtId="180" fontId="20" fillId="0" borderId="23" xfId="1" applyNumberFormat="1" applyFont="1" applyFill="1" applyBorder="1"/>
    <xf numFmtId="180" fontId="0" fillId="18" borderId="0" xfId="1" applyNumberFormat="1" applyFont="1" applyFill="1"/>
    <xf numFmtId="180" fontId="0" fillId="18" borderId="20" xfId="1" applyNumberFormat="1" applyFont="1" applyFill="1" applyBorder="1" applyAlignment="1">
      <alignment wrapText="1"/>
    </xf>
    <xf numFmtId="181" fontId="0" fillId="0" borderId="21" xfId="1" applyNumberFormat="1" applyFont="1" applyFill="1" applyBorder="1" applyAlignment="1">
      <alignment wrapText="1"/>
    </xf>
    <xf numFmtId="181" fontId="20" fillId="0" borderId="24" xfId="1" applyNumberFormat="1" applyFont="1" applyFill="1" applyBorder="1"/>
    <xf numFmtId="181" fontId="0" fillId="18" borderId="0" xfId="1" applyNumberFormat="1" applyFont="1" applyFill="1"/>
    <xf numFmtId="181" fontId="0" fillId="18" borderId="21" xfId="1" applyNumberFormat="1" applyFont="1" applyFill="1" applyBorder="1" applyAlignment="1">
      <alignment wrapText="1"/>
    </xf>
    <xf numFmtId="181" fontId="0" fillId="0" borderId="22" xfId="1" applyNumberFormat="1" applyFont="1" applyFill="1" applyBorder="1" applyAlignment="1">
      <alignment wrapText="1"/>
    </xf>
    <xf numFmtId="181" fontId="20" fillId="0" borderId="4" xfId="1" applyNumberFormat="1" applyFont="1" applyFill="1" applyBorder="1"/>
    <xf numFmtId="181" fontId="0" fillId="18" borderId="22" xfId="1" applyNumberFormat="1" applyFont="1" applyFill="1" applyBorder="1" applyAlignment="1">
      <alignment wrapText="1"/>
    </xf>
    <xf numFmtId="181" fontId="0" fillId="0" borderId="20" xfId="1" applyNumberFormat="1" applyFont="1" applyFill="1" applyBorder="1" applyAlignment="1">
      <alignment wrapText="1"/>
    </xf>
    <xf numFmtId="181" fontId="0" fillId="0" borderId="22" xfId="1" applyNumberFormat="1" applyFont="1" applyFill="1" applyBorder="1"/>
    <xf numFmtId="181" fontId="20" fillId="0" borderId="23" xfId="1" applyNumberFormat="1" applyFont="1" applyFill="1" applyBorder="1"/>
    <xf numFmtId="181" fontId="0" fillId="18" borderId="20" xfId="1" applyNumberFormat="1" applyFont="1" applyFill="1" applyBorder="1" applyAlignment="1">
      <alignment wrapText="1"/>
    </xf>
    <xf numFmtId="181" fontId="0" fillId="18" borderId="22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FF000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AD-4061-B5B0-88E69B48DBE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312722412765884"/>
                      <c:h val="0.186524085479414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8AD-4061-B5B0-88E69B48DBE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1577701560312"/>
                      <c:h val="0.15352078514938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8AD-4061-B5B0-88E69B48DB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EXW'!$P$20:$Q$20</c:f>
              <c:numCache>
                <c:formatCode>_(* #,##0.0_);_(* \(#,##0.0\);_(* "-"??_);_(@_)</c:formatCode>
                <c:ptCount val="2"/>
                <c:pt idx="0">
                  <c:v>114.72033654264366</c:v>
                </c:pt>
                <c:pt idx="1">
                  <c:v>132.77163007002409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AD-4061-B5B0-88E69B48D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7C-4E65-9F9B-8C5F5B21A57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17958874772556"/>
                      <c:h val="0.3955449875696230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A7C-4E65-9F9B-8C5F5B21A57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A7C-4E65-9F9B-8C5F5B21A5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EXW'!$P$21:$Q$21</c:f>
              <c:numCache>
                <c:formatCode>_(* #,##0.0_);_(* \(#,##0.0\);_(* "-"??_);_(@_)</c:formatCode>
                <c:ptCount val="2"/>
                <c:pt idx="0">
                  <c:v>19.865036</c:v>
                </c:pt>
                <c:pt idx="1">
                  <c:v>17.371347406000002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7C-4E65-9F9B-8C5F5B21A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35-443C-80D8-2C2363B624A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35-443C-80D8-2C2363B624A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35-443C-80D8-2C2363B624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EXW'!$P$22:$Q$22</c:f>
              <c:numCache>
                <c:formatCode>_(* #,##0.0_);_(* \(#,##0.0\);_(* "-"??_);_(@_)</c:formatCode>
                <c:ptCount val="2"/>
                <c:pt idx="0">
                  <c:v>0</c:v>
                </c:pt>
                <c:pt idx="1">
                  <c:v>3.9515483698277456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35-443C-80D8-2C2363B62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D0-4A26-A79A-91DAD7A5242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AD0-4A26-A79A-91DAD7A5242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D0-4A26-A79A-91DAD7A524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EXW'!$P$23:$Q$23</c:f>
              <c:numCache>
                <c:formatCode>_(* #,##0.0_);_(* \(#,##0.0\);_(* "-"??_);_(@_)</c:formatCode>
                <c:ptCount val="2"/>
                <c:pt idx="0">
                  <c:v>1.3197000000000001</c:v>
                </c:pt>
                <c:pt idx="1">
                  <c:v>0.41322770087322003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D0-4A26-A79A-91DAD7A52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D3-4F25-A731-94455C4AF5E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D3-4F25-A731-94455C4AF5EB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D3-4F25-A731-94455C4AF5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EXW'!$P$24:$Q$24</c:f>
              <c:numCache>
                <c:formatCode>_(* #,##0.0_);_(* \(#,##0.0\);_(* "-"??_);_(@_)</c:formatCode>
                <c:ptCount val="2"/>
                <c:pt idx="0">
                  <c:v>1.4210408313285714</c:v>
                </c:pt>
                <c:pt idx="1">
                  <c:v>6.0062012114550161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D3-4F25-A731-94455C4AF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8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762-42CB-A2D2-2AE154B0F2A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762-42CB-A2D2-2AE154B0F2A0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762-42CB-A2D2-2AE154B0F2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EXW'!$P$5:$Q$5</c:f>
              <c:numCache>
                <c:formatCode>"$"#,##0_);\("$"#,##0\)</c:formatCode>
                <c:ptCount val="2"/>
                <c:pt idx="0">
                  <c:v>1117.764618335714</c:v>
                </c:pt>
                <c:pt idx="1">
                  <c:v>1110.7366506218775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62-42CB-A2D2-2AE154B0F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0E9-44C4-9CA3-9BB9B7CA5ED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0E9-44C4-9CA3-9BB9B7CA5ED4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E9-44C4-9CA3-9BB9B7CA5E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EXW'!$P$7:$Q$7</c:f>
              <c:numCache>
                <c:formatCode>"$"#,##0_);\("$"#,##0\)</c:formatCode>
                <c:ptCount val="2"/>
                <c:pt idx="0">
                  <c:v>1178.6540880503144</c:v>
                </c:pt>
                <c:pt idx="1">
                  <c:v>1178.53601018976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E9-44C4-9CA3-9BB9B7CA5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136-49E8-9229-D946A2F8955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4136-49E8-9229-D946A2F8955C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136-49E8-9229-D946A2F895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EXW'!$P$9:$Q$9</c:f>
              <c:numCache>
                <c:formatCode>"$"#,##0_);\("$"#,##0\)</c:formatCode>
                <c:ptCount val="2"/>
                <c:pt idx="0">
                  <c:v>0</c:v>
                </c:pt>
                <c:pt idx="1">
                  <c:v>673.90655005074348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36-49E8-9229-D946A2F89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61B-4877-8445-B72413FE763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61B-4877-8445-B72413FE7631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61B-4877-8445-B72413FE7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EXW'!$P$11:$Q$11</c:f>
              <c:numCache>
                <c:formatCode>"$"#,##0_);\("$"#,##0\)</c:formatCode>
                <c:ptCount val="2"/>
                <c:pt idx="0">
                  <c:v>691.66666666666663</c:v>
                </c:pt>
                <c:pt idx="1">
                  <c:v>664.55372657221653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1B-4877-8445-B72413FE7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91F-4CB4-B1D4-584DEDCE38C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91F-4CB4-B1D4-584DEDCE38CE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91F-4CB4-B1D4-584DEDCE38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EXW'!$P$13:$Q$13</c:f>
              <c:numCache>
                <c:formatCode>"$"#,##0_);\("$"#,##0\)</c:formatCode>
                <c:ptCount val="2"/>
                <c:pt idx="0">
                  <c:v>619.30997304582218</c:v>
                </c:pt>
                <c:pt idx="1">
                  <c:v>630.48668190682054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1F-4CB4-B1D4-584DEDCE3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24701192728931E-2"/>
          <c:y val="3.9233612942391333E-2"/>
          <c:w val="0.96958925797680617"/>
          <c:h val="0.790596838231786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'BĐ-Dthu EXW'!$C$2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581577627386612E-4"/>
                  <c:y val="-0.316035298078668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09-431A-A2BB-B1B903F8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'BĐ-Dthu EXW'!$A$3:$B$17</c15:sqref>
                  </c15:fullRef>
                </c:ext>
              </c:extLst>
              <c:f>('BĐ-Dthu EXW'!$A$3:$B$8,'BĐ-Dthu EXW'!$A$10:$B$17)</c:f>
              <c:multiLvlStrCache>
                <c:ptCount val="14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Giá bán</c:v>
                  </c:pt>
                  <c:pt idx="8">
                    <c:v>Sản lượng</c:v>
                  </c:pt>
                  <c:pt idx="9">
                    <c:v>Giá bán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'BĐ-Dthu EXW'!$C$3:$C$17</c15:sqref>
                  </c15:fullRef>
                </c:ext>
              </c:extLst>
              <c:f>('BĐ-Dthu EXW'!$C$3:$C$8,'BĐ-Dthu EXW'!$C$10:$C$17)</c:f>
              <c:numCache>
                <c:formatCode>_(* #,##0,,,_);_(* \(#,##0,,,\);;_(@_)</c:formatCode>
                <c:ptCount val="14"/>
                <c:pt idx="0">
                  <c:v>141599491827.82724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09-431A-A2BB-B1B903F80F71}"/>
            </c:ext>
          </c:extLst>
        </c:ser>
        <c:ser>
          <c:idx val="1"/>
          <c:order val="1"/>
          <c:tx>
            <c:strRef>
              <c:f>'BĐ-Dthu EXW'!$D$2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'BĐ-Dthu EXW'!$A$3:$B$17</c15:sqref>
                  </c15:fullRef>
                </c:ext>
              </c:extLst>
              <c:f>('BĐ-Dthu EXW'!$A$3:$B$8,'BĐ-Dthu EXW'!$A$10:$B$17)</c:f>
              <c:multiLvlStrCache>
                <c:ptCount val="14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Giá bán</c:v>
                  </c:pt>
                  <c:pt idx="8">
                    <c:v>Sản lượng</c:v>
                  </c:pt>
                  <c:pt idx="9">
                    <c:v>Giá bán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'BĐ-Dthu EXW'!$D$3:$D$17</c15:sqref>
                  </c15:fullRef>
                </c:ext>
              </c:extLst>
              <c:f>('BĐ-Dthu EXW'!$D$3:$D$8,'BĐ-Dthu EXW'!$D$10:$D$17)</c:f>
              <c:numCache>
                <c:formatCode>_(* #,##0,,,_);_(* \(#,##0,,,\);;_(@_)</c:formatCode>
                <c:ptCount val="14"/>
                <c:pt idx="1">
                  <c:v>141599491827.82724</c:v>
                </c:pt>
                <c:pt idx="2">
                  <c:v>161124119763.32443</c:v>
                </c:pt>
                <c:pt idx="3">
                  <c:v>158824491971.65778</c:v>
                </c:pt>
                <c:pt idx="4">
                  <c:v>158822732264.68179</c:v>
                </c:pt>
                <c:pt idx="5">
                  <c:v>158822732264.68179</c:v>
                </c:pt>
                <c:pt idx="6">
                  <c:v>161889440113.67621</c:v>
                </c:pt>
                <c:pt idx="7">
                  <c:v>161872393869.32709</c:v>
                </c:pt>
                <c:pt idx="8">
                  <c:v>161872393869.32709</c:v>
                </c:pt>
                <c:pt idx="9">
                  <c:v>166417011180.85565</c:v>
                </c:pt>
                <c:pt idx="10">
                  <c:v>164743483394.74512</c:v>
                </c:pt>
                <c:pt idx="11">
                  <c:v>164743483394.74512</c:v>
                </c:pt>
                <c:pt idx="12">
                  <c:v>172304232396.85504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09-431A-A2BB-B1B903F80F71}"/>
            </c:ext>
          </c:extLst>
        </c:ser>
        <c:ser>
          <c:idx val="2"/>
          <c:order val="2"/>
          <c:tx>
            <c:strRef>
              <c:f>'BĐ-Dthu EXW'!$E$2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4806199127759346E-3"/>
                  <c:y val="-6.724789511364713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42-4480-80A9-D0684C620E2A}"/>
                </c:ext>
              </c:extLst>
            </c:dLbl>
            <c:dLbl>
              <c:idx val="8"/>
              <c:layout>
                <c:manualLayout>
                  <c:x val="-1.0138879298500602E-16"/>
                  <c:y val="-2.960207924149724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09-431A-A2BB-B1B903F80F71}"/>
                </c:ext>
              </c:extLst>
            </c:dLbl>
            <c:dLbl>
              <c:idx val="10"/>
              <c:layout>
                <c:manualLayout>
                  <c:x val="0"/>
                  <c:y val="-3.634875160729677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09-431A-A2BB-B1B903F80F71}"/>
                </c:ext>
              </c:extLst>
            </c:dLbl>
            <c:dLbl>
              <c:idx val="11"/>
              <c:layout>
                <c:manualLayout>
                  <c:x val="0"/>
                  <c:y val="-3.269472853783864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09-431A-A2BB-B1B903F8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'BĐ-Dthu EXW'!$A$3:$B$17</c15:sqref>
                  </c15:fullRef>
                </c:ext>
              </c:extLst>
              <c:f>('BĐ-Dthu EXW'!$A$3:$B$8,'BĐ-Dthu EXW'!$A$10:$B$17)</c:f>
              <c:multiLvlStrCache>
                <c:ptCount val="14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Giá bán</c:v>
                  </c:pt>
                  <c:pt idx="8">
                    <c:v>Sản lượng</c:v>
                  </c:pt>
                  <c:pt idx="9">
                    <c:v>Giá bán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'BĐ-Dthu EXW'!$E$3:$E$17</c15:sqref>
                  </c15:fullRef>
                </c:ext>
              </c:extLst>
              <c:f>('BĐ-Dthu EXW'!$E$3:$E$8,'BĐ-Dthu EXW'!$E$10:$E$17)</c:f>
              <c:numCache>
                <c:formatCode>[Color10]\▲_(* #,##0.0,,,_);_(* \(#,##0.0,,,\);;_(@_)</c:formatCode>
                <c:ptCount val="14"/>
                <c:pt idx="1">
                  <c:v>20374036546.952736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3951548369.8277454</c:v>
                </c:pt>
                <c:pt idx="6">
                  <c:v>0</c:v>
                </c:pt>
                <c:pt idx="7">
                  <c:v>0</c:v>
                </c:pt>
                <c:pt idx="8">
                  <c:v>4544617311.528573</c:v>
                </c:pt>
                <c:pt idx="9">
                  <c:v>107662442.28078195</c:v>
                </c:pt>
                <c:pt idx="10">
                  <c:v>0</c:v>
                </c:pt>
                <c:pt idx="11">
                  <c:v>7560749002.1099243</c:v>
                </c:pt>
                <c:pt idx="12">
                  <c:v>1001590132.144989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09-431A-A2BB-B1B903F80F71}"/>
            </c:ext>
          </c:extLst>
        </c:ser>
        <c:ser>
          <c:idx val="3"/>
          <c:order val="3"/>
          <c:tx>
            <c:strRef>
              <c:f>'BĐ-Dthu EXW'!$F$2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0.19668517726426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09-431A-A2BB-B1B903F80F71}"/>
                </c:ext>
              </c:extLst>
            </c:dLbl>
            <c:dLbl>
              <c:idx val="2"/>
              <c:layout>
                <c:manualLayout>
                  <c:x val="-1.3799810388432064E-3"/>
                  <c:y val="-4.194250235482977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509-431A-A2BB-B1B903F80F71}"/>
                </c:ext>
              </c:extLst>
            </c:dLbl>
            <c:dLbl>
              <c:idx val="3"/>
              <c:layout>
                <c:manualLayout>
                  <c:x val="-1.3825904214135858E-3"/>
                  <c:y val="5.69018383236071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509-431A-A2BB-B1B903F80F71}"/>
                </c:ext>
              </c:extLst>
            </c:dLbl>
            <c:dLbl>
              <c:idx val="12"/>
              <c:layout>
                <c:manualLayout>
                  <c:x val="0"/>
                  <c:y val="5.315554015260286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509-431A-A2BB-B1B903F8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'BĐ-Dthu EXW'!$A$3:$B$17</c15:sqref>
                  </c15:fullRef>
                </c:ext>
              </c:extLst>
              <c:f>('BĐ-Dthu EXW'!$A$3:$B$8,'BĐ-Dthu EXW'!$A$10:$B$17)</c:f>
              <c:multiLvlStrCache>
                <c:ptCount val="14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Giá bán</c:v>
                  </c:pt>
                  <c:pt idx="8">
                    <c:v>Sản lượng</c:v>
                  </c:pt>
                  <c:pt idx="9">
                    <c:v>Giá bán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'BĐ-Dthu EXW'!$F$3:$F$17</c15:sqref>
                  </c15:fullRef>
                </c:ext>
              </c:extLst>
              <c:f>('BĐ-Dthu EXW'!$F$3:$F$8,'BĐ-Dthu EXW'!$F$10:$F$17)</c:f>
              <c:numCache>
                <c:formatCode>[Color3]\▼_(* #,##0.0,,,_);_(* \(#,##0.0,,,\);;_(@_)</c:formatCode>
                <c:ptCount val="14"/>
                <c:pt idx="1">
                  <c:v>0</c:v>
                </c:pt>
                <c:pt idx="2">
                  <c:v>849408611.45553124</c:v>
                </c:pt>
                <c:pt idx="3">
                  <c:v>2299627791.6666665</c:v>
                </c:pt>
                <c:pt idx="4">
                  <c:v>1759706.9759762655</c:v>
                </c:pt>
                <c:pt idx="5">
                  <c:v>0</c:v>
                </c:pt>
                <c:pt idx="6">
                  <c:v>884840520.83333325</c:v>
                </c:pt>
                <c:pt idx="7">
                  <c:v>17046244.349131957</c:v>
                </c:pt>
                <c:pt idx="8">
                  <c:v>0</c:v>
                </c:pt>
                <c:pt idx="9">
                  <c:v>0</c:v>
                </c:pt>
                <c:pt idx="10">
                  <c:v>1781190228.391324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509-431A-A2BB-B1B903F80F71}"/>
            </c:ext>
          </c:extLst>
        </c:ser>
        <c:ser>
          <c:idx val="4"/>
          <c:order val="4"/>
          <c:tx>
            <c:strRef>
              <c:f>'BĐ-Dthu EXW'!$G$2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3"/>
              <c:layout>
                <c:manualLayout>
                  <c:x val="2.2476955626981698E-3"/>
                  <c:y val="-0.366502888954911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509-431A-A2BB-B1B903F8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accent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'BĐ-Dthu EXW'!$A$3:$B$17</c15:sqref>
                  </c15:fullRef>
                </c:ext>
              </c:extLst>
              <c:f>('BĐ-Dthu EXW'!$A$3:$B$8,'BĐ-Dthu EXW'!$A$10:$B$17)</c:f>
              <c:multiLvlStrCache>
                <c:ptCount val="14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Giá bán</c:v>
                  </c:pt>
                  <c:pt idx="8">
                    <c:v>Sản lượng</c:v>
                  </c:pt>
                  <c:pt idx="9">
                    <c:v>Giá bán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'BĐ-Dthu EXW'!$G$3:$G$17</c15:sqref>
                  </c15:fullRef>
                </c:ext>
              </c:extLst>
              <c:f>('BĐ-Dthu EXW'!$G$3:$G$8,'BĐ-Dthu EXW'!$G$10:$G$17)</c:f>
              <c:numCache>
                <c:formatCode>_(* #,##0,,,_);_(* \(#,##0,,,\);;_(@_)</c:formatCode>
                <c:ptCount val="14"/>
                <c:pt idx="13" formatCode="_(* #,##0.0,,,_);_(* \(#,##0.0,,,\);;_(@_)">
                  <c:v>173305822529.00003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509-431A-A2BB-B1B903F80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37930992"/>
        <c:axId val="2037940592"/>
      </c:barChart>
      <c:catAx>
        <c:axId val="203793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ysDot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940592"/>
        <c:crosses val="autoZero"/>
        <c:auto val="1"/>
        <c:lblAlgn val="ctr"/>
        <c:lblOffset val="100"/>
        <c:noMultiLvlLbl val="0"/>
      </c:catAx>
      <c:valAx>
        <c:axId val="2037940592"/>
        <c:scaling>
          <c:orientation val="minMax"/>
        </c:scaling>
        <c:delete val="0"/>
        <c:axPos val="l"/>
        <c:numFmt formatCode="_(* #,##0,,,_);_(* \(#,##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93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500" b="1">
                <a:solidFill>
                  <a:srgbClr val="00B050"/>
                </a:solidFill>
              </a:rPr>
              <a:t>SẢN</a:t>
            </a:r>
            <a:r>
              <a:rPr lang="en-US" sz="2500" b="1" baseline="0">
                <a:solidFill>
                  <a:srgbClr val="00B050"/>
                </a:solidFill>
              </a:rPr>
              <a:t> LƯỢNG SẢN PHẨM CHÍNH</a:t>
            </a:r>
            <a:endParaRPr lang="en-US" sz="25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2403593685981883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58218263233537"/>
          <c:y val="0.13760306846824016"/>
          <c:w val="0.80541460522243546"/>
          <c:h val="0.84363540264844983"/>
        </c:manualLayout>
      </c:layout>
      <c:barChart>
        <c:barDir val="bar"/>
        <c:grouping val="clustered"/>
        <c:varyColors val="0"/>
        <c:ser>
          <c:idx val="0"/>
          <c:order val="0"/>
          <c:tx>
            <c:v>Kế hoạch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EEF314C-9C0F-4548-B1D6-ED1EBD081E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923-463D-8621-4835F43C16C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D98D3A3-2E88-453C-BBEE-52DC128A15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923-463D-8621-4835F43C16C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8DF2829-5E7A-4F39-9627-AE734BC072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923-463D-8621-4835F43C16C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DF4948A-51B1-4E73-B586-ADF04FC645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923-463D-8621-4835F43C16C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E8A4849-1ACD-4EB9-A002-D8384ACAB4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923-463D-8621-4835F43C16C0}"/>
                </c:ext>
              </c:extLst>
            </c:dLbl>
            <c:numFmt formatCode="_(* #,##0,_);_(* \(#,##0,\);_(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'BĐ-Dthu EXW-v2'!$A$5:$A$9</c:f>
              <c:strCache>
                <c:ptCount val="5"/>
                <c:pt idx="0">
                  <c:v>rPET</c:v>
                </c:pt>
                <c:pt idx="1">
                  <c:v>rHDPE thổi</c:v>
                </c:pt>
                <c:pt idx="2">
                  <c:v>rHDPE ép</c:v>
                </c:pt>
                <c:pt idx="3">
                  <c:v>rPP</c:v>
                </c:pt>
                <c:pt idx="4">
                  <c:v>Xơ sợi</c:v>
                </c:pt>
              </c:strCache>
            </c:strRef>
          </c:cat>
          <c:val>
            <c:numRef>
              <c:f>'BĐ-Dthu EXW-v2'!$B$5:$B$9</c:f>
              <c:numCache>
                <c:formatCode>_(* #,##0_);_(* \(#,##0\);_(* "-"??_);_(@_)</c:formatCode>
                <c:ptCount val="5"/>
                <c:pt idx="0">
                  <c:v>3872970.4201424071</c:v>
                </c:pt>
                <c:pt idx="1">
                  <c:v>636000</c:v>
                </c:pt>
                <c:pt idx="2">
                  <c:v>0</c:v>
                </c:pt>
                <c:pt idx="3">
                  <c:v>72000</c:v>
                </c:pt>
                <c:pt idx="4">
                  <c:v>86586.983333333323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'BĐ-Dthu EXW-v2'!$U$5:$U$9</c15:f>
                <c15:dlblRangeCache>
                  <c:ptCount val="5"/>
                  <c:pt idx="0">
                    <c:v>3,873 | 83.0%</c:v>
                  </c:pt>
                  <c:pt idx="1">
                    <c:v>636 | 13.6%</c:v>
                  </c:pt>
                  <c:pt idx="2">
                    <c:v> | 0.0%</c:v>
                  </c:pt>
                  <c:pt idx="3">
                    <c:v>72 | 1.5%</c:v>
                  </c:pt>
                  <c:pt idx="4">
                    <c:v>87 | 1.9%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B923-463D-8621-4835F43C16C0}"/>
            </c:ext>
          </c:extLst>
        </c:ser>
        <c:ser>
          <c:idx val="1"/>
          <c:order val="1"/>
          <c:tx>
            <c:v>Thực tế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6BB84D1-ECEF-4D36-BE66-4542F44C3B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923-463D-8621-4835F43C16C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20309DB-B14B-41FB-AAFF-59479D73B9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923-463D-8621-4835F43C16C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817F20F-29BC-49A5-9091-D0B1A80CD9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923-463D-8621-4835F43C16C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35562D1-5D3B-487F-922D-D42BA3901F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923-463D-8621-4835F43C16C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3916BD6-88BE-4B8A-82B9-C7C59A586D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923-463D-8621-4835F43C16C0}"/>
                </c:ext>
              </c:extLst>
            </c:dLbl>
            <c:numFmt formatCode="_(* #,##0,_);_(* \(#,##0\);_(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'BĐ-Dthu EXW-v2'!$A$5:$A$9</c:f>
              <c:strCache>
                <c:ptCount val="5"/>
                <c:pt idx="0">
                  <c:v>rPET</c:v>
                </c:pt>
                <c:pt idx="1">
                  <c:v>rHDPE thổi</c:v>
                </c:pt>
                <c:pt idx="2">
                  <c:v>rHDPE ép</c:v>
                </c:pt>
                <c:pt idx="3">
                  <c:v>rPP</c:v>
                </c:pt>
                <c:pt idx="4">
                  <c:v>Xơ sợi</c:v>
                </c:pt>
              </c:strCache>
            </c:strRef>
          </c:cat>
          <c:val>
            <c:numRef>
              <c:f>'BĐ-Dthu EXW-v2'!$C$5:$C$9</c:f>
              <c:numCache>
                <c:formatCode>_(* #,##0_);_(* \(#,##0\);_(* "-"??_);_(@_)</c:formatCode>
                <c:ptCount val="5"/>
                <c:pt idx="0">
                  <c:v>4560800</c:v>
                </c:pt>
                <c:pt idx="1">
                  <c:v>562375</c:v>
                </c:pt>
                <c:pt idx="2">
                  <c:v>223725</c:v>
                </c:pt>
                <c:pt idx="3">
                  <c:v>23725.000000000004</c:v>
                </c:pt>
                <c:pt idx="4">
                  <c:v>363500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'BĐ-Dthu EXW-v2'!$V$5:$V$9</c15:f>
                <c15:dlblRangeCache>
                  <c:ptCount val="5"/>
                  <c:pt idx="0">
                    <c:v>4,561 | 79.5%</c:v>
                  </c:pt>
                  <c:pt idx="1">
                    <c:v>562 | 9.8%</c:v>
                  </c:pt>
                  <c:pt idx="2">
                    <c:v>224 | 3.9%</c:v>
                  </c:pt>
                  <c:pt idx="3">
                    <c:v>24 | 0.4%</c:v>
                  </c:pt>
                  <c:pt idx="4">
                    <c:v>364 | 6.3%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B923-463D-8621-4835F43C1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0"/>
        <c:axId val="945590704"/>
        <c:axId val="945589264"/>
      </c:barChart>
      <c:catAx>
        <c:axId val="94559070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89264"/>
        <c:crosses val="autoZero"/>
        <c:auto val="1"/>
        <c:lblAlgn val="ctr"/>
        <c:lblOffset val="100"/>
        <c:noMultiLvlLbl val="0"/>
      </c:catAx>
      <c:valAx>
        <c:axId val="945589264"/>
        <c:scaling>
          <c:orientation val="minMax"/>
        </c:scaling>
        <c:delete val="0"/>
        <c:axPos val="t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9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8770109972001482"/>
          <c:y val="8.1495249647470139E-2"/>
          <c:w val="0.22054532359607915"/>
          <c:h val="6.93327177890292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337815353247745E-3"/>
          <c:y val="7.1954189288836817E-2"/>
          <c:w val="0.99486621846467527"/>
          <c:h val="0.800415089179948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'BĐ-Dthu EXW-v2'!$C$45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'BĐ-Dthu EXW-v2'!$A$46:$B$65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Giá bán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Giá bán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Giá bán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Giá bán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'BĐ-Dthu EXW-v2'!$C$46:$C$65</c:f>
              <c:numCache>
                <c:formatCode>_(* #,##0,,,_);_(* \(#,##0,,,\);;_(@_)</c:formatCode>
                <c:ptCount val="20"/>
                <c:pt idx="0">
                  <c:v>141599491827.82721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82-4A1B-A988-2153EE4DE0A0}"/>
            </c:ext>
          </c:extLst>
        </c:ser>
        <c:ser>
          <c:idx val="1"/>
          <c:order val="1"/>
          <c:tx>
            <c:strRef>
              <c:f>'BĐ-Dthu EXW-v2'!$D$45</c:f>
              <c:strCache>
                <c:ptCount val="1"/>
                <c:pt idx="0">
                  <c:v>Hidden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'BĐ-Dthu EXW-v2'!$A$46:$B$65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Giá bán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Giá bán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Giá bán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Giá bán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'BĐ-Dthu EXW-v2'!$D$46:$D$65</c:f>
              <c:numCache>
                <c:formatCode>_(* #,##0,,,_);_(* \(#,##0,,,\);;_(@_)</c:formatCode>
                <c:ptCount val="20"/>
                <c:pt idx="1">
                  <c:v>141599491827.82721</c:v>
                </c:pt>
                <c:pt idx="2">
                  <c:v>161973528374.77994</c:v>
                </c:pt>
                <c:pt idx="3">
                  <c:v>161124119763.3244</c:v>
                </c:pt>
                <c:pt idx="4">
                  <c:v>161124119763.3244</c:v>
                </c:pt>
                <c:pt idx="5">
                  <c:v>158824491971.65775</c:v>
                </c:pt>
                <c:pt idx="6">
                  <c:v>158822732264.68176</c:v>
                </c:pt>
                <c:pt idx="7">
                  <c:v>158822732264.68176</c:v>
                </c:pt>
                <c:pt idx="8">
                  <c:v>162774280634.50952</c:v>
                </c:pt>
                <c:pt idx="9">
                  <c:v>162774280634.50952</c:v>
                </c:pt>
                <c:pt idx="10">
                  <c:v>162774280634.50952</c:v>
                </c:pt>
                <c:pt idx="11">
                  <c:v>161889440113.67618</c:v>
                </c:pt>
                <c:pt idx="12">
                  <c:v>161872393869.32706</c:v>
                </c:pt>
                <c:pt idx="13">
                  <c:v>161872393869.32706</c:v>
                </c:pt>
                <c:pt idx="14">
                  <c:v>162197111055.00201</c:v>
                </c:pt>
                <c:pt idx="15">
                  <c:v>166417011180.85562</c:v>
                </c:pt>
                <c:pt idx="16" formatCode="General">
                  <c:v>164787333212.03506</c:v>
                </c:pt>
                <c:pt idx="17">
                  <c:v>164787333212.03506</c:v>
                </c:pt>
                <c:pt idx="18">
                  <c:v>172304232396.85504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82-4A1B-A988-2153EE4DE0A0}"/>
            </c:ext>
          </c:extLst>
        </c:ser>
        <c:ser>
          <c:idx val="2"/>
          <c:order val="2"/>
          <c:tx>
            <c:strRef>
              <c:f>'BĐ-Dthu EXW-v2'!$E$45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'BĐ-Dthu EXW-v2'!$A$46:$B$65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Giá bán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Giá bán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Giá bán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Giá bán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'BĐ-Dthu EXW-v2'!$E$46:$E$65</c:f>
              <c:numCache>
                <c:formatCode>[Color10]\▲_(* #,##0.0,,,_);_(* \(#,##0.0,,,\);;_(@_)</c:formatCode>
                <c:ptCount val="20"/>
                <c:pt idx="1">
                  <c:v>26214352185.069519</c:v>
                </c:pt>
                <c:pt idx="2">
                  <c:v>0</c:v>
                </c:pt>
                <c:pt idx="3">
                  <c:v>0</c:v>
                </c:pt>
                <c:pt idx="4">
                  <c:v>4539291511.5753059</c:v>
                </c:pt>
                <c:pt idx="5">
                  <c:v>0</c:v>
                </c:pt>
                <c:pt idx="6">
                  <c:v>0</c:v>
                </c:pt>
                <c:pt idx="7">
                  <c:v>3951548369.8277454</c:v>
                </c:pt>
                <c:pt idx="8">
                  <c:v>0</c:v>
                </c:pt>
                <c:pt idx="9">
                  <c:v>0</c:v>
                </c:pt>
                <c:pt idx="10">
                  <c:v>301560138.51804399</c:v>
                </c:pt>
                <c:pt idx="11">
                  <c:v>0</c:v>
                </c:pt>
                <c:pt idx="12">
                  <c:v>0</c:v>
                </c:pt>
                <c:pt idx="13">
                  <c:v>324717185.6749568</c:v>
                </c:pt>
                <c:pt idx="14">
                  <c:v>4219900125.8536153</c:v>
                </c:pt>
                <c:pt idx="15">
                  <c:v>107662442.28078195</c:v>
                </c:pt>
                <c:pt idx="16">
                  <c:v>0</c:v>
                </c:pt>
                <c:pt idx="17">
                  <c:v>7516899184.8199701</c:v>
                </c:pt>
                <c:pt idx="18">
                  <c:v>1001590132.144989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82-4A1B-A988-2153EE4DE0A0}"/>
            </c:ext>
          </c:extLst>
        </c:ser>
        <c:ser>
          <c:idx val="3"/>
          <c:order val="3"/>
          <c:tx>
            <c:strRef>
              <c:f>'BĐ-Dthu EXW-v2'!$F$45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'BĐ-Dthu EXW-v2'!$A$46:$B$65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Giá bán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Giá bán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Giá bán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Giá bán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'BĐ-Dthu EXW-v2'!$F$46:$F$65</c:f>
              <c:numCache>
                <c:formatCode>[Color3]\▼_(* #,##0.0,,,_);_(* \(#,##0.0,,,\);;_(@_)</c:formatCode>
                <c:ptCount val="20"/>
                <c:pt idx="1">
                  <c:v>0</c:v>
                </c:pt>
                <c:pt idx="2">
                  <c:v>5840315638.1167908</c:v>
                </c:pt>
                <c:pt idx="3">
                  <c:v>849408611.45553124</c:v>
                </c:pt>
                <c:pt idx="4">
                  <c:v>0</c:v>
                </c:pt>
                <c:pt idx="5">
                  <c:v>6838919303.2419739</c:v>
                </c:pt>
                <c:pt idx="6">
                  <c:v>1759706.9759762655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1186400659.351377</c:v>
                </c:pt>
                <c:pt idx="12">
                  <c:v>17046244.349131957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1737340411.101341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782-4A1B-A988-2153EE4DE0A0}"/>
            </c:ext>
          </c:extLst>
        </c:ser>
        <c:ser>
          <c:idx val="4"/>
          <c:order val="4"/>
          <c:tx>
            <c:strRef>
              <c:f>'BĐ-Dthu EXW-v2'!$G$45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'BĐ-Dthu EXW-v2'!$A$46:$B$65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Giá bán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Giá bán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Giá bán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Giá bán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'BĐ-Dthu EXW-v2'!$G$46:$G$65</c:f>
              <c:numCache>
                <c:formatCode>_(* #,##0,,,_);_(* \(#,##0,,,\);;_(@_)</c:formatCode>
                <c:ptCount val="20"/>
                <c:pt idx="19">
                  <c:v>173305822529.00003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782-4A1B-A988-2153EE4DE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02094719"/>
        <c:axId val="702093759"/>
      </c:barChart>
      <c:catAx>
        <c:axId val="70209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2093759"/>
        <c:crosses val="autoZero"/>
        <c:auto val="1"/>
        <c:lblAlgn val="ctr"/>
        <c:lblOffset val="100"/>
        <c:noMultiLvlLbl val="0"/>
      </c:catAx>
      <c:valAx>
        <c:axId val="702093759"/>
        <c:scaling>
          <c:orientation val="minMax"/>
        </c:scaling>
        <c:delete val="0"/>
        <c:axPos val="l"/>
        <c:numFmt formatCode="_(* #,##0,,,_);_(* \(#,##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209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36519107103659898"/>
          <c:w val="1"/>
          <c:h val="0.499883999948351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'BĐ-Dthu EXW-v2'!$C$99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1337336833399261E-3"/>
                  <c:y val="-0.2790865443688743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7C-46E0-8009-000AD0B62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'BĐ-Dthu EXW-v2'!$B$100:$B$106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'BĐ-Dthu EXW-v2'!$C$100:$C$106</c:f>
              <c:numCache>
                <c:formatCode>_(* #,##0,,,_);_(* \(#,##0,,,\);;_(@_)</c:formatCode>
                <c:ptCount val="7"/>
                <c:pt idx="0">
                  <c:v>141599491827.82721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C-46E0-8009-000AD0B62F8B}"/>
            </c:ext>
          </c:extLst>
        </c:ser>
        <c:ser>
          <c:idx val="1"/>
          <c:order val="1"/>
          <c:tx>
            <c:strRef>
              <c:f>'BĐ-Dthu EXW-v2'!$D$99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'BĐ-Dthu EXW-v2'!$B$100:$B$106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'BĐ-Dthu EXW-v2'!$D$100:$D$106</c:f>
              <c:numCache>
                <c:formatCode>_(* #,##0,,,_);_(* \(#,##0,,,\);;_(@_)</c:formatCode>
                <c:ptCount val="7"/>
                <c:pt idx="1">
                  <c:v>141599491827.82721</c:v>
                </c:pt>
                <c:pt idx="2">
                  <c:v>167285225743.63626</c:v>
                </c:pt>
                <c:pt idx="3">
                  <c:v>166524673623.13641</c:v>
                </c:pt>
                <c:pt idx="4">
                  <c:v>164787333212.03506</c:v>
                </c:pt>
                <c:pt idx="5">
                  <c:v>164787333212.03506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7C-46E0-8009-000AD0B62F8B}"/>
            </c:ext>
          </c:extLst>
        </c:ser>
        <c:ser>
          <c:idx val="2"/>
          <c:order val="2"/>
          <c:tx>
            <c:strRef>
              <c:f>'BĐ-Dthu EXW-v2'!$E$99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5.2192763904799818E-3"/>
                  <c:y val="-0.100505610278979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06-4CE7-8295-F75442B25CBB}"/>
                </c:ext>
              </c:extLst>
            </c:dLbl>
            <c:dLbl>
              <c:idx val="3"/>
              <c:layout>
                <c:manualLayout>
                  <c:x val="0"/>
                  <c:y val="-8.46363033928245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06-4CE7-8295-F75442B25CBB}"/>
                </c:ext>
              </c:extLst>
            </c:dLbl>
            <c:dLbl>
              <c:idx val="4"/>
              <c:layout>
                <c:manualLayout>
                  <c:x val="-1.3048190976199894E-3"/>
                  <c:y val="-5.66063591353269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7C-46E0-8009-000AD0B62F8B}"/>
                </c:ext>
              </c:extLst>
            </c:dLbl>
            <c:dLbl>
              <c:idx val="5"/>
              <c:layout>
                <c:manualLayout>
                  <c:x val="0"/>
                  <c:y val="-6.87669965066698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7C-46E0-8009-000AD0B62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'BĐ-Dthu EXW-v2'!$B$100:$B$106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'BĐ-Dthu EXW-v2'!$E$100:$E$106</c:f>
              <c:numCache>
                <c:formatCode>[Color10]\▲_(* #,##0.0,,,_);_(* \(#,##0.0,,,\);;_(@_)</c:formatCode>
                <c:ptCount val="7"/>
                <c:pt idx="1">
                  <c:v>35331469390.665573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8518489316.9649591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7C-46E0-8009-000AD0B62F8B}"/>
            </c:ext>
          </c:extLst>
        </c:ser>
        <c:ser>
          <c:idx val="3"/>
          <c:order val="3"/>
          <c:tx>
            <c:strRef>
              <c:f>'BĐ-Dthu EXW-v2'!$F$99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6096381952399788E-3"/>
                  <c:y val="-0.172397735645670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37C-46E0-8009-000AD0B62F8B}"/>
                </c:ext>
              </c:extLst>
            </c:dLbl>
            <c:dLbl>
              <c:idx val="3"/>
              <c:layout>
                <c:manualLayout>
                  <c:x val="-2.6096381952399788E-3"/>
                  <c:y val="0.1134187740451983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37C-46E0-8009-000AD0B62F8B}"/>
                </c:ext>
              </c:extLst>
            </c:dLbl>
            <c:dLbl>
              <c:idx val="5"/>
              <c:layout>
                <c:manualLayout>
                  <c:x val="-9.5685628456920788E-17"/>
                  <c:y val="6.250091113146491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37C-46E0-8009-000AD0B62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'BĐ-Dthu EXW-v2'!$B$100:$B$106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'BĐ-Dthu EXW-v2'!$F$100:$F$106</c:f>
              <c:numCache>
                <c:formatCode>[Color3]\▼_(* #,##0.0,,,_);_(* \(#,##0.0,,,\);;_(@_)</c:formatCode>
                <c:ptCount val="7"/>
                <c:pt idx="1">
                  <c:v>0</c:v>
                </c:pt>
                <c:pt idx="2">
                  <c:v>9645735474.8565273</c:v>
                </c:pt>
                <c:pt idx="3">
                  <c:v>760552120.49985743</c:v>
                </c:pt>
                <c:pt idx="4">
                  <c:v>1737340411.101341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37C-46E0-8009-000AD0B62F8B}"/>
            </c:ext>
          </c:extLst>
        </c:ser>
        <c:ser>
          <c:idx val="4"/>
          <c:order val="4"/>
          <c:tx>
            <c:strRef>
              <c:f>'BĐ-Dthu EXW-v2'!$G$99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37C-46E0-8009-000AD0B62F8B}"/>
              </c:ext>
            </c:extLst>
          </c:dPt>
          <c:dLbls>
            <c:dLbl>
              <c:idx val="6"/>
              <c:layout>
                <c:manualLayout>
                  <c:x val="-1.2985518562849644E-3"/>
                  <c:y val="-0.32855296495715497"/>
                </c:manualLayout>
              </c:layout>
              <c:tx>
                <c:rich>
                  <a:bodyPr/>
                  <a:lstStyle/>
                  <a:p>
                    <a:fld id="{A18D93A5-2DF4-4CF0-83C7-E7C789FFF98A}" type="VALUE">
                      <a:rPr lang="en-US" sz="250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037C-46E0-8009-000AD0B62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'BĐ-Dthu EXW-v2'!$B$100:$B$106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'BĐ-Dthu EXW-v2'!$G$100:$G$106</c:f>
              <c:numCache>
                <c:formatCode>_(* #,##0,,,_);_(* \(#,##0,,,\);;_(@_)</c:formatCode>
                <c:ptCount val="7"/>
                <c:pt idx="6">
                  <c:v>173305822529.00003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7C-46E0-8009-000AD0B62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10667535"/>
        <c:axId val="710674255"/>
      </c:barChart>
      <c:catAx>
        <c:axId val="71066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0674255"/>
        <c:crosses val="autoZero"/>
        <c:auto val="1"/>
        <c:lblAlgn val="ctr"/>
        <c:lblOffset val="100"/>
        <c:noMultiLvlLbl val="0"/>
      </c:catAx>
      <c:valAx>
        <c:axId val="710674255"/>
        <c:scaling>
          <c:orientation val="minMax"/>
        </c:scaling>
        <c:delete val="0"/>
        <c:axPos val="l"/>
        <c:numFmt formatCode="_(* #,##0,,,_);_(* \(#,##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066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5201768933112217E-2"/>
          <c:y val="0.1511521788729181"/>
          <c:w val="0.96959646213377559"/>
          <c:h val="0.710829107090566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'BĐ-LG EXW'!$C$2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3820486969646215E-3"/>
                  <c:y val="-0.35347424882989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0F-433C-86B7-783978EF91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'BĐ-LG EXW'!$A$3:$B$22</c:f>
              <c:multiLvlStrCache>
                <c:ptCount val="20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Giá vốn</c:v>
                  </c:pt>
                  <c:pt idx="4">
                    <c:v>Sản lượng</c:v>
                  </c:pt>
                  <c:pt idx="5">
                    <c:v>Giá bán</c:v>
                  </c:pt>
                  <c:pt idx="6">
                    <c:v>Giá vốn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Giá vốn</c:v>
                  </c:pt>
                  <c:pt idx="10">
                    <c:v>Sản lượng</c:v>
                  </c:pt>
                  <c:pt idx="11">
                    <c:v>Giá bán</c:v>
                  </c:pt>
                  <c:pt idx="12">
                    <c:v>Giá vốn</c:v>
                  </c:pt>
                  <c:pt idx="13">
                    <c:v>Sản lượng</c:v>
                  </c:pt>
                  <c:pt idx="14">
                    <c:v>Giá bán</c:v>
                  </c:pt>
                  <c:pt idx="15">
                    <c:v>Giá vốn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EXW'!$C$3:$C$22</c:f>
              <c:numCache>
                <c:formatCode>_(* #,##0,,,_);_(* \(#,##0,,,\);;_(@_)</c:formatCode>
                <c:ptCount val="20"/>
                <c:pt idx="0" formatCode="_(* #,##0.0,,,_);_(* \(#,##0.0,,,\);;_(@_)">
                  <c:v>21385803501.236702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0F-433C-86B7-783978EF9102}"/>
            </c:ext>
          </c:extLst>
        </c:ser>
        <c:ser>
          <c:idx val="1"/>
          <c:order val="1"/>
          <c:tx>
            <c:strRef>
              <c:f>'BĐ-LG EXW'!$D$2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'BĐ-LG EXW'!$A$3:$B$22</c:f>
              <c:multiLvlStrCache>
                <c:ptCount val="20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Giá vốn</c:v>
                  </c:pt>
                  <c:pt idx="4">
                    <c:v>Sản lượng</c:v>
                  </c:pt>
                  <c:pt idx="5">
                    <c:v>Giá bán</c:v>
                  </c:pt>
                  <c:pt idx="6">
                    <c:v>Giá vốn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Giá vốn</c:v>
                  </c:pt>
                  <c:pt idx="10">
                    <c:v>Sản lượng</c:v>
                  </c:pt>
                  <c:pt idx="11">
                    <c:v>Giá bán</c:v>
                  </c:pt>
                  <c:pt idx="12">
                    <c:v>Giá vốn</c:v>
                  </c:pt>
                  <c:pt idx="13">
                    <c:v>Sản lượng</c:v>
                  </c:pt>
                  <c:pt idx="14">
                    <c:v>Giá bán</c:v>
                  </c:pt>
                  <c:pt idx="15">
                    <c:v>Giá vốn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EXW'!$D$3:$D$22</c:f>
              <c:numCache>
                <c:formatCode>_(* #,##0,,,_);_(* \(#,##0,,,\);;_(@_)</c:formatCode>
                <c:ptCount val="20"/>
                <c:pt idx="1">
                  <c:v>21385803501.236702</c:v>
                </c:pt>
                <c:pt idx="2">
                  <c:v>23089196529.221832</c:v>
                </c:pt>
                <c:pt idx="3">
                  <c:v>19837075881.572517</c:v>
                </c:pt>
                <c:pt idx="4">
                  <c:v>19326196584.273064</c:v>
                </c:pt>
                <c:pt idx="5">
                  <c:v>19324436877.297089</c:v>
                </c:pt>
                <c:pt idx="6">
                  <c:v>17826089289.801502</c:v>
                </c:pt>
                <c:pt idx="7">
                  <c:v>14552735512.629246</c:v>
                </c:pt>
                <c:pt idx="8">
                  <c:v>14552735512.629246</c:v>
                </c:pt>
                <c:pt idx="9">
                  <c:v>14552735512.629246</c:v>
                </c:pt>
                <c:pt idx="10">
                  <c:v>14552735512.629246</c:v>
                </c:pt>
                <c:pt idx="11">
                  <c:v>14742286144.826769</c:v>
                </c:pt>
                <c:pt idx="12">
                  <c:v>14742286144.826769</c:v>
                </c:pt>
                <c:pt idx="13">
                  <c:v>12053460287.593973</c:v>
                </c:pt>
                <c:pt idx="14">
                  <c:v>12053460287.593973</c:v>
                </c:pt>
                <c:pt idx="15">
                  <c:v>11447264295.947533</c:v>
                </c:pt>
                <c:pt idx="16">
                  <c:v>9709923884.8461819</c:v>
                </c:pt>
                <c:pt idx="17">
                  <c:v>6459492531.855011</c:v>
                </c:pt>
                <c:pt idx="18">
                  <c:v>6459492531.855011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0F-433C-86B7-783978EF9102}"/>
            </c:ext>
          </c:extLst>
        </c:ser>
        <c:ser>
          <c:idx val="2"/>
          <c:order val="2"/>
          <c:tx>
            <c:strRef>
              <c:f>'BĐ-LG EXW'!$E$2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6"/>
              <c:layout>
                <c:manualLayout>
                  <c:x val="1.4190329413413124E-3"/>
                  <c:y val="8.86757914092672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0F-433C-86B7-783978EF91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EXW'!$A$3:$B$22</c:f>
              <c:multiLvlStrCache>
                <c:ptCount val="20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Giá vốn</c:v>
                  </c:pt>
                  <c:pt idx="4">
                    <c:v>Sản lượng</c:v>
                  </c:pt>
                  <c:pt idx="5">
                    <c:v>Giá bán</c:v>
                  </c:pt>
                  <c:pt idx="6">
                    <c:v>Giá vốn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Giá vốn</c:v>
                  </c:pt>
                  <c:pt idx="10">
                    <c:v>Sản lượng</c:v>
                  </c:pt>
                  <c:pt idx="11">
                    <c:v>Giá bán</c:v>
                  </c:pt>
                  <c:pt idx="12">
                    <c:v>Giá vốn</c:v>
                  </c:pt>
                  <c:pt idx="13">
                    <c:v>Sản lượng</c:v>
                  </c:pt>
                  <c:pt idx="14">
                    <c:v>Giá bán</c:v>
                  </c:pt>
                  <c:pt idx="15">
                    <c:v>Giá vốn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EXW'!$E$3:$E$22</c:f>
              <c:numCache>
                <c:formatCode>[Color10]\▲_(* #,##0.0,,,_);_(* \(#,##0.0,,,\);;_(@_)</c:formatCode>
                <c:ptCount val="20"/>
                <c:pt idx="1">
                  <c:v>2552801639.4406633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206596876.54665509</c:v>
                </c:pt>
                <c:pt idx="11">
                  <c:v>0</c:v>
                </c:pt>
                <c:pt idx="12">
                  <c:v>37431734.390786693</c:v>
                </c:pt>
                <c:pt idx="13">
                  <c:v>0</c:v>
                </c:pt>
                <c:pt idx="14">
                  <c:v>107662442.28078195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1001590132.144989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0F-433C-86B7-783978EF9102}"/>
            </c:ext>
          </c:extLst>
        </c:ser>
        <c:ser>
          <c:idx val="3"/>
          <c:order val="3"/>
          <c:tx>
            <c:strRef>
              <c:f>'BĐ-LG EXW'!$F$2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9.305694337996053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0F-433C-86B7-783978EF9102}"/>
                </c:ext>
              </c:extLst>
            </c:dLbl>
            <c:dLbl>
              <c:idx val="3"/>
              <c:layout>
                <c:manualLayout>
                  <c:x val="0"/>
                  <c:y val="-0.1016328248116765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37-4887-8A05-B62B0294AADF}"/>
                </c:ext>
              </c:extLst>
            </c:dLbl>
            <c:dLbl>
              <c:idx val="4"/>
              <c:layout>
                <c:manualLayout>
                  <c:x val="0"/>
                  <c:y val="-5.505863946800902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D0F-433C-86B7-783978EF9102}"/>
                </c:ext>
              </c:extLst>
            </c:dLbl>
            <c:dLbl>
              <c:idx val="9"/>
              <c:layout>
                <c:manualLayout>
                  <c:x val="-1.0406121357434381E-16"/>
                  <c:y val="-5.108355853811749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D0F-433C-86B7-783978EF9102}"/>
                </c:ext>
              </c:extLst>
            </c:dLbl>
            <c:dLbl>
              <c:idx val="14"/>
              <c:layout>
                <c:manualLayout>
                  <c:x val="-1.0406121357434381E-16"/>
                  <c:y val="-6.270285433823688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37-4887-8A05-B62B0294AADF}"/>
                </c:ext>
              </c:extLst>
            </c:dLbl>
            <c:dLbl>
              <c:idx val="17"/>
              <c:layout>
                <c:manualLayout>
                  <c:x val="-2.8380658826825207E-3"/>
                  <c:y val="-8.23099978882521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D0F-433C-86B7-783978EF91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EXW'!$A$3:$B$22</c:f>
              <c:multiLvlStrCache>
                <c:ptCount val="20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Giá vốn</c:v>
                  </c:pt>
                  <c:pt idx="4">
                    <c:v>Sản lượng</c:v>
                  </c:pt>
                  <c:pt idx="5">
                    <c:v>Giá bán</c:v>
                  </c:pt>
                  <c:pt idx="6">
                    <c:v>Giá vốn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Giá vốn</c:v>
                  </c:pt>
                  <c:pt idx="10">
                    <c:v>Sản lượng</c:v>
                  </c:pt>
                  <c:pt idx="11">
                    <c:v>Giá bán</c:v>
                  </c:pt>
                  <c:pt idx="12">
                    <c:v>Giá vốn</c:v>
                  </c:pt>
                  <c:pt idx="13">
                    <c:v>Sản lượng</c:v>
                  </c:pt>
                  <c:pt idx="14">
                    <c:v>Giá bán</c:v>
                  </c:pt>
                  <c:pt idx="15">
                    <c:v>Giá vốn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EXW'!$F$3:$F$22</c:f>
              <c:numCache>
                <c:formatCode>[Color3]\▼_(* #,##0.0,,,_);_(* \(#,##0.0,,,\);;_(@_)</c:formatCode>
                <c:ptCount val="20"/>
                <c:pt idx="1">
                  <c:v>0</c:v>
                </c:pt>
                <c:pt idx="2">
                  <c:v>849408611.45553124</c:v>
                </c:pt>
                <c:pt idx="3">
                  <c:v>3252120647.6493163</c:v>
                </c:pt>
                <c:pt idx="4">
                  <c:v>510879297.2994532</c:v>
                </c:pt>
                <c:pt idx="5">
                  <c:v>1759706.9759762655</c:v>
                </c:pt>
                <c:pt idx="6">
                  <c:v>1498347587.495585</c:v>
                </c:pt>
                <c:pt idx="7">
                  <c:v>3273353777.172256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17046244.349131957</c:v>
                </c:pt>
                <c:pt idx="12">
                  <c:v>0</c:v>
                </c:pt>
                <c:pt idx="13">
                  <c:v>2726257591.6235833</c:v>
                </c:pt>
                <c:pt idx="14">
                  <c:v>0</c:v>
                </c:pt>
                <c:pt idx="15">
                  <c:v>713858433.92722332</c:v>
                </c:pt>
                <c:pt idx="16">
                  <c:v>1737340411.1013508</c:v>
                </c:pt>
                <c:pt idx="17">
                  <c:v>3250431352.9911709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D0F-433C-86B7-783978EF9102}"/>
            </c:ext>
          </c:extLst>
        </c:ser>
        <c:ser>
          <c:idx val="4"/>
          <c:order val="4"/>
          <c:tx>
            <c:strRef>
              <c:f>'BĐ-LG EXW'!$G$2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1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62-4A48-87A1-4F440A9E983D}"/>
              </c:ext>
            </c:extLst>
          </c:dPt>
          <c:dLbls>
            <c:dLbl>
              <c:idx val="19"/>
              <c:layout>
                <c:manualLayout>
                  <c:x val="-1.3449527177106597E-3"/>
                  <c:y val="-0.1319652834904359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1" i="0" u="none" strike="noStrike" kern="1200" baseline="0">
                      <a:solidFill>
                        <a:schemeClr val="accent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62-4A48-87A1-4F440A9E98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EXW'!$A$3:$B$22</c:f>
              <c:multiLvlStrCache>
                <c:ptCount val="20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Giá vốn</c:v>
                  </c:pt>
                  <c:pt idx="4">
                    <c:v>Sản lượng</c:v>
                  </c:pt>
                  <c:pt idx="5">
                    <c:v>Giá bán</c:v>
                  </c:pt>
                  <c:pt idx="6">
                    <c:v>Giá vốn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Giá vốn</c:v>
                  </c:pt>
                  <c:pt idx="10">
                    <c:v>Sản lượng</c:v>
                  </c:pt>
                  <c:pt idx="11">
                    <c:v>Giá bán</c:v>
                  </c:pt>
                  <c:pt idx="12">
                    <c:v>Giá vốn</c:v>
                  </c:pt>
                  <c:pt idx="13">
                    <c:v>Sản lượng</c:v>
                  </c:pt>
                  <c:pt idx="14">
                    <c:v>Giá bán</c:v>
                  </c:pt>
                  <c:pt idx="15">
                    <c:v>Giá vốn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EXW'!$G$3:$G$22</c:f>
              <c:numCache>
                <c:formatCode>_(* #,##0,,,_);_(* \(#,##0,,,\);;_(@_)</c:formatCode>
                <c:ptCount val="20"/>
                <c:pt idx="19" formatCode="_(* #,##0.0,,,_);_(* \(#,##0.0,,,\);;_(@_)">
                  <c:v>7461082664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D0F-433C-86B7-783978EF9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56959488"/>
        <c:axId val="356954688"/>
      </c:barChart>
      <c:catAx>
        <c:axId val="356959488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6954688"/>
        <c:crosses val="autoZero"/>
        <c:auto val="1"/>
        <c:lblAlgn val="ctr"/>
        <c:lblOffset val="100"/>
        <c:noMultiLvlLbl val="0"/>
      </c:catAx>
      <c:valAx>
        <c:axId val="356954688"/>
        <c:scaling>
          <c:orientation val="minMax"/>
        </c:scaling>
        <c:delete val="0"/>
        <c:axPos val="l"/>
        <c:numFmt formatCode="_(* #,##0.0,,,_);_(* \(#,##0.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695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850412752661439E-3"/>
          <c:y val="0"/>
          <c:w val="0.99861495872473383"/>
          <c:h val="0.858636803404170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'BĐ-LG EXW'!$C$68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6689194337313291E-3"/>
                  <c:y val="-0.389966931262662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2E-40B6-893B-BFCBE427CC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'BĐ-LG EXW'!$A$69:$B$83</c15:sqref>
                  </c15:fullRef>
                </c:ext>
              </c:extLst>
              <c:f>('BĐ-LG EXW'!$A$69:$B$74,'BĐ-LG EXW'!$A$76:$B$83)</c:f>
              <c:multiLvlStrCache>
                <c:ptCount val="14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LG đơn vị</c:v>
                  </c:pt>
                  <c:pt idx="8">
                    <c:v>Sản lượng</c:v>
                  </c:pt>
                  <c:pt idx="9">
                    <c:v>LG đơn vị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'BĐ-LG EXW'!$C$69:$C$83</c15:sqref>
                  </c15:fullRef>
                </c:ext>
              </c:extLst>
              <c:f>('BĐ-LG EXW'!$C$69:$C$74,'BĐ-LG EXW'!$C$76:$C$83)</c:f>
              <c:numCache>
                <c:formatCode>_(* #,##0,,,_);_(* \(#,##0,,,\);;_(@_)</c:formatCode>
                <c:ptCount val="14"/>
                <c:pt idx="0" formatCode="_(* #,##0.0,,,_);_(* \(#,##0.0,,,\);;_(@_)">
                  <c:v>21385803501.236702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E-40B6-893B-BFCBE427CC72}"/>
            </c:ext>
          </c:extLst>
        </c:ser>
        <c:ser>
          <c:idx val="1"/>
          <c:order val="1"/>
          <c:tx>
            <c:strRef>
              <c:f>'BĐ-LG EXW'!$D$68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'BĐ-LG EXW'!$A$69:$B$83</c15:sqref>
                  </c15:fullRef>
                </c:ext>
              </c:extLst>
              <c:f>('BĐ-LG EXW'!$A$69:$B$74,'BĐ-LG EXW'!$A$76:$B$83)</c:f>
              <c:multiLvlStrCache>
                <c:ptCount val="14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LG đơn vị</c:v>
                  </c:pt>
                  <c:pt idx="8">
                    <c:v>Sản lượng</c:v>
                  </c:pt>
                  <c:pt idx="9">
                    <c:v>LG đơn vị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'BĐ-LG EXW'!$D$69:$D$83</c15:sqref>
                  </c15:fullRef>
                </c:ext>
              </c:extLst>
              <c:f>('BĐ-LG EXW'!$D$69:$D$74,'BĐ-LG EXW'!$D$76:$D$83)</c:f>
              <c:numCache>
                <c:formatCode>_(* #,##0,,,_);_(* \(#,##0,,,\);;_(@_)</c:formatCode>
                <c:ptCount val="14"/>
                <c:pt idx="1">
                  <c:v>21385803501.236702</c:v>
                </c:pt>
                <c:pt idx="2">
                  <c:v>19837075881.572517</c:v>
                </c:pt>
                <c:pt idx="3">
                  <c:v>19326196584.273064</c:v>
                </c:pt>
                <c:pt idx="4">
                  <c:v>17826089289.801502</c:v>
                </c:pt>
                <c:pt idx="5">
                  <c:v>14552735512.629246</c:v>
                </c:pt>
                <c:pt idx="6">
                  <c:v>14552735512.629246</c:v>
                </c:pt>
                <c:pt idx="7">
                  <c:v>14759332389.175901</c:v>
                </c:pt>
                <c:pt idx="8">
                  <c:v>12053460287.593973</c:v>
                </c:pt>
                <c:pt idx="9">
                  <c:v>11447264295.947533</c:v>
                </c:pt>
                <c:pt idx="10">
                  <c:v>9709923884.8461819</c:v>
                </c:pt>
                <c:pt idx="11">
                  <c:v>6459492531.855011</c:v>
                </c:pt>
                <c:pt idx="12">
                  <c:v>6459492531.855011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2E-40B6-893B-BFCBE427CC72}"/>
            </c:ext>
          </c:extLst>
        </c:ser>
        <c:ser>
          <c:idx val="2"/>
          <c:order val="2"/>
          <c:tx>
            <c:strRef>
              <c:f>'BĐ-LG EXW'!$E$68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C2E-40B6-893B-BFCBE427CC7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C2E-40B6-893B-BFCBE427CC72}"/>
                </c:ext>
              </c:extLst>
            </c:dLbl>
            <c:dLbl>
              <c:idx val="1"/>
              <c:layout>
                <c:manualLayout>
                  <c:x val="1.3463207703583843E-3"/>
                  <c:y val="-6.4739469757833151E-2"/>
                </c:manualLayout>
              </c:layout>
              <c:tx>
                <c:rich>
                  <a:bodyPr/>
                  <a:lstStyle/>
                  <a:p>
                    <a:fld id="{DA839798-50E3-4ABD-BB56-6E01E98F5E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C2E-40B6-893B-BFCBE427CC72}"/>
                </c:ext>
              </c:extLst>
            </c:dLbl>
            <c:dLbl>
              <c:idx val="2"/>
              <c:layout>
                <c:manualLayout>
                  <c:x val="0"/>
                  <c:y val="-2.8030617379865657E-2"/>
                </c:manualLayout>
              </c:layout>
              <c:tx>
                <c:rich>
                  <a:bodyPr/>
                  <a:lstStyle/>
                  <a:p>
                    <a:fld id="{D6E05C4C-C4DC-412F-9A1D-81D0ADAF00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C2E-40B6-893B-BFCBE427CC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E35AAF7-6057-446B-ACB7-B5708E1EE5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C2E-40B6-893B-BFCBE427CC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55D1167-C1B7-4AF7-A3BC-C370EF18B5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C2E-40B6-893B-BFCBE427CC72}"/>
                </c:ext>
              </c:extLst>
            </c:dLbl>
            <c:dLbl>
              <c:idx val="5"/>
              <c:layout>
                <c:manualLayout>
                  <c:x val="-4.7712351170349945E-17"/>
                  <c:y val="-3.5852933608302884E-2"/>
                </c:manualLayout>
              </c:layout>
              <c:tx>
                <c:rich>
                  <a:bodyPr/>
                  <a:lstStyle/>
                  <a:p>
                    <a:fld id="{902144CE-A41A-4432-8773-31A3819131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C2E-40B6-893B-BFCBE427CC72}"/>
                </c:ext>
              </c:extLst>
            </c:dLbl>
            <c:dLbl>
              <c:idx val="6"/>
              <c:layout>
                <c:manualLayout>
                  <c:x val="0"/>
                  <c:y val="-2.5965299183626486E-2"/>
                </c:manualLayout>
              </c:layout>
              <c:tx>
                <c:rich>
                  <a:bodyPr/>
                  <a:lstStyle/>
                  <a:p>
                    <a:fld id="{41FA73A5-D63D-42EE-8980-E5ACEF540C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C2E-40B6-893B-BFCBE427CC72}"/>
                </c:ext>
              </c:extLst>
            </c:dLbl>
            <c:dLbl>
              <c:idx val="7"/>
              <c:layout>
                <c:manualLayout>
                  <c:x val="-1.0337134415734956E-16"/>
                  <c:y val="-3.1208329786932221E-2"/>
                </c:manualLayout>
              </c:layout>
              <c:tx>
                <c:rich>
                  <a:bodyPr/>
                  <a:lstStyle/>
                  <a:p>
                    <a:fld id="{68EDB672-F55E-4876-BD8C-0DF9CCF1FF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1C2E-40B6-893B-BFCBE427CC72}"/>
                </c:ext>
              </c:extLst>
            </c:dLbl>
            <c:dLbl>
              <c:idx val="8"/>
              <c:layout>
                <c:manualLayout>
                  <c:x val="-1.0119810024437543E-16"/>
                  <c:y val="-3.1735365668876782E-2"/>
                </c:manualLayout>
              </c:layout>
              <c:tx>
                <c:rich>
                  <a:bodyPr/>
                  <a:lstStyle/>
                  <a:p>
                    <a:fld id="{94F8CD29-81D3-47CE-9344-631A9F7281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C2E-40B6-893B-BFCBE427CC72}"/>
                </c:ext>
              </c:extLst>
            </c:dLbl>
            <c:dLbl>
              <c:idx val="9"/>
              <c:layout>
                <c:manualLayout>
                  <c:x val="0"/>
                  <c:y val="-2.6816356522873439E-2"/>
                </c:manualLayout>
              </c:layout>
              <c:tx>
                <c:rich>
                  <a:bodyPr/>
                  <a:lstStyle/>
                  <a:p>
                    <a:fld id="{C8158E00-C09A-4C79-AF33-8023A22048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C2E-40B6-893B-BFCBE427CC72}"/>
                </c:ext>
              </c:extLst>
            </c:dLbl>
            <c:dLbl>
              <c:idx val="10"/>
              <c:layout>
                <c:manualLayout>
                  <c:x val="-1.7363278955485231E-3"/>
                  <c:y val="-5.9332397328760479E-2"/>
                </c:manualLayout>
              </c:layout>
              <c:tx>
                <c:rich>
                  <a:bodyPr/>
                  <a:lstStyle/>
                  <a:p>
                    <a:fld id="{D1192D77-8299-431F-BF29-F8CBC77C26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1C2E-40B6-893B-BFCBE427CC72}"/>
                </c:ext>
              </c:extLst>
            </c:dLbl>
            <c:dLbl>
              <c:idx val="11"/>
              <c:layout>
                <c:manualLayout>
                  <c:x val="-1.1851129731673918E-3"/>
                  <c:y val="-0.13078918982457849"/>
                </c:manualLayout>
              </c:layout>
              <c:tx>
                <c:rich>
                  <a:bodyPr/>
                  <a:lstStyle/>
                  <a:p>
                    <a:fld id="{2E7EB707-4A5A-4778-B3E6-E9326398B8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C2E-40B6-893B-BFCBE427CC72}"/>
                </c:ext>
              </c:extLst>
            </c:dLbl>
            <c:dLbl>
              <c:idx val="12"/>
              <c:layout>
                <c:manualLayout>
                  <c:x val="0"/>
                  <c:y val="-4.1163058434688808E-2"/>
                </c:manualLayout>
              </c:layout>
              <c:tx>
                <c:rich>
                  <a:bodyPr/>
                  <a:lstStyle/>
                  <a:p>
                    <a:fld id="{CE2822FF-B044-4432-B6A2-E6E6B1F67B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1C2E-40B6-893B-BFCBE427CC7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C2E-40B6-893B-BFCBE427CC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'BĐ-LG EXW'!$A$69:$B$83</c15:sqref>
                  </c15:fullRef>
                </c:ext>
              </c:extLst>
              <c:f>('BĐ-LG EXW'!$A$69:$B$74,'BĐ-LG EXW'!$A$76:$B$83)</c:f>
              <c:multiLvlStrCache>
                <c:ptCount val="14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LG đơn vị</c:v>
                  </c:pt>
                  <c:pt idx="8">
                    <c:v>Sản lượng</c:v>
                  </c:pt>
                  <c:pt idx="9">
                    <c:v>LG đơn vị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'BĐ-LG EXW'!$E$69:$E$83</c15:sqref>
                  </c15:fullRef>
                </c:ext>
              </c:extLst>
              <c:f>('BĐ-LG EXW'!$E$69:$E$74,'BĐ-LG EXW'!$E$76:$E$83)</c:f>
              <c:numCache>
                <c:formatCode>[Color10]\▲_(* #,##0.0,,,_);_(* \(#,##0.0,,,\);;_(@_)</c:formatCode>
                <c:ptCount val="14"/>
                <c:pt idx="1">
                  <c:v>2552801639.4406624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206596876.54665497</c:v>
                </c:pt>
                <c:pt idx="7">
                  <c:v>20385490.041654736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1001590132.144989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'BĐ-LG EXW'!$J$69:$J$83</c15:f>
                <c15:dlblRangeCache>
                  <c:ptCount val="15"/>
                  <c:pt idx="1">
                    <c:v>▲ 2.6 </c:v>
                  </c:pt>
                  <c:pt idx="7">
                    <c:v>▲ 0.2 </c:v>
                  </c:pt>
                  <c:pt idx="8">
                    <c:v>▲ 0.0 </c:v>
                  </c:pt>
                  <c:pt idx="13">
                    <c:v>▲ 1.0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1C2E-40B6-893B-BFCBE427CC72}"/>
            </c:ext>
          </c:extLst>
        </c:ser>
        <c:ser>
          <c:idx val="3"/>
          <c:order val="3"/>
          <c:tx>
            <c:strRef>
              <c:f>'BĐ-LG EXW'!$F$68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C2E-40B6-893B-BFCBE427CC72}"/>
                </c:ext>
              </c:extLst>
            </c:dLbl>
            <c:dLbl>
              <c:idx val="1"/>
              <c:layout>
                <c:manualLayout>
                  <c:x val="-2.4362592181401666E-3"/>
                  <c:y val="-0.16566197112492481"/>
                </c:manualLayout>
              </c:layout>
              <c:tx>
                <c:rich>
                  <a:bodyPr/>
                  <a:lstStyle/>
                  <a:p>
                    <a:fld id="{B94271D6-8C69-42F3-921E-8CB4A4BF59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1C2E-40B6-893B-BFCBE427CC72}"/>
                </c:ext>
              </c:extLst>
            </c:dLbl>
            <c:dLbl>
              <c:idx val="2"/>
              <c:layout>
                <c:manualLayout>
                  <c:x val="-1.334692831791546E-3"/>
                  <c:y val="-8.8955890938729021E-2"/>
                </c:manualLayout>
              </c:layout>
              <c:tx>
                <c:rich>
                  <a:bodyPr/>
                  <a:lstStyle/>
                  <a:p>
                    <a:fld id="{619811F3-340B-43CF-B6A7-806BC3E625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1C2E-40B6-893B-BFCBE427CC72}"/>
                </c:ext>
              </c:extLst>
            </c:dLbl>
            <c:dLbl>
              <c:idx val="3"/>
              <c:layout>
                <c:manualLayout>
                  <c:x val="-2.7756881628039857E-3"/>
                  <c:y val="-0.1039543329899117"/>
                </c:manualLayout>
              </c:layout>
              <c:tx>
                <c:rich>
                  <a:bodyPr/>
                  <a:lstStyle/>
                  <a:p>
                    <a:fld id="{D1A5EE19-C0FB-4A69-A05D-7DA89B23B0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1C2E-40B6-893B-BFCBE427CC72}"/>
                </c:ext>
              </c:extLst>
            </c:dLbl>
            <c:dLbl>
              <c:idx val="4"/>
              <c:layout>
                <c:manualLayout>
                  <c:x val="-1.2648907268868858E-3"/>
                  <c:y val="-5.3842360827807571E-2"/>
                </c:manualLayout>
              </c:layout>
              <c:tx>
                <c:rich>
                  <a:bodyPr/>
                  <a:lstStyle/>
                  <a:p>
                    <a:fld id="{AFE6A882-3BC6-413A-AA3F-9BFDEC0CEA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1C2E-40B6-893B-BFCBE427CC72}"/>
                </c:ext>
              </c:extLst>
            </c:dLbl>
            <c:dLbl>
              <c:idx val="5"/>
              <c:layout>
                <c:manualLayout>
                  <c:x val="-2.1957319363087691E-6"/>
                  <c:y val="-6.6639338656322863E-2"/>
                </c:manualLayout>
              </c:layout>
              <c:tx>
                <c:rich>
                  <a:bodyPr/>
                  <a:lstStyle/>
                  <a:p>
                    <a:fld id="{B709C8DE-F849-4AC2-9B8F-273E499FE1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1C2E-40B6-893B-BFCBE427CC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3ABD98D-1A78-4615-AF85-2B9AB43237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C2E-40B6-893B-BFCBE427CC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D501695-FC8C-43D6-A0DE-70AAD04734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C2E-40B6-893B-BFCBE427CC72}"/>
                </c:ext>
              </c:extLst>
            </c:dLbl>
            <c:dLbl>
              <c:idx val="8"/>
              <c:layout>
                <c:manualLayout>
                  <c:x val="-1.2675361632059603E-3"/>
                  <c:y val="-7.6719310232861354E-2"/>
                </c:manualLayout>
              </c:layout>
              <c:tx>
                <c:rich>
                  <a:bodyPr/>
                  <a:lstStyle/>
                  <a:p>
                    <a:fld id="{8C3D0F3E-1D03-4ED2-8414-3B33AC098A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1C2E-40B6-893B-BFCBE427CC72}"/>
                </c:ext>
              </c:extLst>
            </c:dLbl>
            <c:dLbl>
              <c:idx val="9"/>
              <c:layout>
                <c:manualLayout>
                  <c:x val="-9.2951578183874031E-17"/>
                  <c:y val="-3.5464867155060219E-2"/>
                </c:manualLayout>
              </c:layout>
              <c:tx>
                <c:rich>
                  <a:bodyPr/>
                  <a:lstStyle/>
                  <a:p>
                    <a:fld id="{EC37898D-ED3C-4810-9D2B-33CB924440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1C2E-40B6-893B-BFCBE427CC72}"/>
                </c:ext>
              </c:extLst>
            </c:dLbl>
            <c:dLbl>
              <c:idx val="10"/>
              <c:layout>
                <c:manualLayout>
                  <c:x val="-1.2675361632060532E-3"/>
                  <c:y val="-5.5444760090733076E-2"/>
                </c:manualLayout>
              </c:layout>
              <c:tx>
                <c:rich>
                  <a:bodyPr/>
                  <a:lstStyle/>
                  <a:p>
                    <a:fld id="{15FF9D8E-836C-4AD9-B2D6-31C544AFD6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1C2E-40B6-893B-BFCBE427CC72}"/>
                </c:ext>
              </c:extLst>
            </c:dLbl>
            <c:dLbl>
              <c:idx val="11"/>
              <c:layout>
                <c:manualLayout>
                  <c:x val="-2.499840809434621E-3"/>
                  <c:y val="-8.1922193396221366E-2"/>
                </c:manualLayout>
              </c:layout>
              <c:tx>
                <c:rich>
                  <a:bodyPr/>
                  <a:lstStyle/>
                  <a:p>
                    <a:fld id="{76BBB8CB-D3EA-44FE-99D9-EDA7091C3D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1C2E-40B6-893B-BFCBE427CC72}"/>
                </c:ext>
              </c:extLst>
            </c:dLbl>
            <c:dLbl>
              <c:idx val="12"/>
              <c:layout>
                <c:manualLayout>
                  <c:x val="-9.5331663810485956E-17"/>
                  <c:y val="0.11854618397014285"/>
                </c:manualLayout>
              </c:layout>
              <c:tx>
                <c:rich>
                  <a:bodyPr/>
                  <a:lstStyle/>
                  <a:p>
                    <a:fld id="{90BDEF15-4DEF-4E84-AAF4-32E08461F3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1C2E-40B6-893B-BFCBE427CC7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1C2E-40B6-893B-BFCBE427CC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rgbClr val="FF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'BĐ-LG EXW'!$A$69:$B$83</c15:sqref>
                  </c15:fullRef>
                </c:ext>
              </c:extLst>
              <c:f>('BĐ-LG EXW'!$A$69:$B$74,'BĐ-LG EXW'!$A$76:$B$83)</c:f>
              <c:multiLvlStrCache>
                <c:ptCount val="14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LG đơn vị</c:v>
                  </c:pt>
                  <c:pt idx="8">
                    <c:v>Sản lượng</c:v>
                  </c:pt>
                  <c:pt idx="9">
                    <c:v>LG đơn vị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'BĐ-LG EXW'!$F$69:$F$83</c15:sqref>
                  </c15:fullRef>
                </c:ext>
              </c:extLst>
              <c:f>('BĐ-LG EXW'!$F$69:$F$74,'BĐ-LG EXW'!$F$76:$F$83)</c:f>
              <c:numCache>
                <c:formatCode>[Color3]\▼_(* #,##0.0,,,_);_(* \(#,##0.0,,,\);;_(@_)</c:formatCode>
                <c:ptCount val="14"/>
                <c:pt idx="1">
                  <c:v>0</c:v>
                </c:pt>
                <c:pt idx="2">
                  <c:v>4101529259.1048474</c:v>
                </c:pt>
                <c:pt idx="3">
                  <c:v>510879297.29945302</c:v>
                </c:pt>
                <c:pt idx="4">
                  <c:v>1500107294.4715612</c:v>
                </c:pt>
                <c:pt idx="5">
                  <c:v>3273353777.172256</c:v>
                </c:pt>
                <c:pt idx="6">
                  <c:v>0</c:v>
                </c:pt>
                <c:pt idx="7">
                  <c:v>0</c:v>
                </c:pt>
                <c:pt idx="8">
                  <c:v>2726257591.6235828</c:v>
                </c:pt>
                <c:pt idx="9">
                  <c:v>606195991.64644134</c:v>
                </c:pt>
                <c:pt idx="10">
                  <c:v>1737340411.1013508</c:v>
                </c:pt>
                <c:pt idx="11">
                  <c:v>3250431352.9911709</c:v>
                </c:pt>
                <c:pt idx="1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'BĐ-LG EXW'!$K$69:$K$83</c15:f>
                <c15:dlblRangeCache>
                  <c:ptCount val="15"/>
                  <c:pt idx="2">
                    <c:v>▼ 4.1 </c:v>
                  </c:pt>
                  <c:pt idx="3">
                    <c:v>▼ 0.5 </c:v>
                  </c:pt>
                  <c:pt idx="4">
                    <c:v>▼ 1.5 </c:v>
                  </c:pt>
                  <c:pt idx="5">
                    <c:v>▼ 3.3 </c:v>
                  </c:pt>
                  <c:pt idx="9">
                    <c:v>▼ 2.7 </c:v>
                  </c:pt>
                  <c:pt idx="10">
                    <c:v>▼ 0.6 </c:v>
                  </c:pt>
                  <c:pt idx="11">
                    <c:v>▼ 1.7 </c:v>
                  </c:pt>
                  <c:pt idx="12">
                    <c:v>▼ 3.3 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'BĐ-LG EXW'!$F$75</c15:sqref>
                  <c15:dLbl>
                    <c:idx val="5"/>
                    <c:layout>
                      <c:manualLayout>
                        <c:x val="-1.339913273115372E-3"/>
                        <c:y val="6.0599769864326025E-2"/>
                      </c:manualLayout>
                    </c:layout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3-1C2E-40B6-893B-BFCBE427CC7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0-1C2E-40B6-893B-BFCBE427CC72}"/>
            </c:ext>
          </c:extLst>
        </c:ser>
        <c:ser>
          <c:idx val="4"/>
          <c:order val="4"/>
          <c:tx>
            <c:strRef>
              <c:f>'BĐ-LG EXW'!$G$68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3"/>
              <c:layout>
                <c:manualLayout>
                  <c:x val="2.2178414729383603E-3"/>
                  <c:y val="-0.137298787191525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C2E-40B6-893B-BFCBE427CC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accent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'BĐ-LG EXW'!$A$69:$B$83</c15:sqref>
                  </c15:fullRef>
                </c:ext>
              </c:extLst>
              <c:f>('BĐ-LG EXW'!$A$69:$B$74,'BĐ-LG EXW'!$A$76:$B$83)</c:f>
              <c:multiLvlStrCache>
                <c:ptCount val="14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LG đơn vị</c:v>
                  </c:pt>
                  <c:pt idx="8">
                    <c:v>Sản lượng</c:v>
                  </c:pt>
                  <c:pt idx="9">
                    <c:v>LG đơn vị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'BĐ-LG EXW'!$G$69:$G$83</c15:sqref>
                  </c15:fullRef>
                </c:ext>
              </c:extLst>
              <c:f>('BĐ-LG EXW'!$G$69:$G$74,'BĐ-LG EXW'!$G$76:$G$83)</c:f>
              <c:numCache>
                <c:formatCode>_(* #,##0,,,_);_(* \(#,##0,,,\);;_(@_)</c:formatCode>
                <c:ptCount val="14"/>
                <c:pt idx="13" formatCode="_(* #,##0.0,,,_);_(* \(#,##0.0,,,\);;_(@_)">
                  <c:v>6459492531.855011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C2E-40B6-893B-BFCBE427C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37930992"/>
        <c:axId val="2037940592"/>
      </c:barChart>
      <c:catAx>
        <c:axId val="203793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ysDot"/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940592"/>
        <c:crosses val="autoZero"/>
        <c:auto val="1"/>
        <c:lblAlgn val="ctr"/>
        <c:lblOffset val="100"/>
        <c:noMultiLvlLbl val="0"/>
      </c:catAx>
      <c:valAx>
        <c:axId val="2037940592"/>
        <c:scaling>
          <c:orientation val="minMax"/>
          <c:max val="27000000000"/>
          <c:min val="0"/>
        </c:scaling>
        <c:delete val="0"/>
        <c:axPos val="l"/>
        <c:numFmt formatCode="_(* #,##0.0,,,_);_(* \(#,##0.0,,,\);;_(@_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930992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337815353247745E-3"/>
          <c:y val="5.0920010680872499E-2"/>
          <c:w val="0.99486621846467527"/>
          <c:h val="0.821449267787912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'BĐ-LG EXW-v2'!$C$78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4101326220603447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accent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86-4F5E-928F-3F65F6ED3E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EXW-v2'!$C$79:$C$98</c:f>
              <c:numCache>
                <c:formatCode>_(* #,##0,,,_);_(* \(#,##0,,,\);;_(@_)</c:formatCode>
                <c:ptCount val="20"/>
                <c:pt idx="0" formatCode="_(* #,##0.0,,,_);_(* \(#,##0.0,,,\);;_(@_)">
                  <c:v>21385803501.236717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86-4F5E-928F-3F65F6ED3E18}"/>
            </c:ext>
          </c:extLst>
        </c:ser>
        <c:ser>
          <c:idx val="1"/>
          <c:order val="1"/>
          <c:tx>
            <c:strRef>
              <c:f>'BĐ-LG EXW-v2'!$D$78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EXW-v2'!$D$79:$D$98</c:f>
              <c:numCache>
                <c:formatCode>_(* #,##0,,,_);_(* \(#,##0,,,\);;_(@_)</c:formatCode>
                <c:ptCount val="20"/>
                <c:pt idx="1">
                  <c:v>21385803501.236717</c:v>
                </c:pt>
                <c:pt idx="2">
                  <c:v>23938605140.67738</c:v>
                </c:pt>
                <c:pt idx="3">
                  <c:v>19837075881.572533</c:v>
                </c:pt>
                <c:pt idx="4">
                  <c:v>19837075881.572533</c:v>
                </c:pt>
                <c:pt idx="5">
                  <c:v>19326196584.273079</c:v>
                </c:pt>
                <c:pt idx="6">
                  <c:v>17826089289.801517</c:v>
                </c:pt>
                <c:pt idx="7">
                  <c:v>17826089289.801517</c:v>
                </c:pt>
                <c:pt idx="8">
                  <c:v>17826089289.801517</c:v>
                </c:pt>
                <c:pt idx="9">
                  <c:v>14596585329.919235</c:v>
                </c:pt>
                <c:pt idx="10">
                  <c:v>14526175599.304583</c:v>
                </c:pt>
                <c:pt idx="11">
                  <c:v>14526175599.304583</c:v>
                </c:pt>
                <c:pt idx="12">
                  <c:v>14803182206.465891</c:v>
                </c:pt>
                <c:pt idx="13">
                  <c:v>14628774024.809093</c:v>
                </c:pt>
                <c:pt idx="14">
                  <c:v>12097310104.883961</c:v>
                </c:pt>
                <c:pt idx="15">
                  <c:v>11491114113.23752</c:v>
                </c:pt>
                <c:pt idx="16">
                  <c:v>9709923884.8462067</c:v>
                </c:pt>
                <c:pt idx="17">
                  <c:v>6459492531.8550186</c:v>
                </c:pt>
                <c:pt idx="18">
                  <c:v>6459492531.8550186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86-4F5E-928F-3F65F6ED3E18}"/>
            </c:ext>
          </c:extLst>
        </c:ser>
        <c:ser>
          <c:idx val="2"/>
          <c:order val="2"/>
          <c:tx>
            <c:strRef>
              <c:f>'BĐ-LG EXW-v2'!$E$78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1431357130718559E-3"/>
                  <c:y val="-4.638137597388890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9E-486F-AE98-2323528FDDE6}"/>
                </c:ext>
              </c:extLst>
            </c:dLbl>
            <c:dLbl>
              <c:idx val="14"/>
              <c:layout>
                <c:manualLayout>
                  <c:x val="-1.5320359993251221E-6"/>
                  <c:y val="-3.390054458831814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86-4F5E-928F-3F65F6ED3E18}"/>
                </c:ext>
              </c:extLst>
            </c:dLbl>
            <c:dLbl>
              <c:idx val="16"/>
              <c:layout>
                <c:manualLayout>
                  <c:x val="0"/>
                  <c:y val="-8.512364618928966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86-4F5E-928F-3F65F6ED3E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EXW-v2'!$E$79:$E$98</c:f>
              <c:numCache>
                <c:formatCode>[Color10]\▲_(* #,##0.0,,,_);_(* \(#,##0.0,,,\);;_(@_)</c:formatCode>
                <c:ptCount val="20"/>
                <c:pt idx="1">
                  <c:v>3284574516.2329826</c:v>
                </c:pt>
                <c:pt idx="2">
                  <c:v>0</c:v>
                </c:pt>
                <c:pt idx="3">
                  <c:v>0</c:v>
                </c:pt>
                <c:pt idx="4">
                  <c:v>1008437133.2067766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277006607.16130841</c:v>
                </c:pt>
                <c:pt idx="12">
                  <c:v>20385490.041654736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1001590132.144989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86-4F5E-928F-3F65F6ED3E18}"/>
            </c:ext>
          </c:extLst>
        </c:ser>
        <c:ser>
          <c:idx val="3"/>
          <c:order val="3"/>
          <c:tx>
            <c:strRef>
              <c:f>'BĐ-LG EXW-v2'!$F$78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1430203800533764E-3"/>
                  <c:y val="7.864585699389467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86-4F5E-928F-3F65F6ED3E18}"/>
                </c:ext>
              </c:extLst>
            </c:dLbl>
            <c:dLbl>
              <c:idx val="3"/>
              <c:layout>
                <c:manualLayout>
                  <c:x val="2.0982642812013291E-17"/>
                  <c:y val="-0.1774682909297419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86-4F5E-928F-3F65F6ED3E18}"/>
                </c:ext>
              </c:extLst>
            </c:dLbl>
            <c:dLbl>
              <c:idx val="4"/>
              <c:layout>
                <c:manualLayout>
                  <c:x val="0"/>
                  <c:y val="3.155292414648248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F86-4F5E-928F-3F65F6ED3E18}"/>
                </c:ext>
              </c:extLst>
            </c:dLbl>
            <c:dLbl>
              <c:idx val="5"/>
              <c:layout>
                <c:manualLayout>
                  <c:x val="-3.4290611401601289E-3"/>
                  <c:y val="5.76237119786058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86-4F5E-928F-3F65F6ED3E18}"/>
                </c:ext>
              </c:extLst>
            </c:dLbl>
            <c:dLbl>
              <c:idx val="9"/>
              <c:layout>
                <c:manualLayout>
                  <c:x val="0"/>
                  <c:y val="2.872867621038071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F86-4F5E-928F-3F65F6ED3E18}"/>
                </c:ext>
              </c:extLst>
            </c:dLbl>
            <c:dLbl>
              <c:idx val="15"/>
              <c:layout>
                <c:manualLayout>
                  <c:x val="-1.1445210111978314E-3"/>
                  <c:y val="-9.611920324813365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F86-4F5E-928F-3F65F6ED3E18}"/>
                </c:ext>
              </c:extLst>
            </c:dLbl>
            <c:dLbl>
              <c:idx val="17"/>
              <c:layout>
                <c:manualLayout>
                  <c:x val="-1.6786114249610633E-16"/>
                  <c:y val="7.55942247469779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F86-4F5E-928F-3F65F6ED3E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EXW-v2'!$F$79:$F$98</c:f>
              <c:numCache>
                <c:formatCode>[Color3]\▼_(* #,##0.0,,,_);_(* \(#,##0.0,,,\);;_(@_)</c:formatCode>
                <c:ptCount val="20"/>
                <c:pt idx="1">
                  <c:v>0</c:v>
                </c:pt>
                <c:pt idx="2">
                  <c:v>731772876.79232025</c:v>
                </c:pt>
                <c:pt idx="3">
                  <c:v>4101529259.104847</c:v>
                </c:pt>
                <c:pt idx="4">
                  <c:v>0</c:v>
                </c:pt>
                <c:pt idx="5">
                  <c:v>1519316430.5062304</c:v>
                </c:pt>
                <c:pt idx="6">
                  <c:v>1500107294.4715612</c:v>
                </c:pt>
                <c:pt idx="7">
                  <c:v>0</c:v>
                </c:pt>
                <c:pt idx="8">
                  <c:v>0</c:v>
                </c:pt>
                <c:pt idx="9">
                  <c:v>3229503959.8822827</c:v>
                </c:pt>
                <c:pt idx="10">
                  <c:v>70409730.614653349</c:v>
                </c:pt>
                <c:pt idx="11">
                  <c:v>0</c:v>
                </c:pt>
                <c:pt idx="12">
                  <c:v>0</c:v>
                </c:pt>
                <c:pt idx="13">
                  <c:v>194793671.69845152</c:v>
                </c:pt>
                <c:pt idx="14">
                  <c:v>2531463919.9251323</c:v>
                </c:pt>
                <c:pt idx="15">
                  <c:v>606195991.64644134</c:v>
                </c:pt>
                <c:pt idx="16">
                  <c:v>1781190228.3913143</c:v>
                </c:pt>
                <c:pt idx="17">
                  <c:v>3250431352.991188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F86-4F5E-928F-3F65F6ED3E18}"/>
            </c:ext>
          </c:extLst>
        </c:ser>
        <c:ser>
          <c:idx val="4"/>
          <c:order val="4"/>
          <c:tx>
            <c:strRef>
              <c:f>'BĐ-LG EXW-v2'!$G$78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1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13-4F48-87E6-253471798F57}"/>
              </c:ext>
            </c:extLst>
          </c:dPt>
          <c:dLbls>
            <c:dLbl>
              <c:idx val="19"/>
              <c:layout>
                <c:manualLayout>
                  <c:x val="-2.2890420223958307E-3"/>
                  <c:y val="-0.11563056621322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accent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13-4F48-87E6-253471798F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EXW-v2'!$G$79:$G$98</c:f>
              <c:numCache>
                <c:formatCode>_(* #,##0,,,_);_(* \(#,##0,,,\);;_(@_)</c:formatCode>
                <c:ptCount val="20"/>
                <c:pt idx="19" formatCode="_(* #,##0.0,,,_);_(* \(#,##0.0,,,\);;_(@_)">
                  <c:v>7461082664.0000076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F86-4F5E-928F-3F65F6ED3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02094719"/>
        <c:axId val="702093759"/>
      </c:barChart>
      <c:catAx>
        <c:axId val="70209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2093759"/>
        <c:crosses val="autoZero"/>
        <c:auto val="1"/>
        <c:lblAlgn val="ctr"/>
        <c:lblOffset val="100"/>
        <c:noMultiLvlLbl val="0"/>
      </c:catAx>
      <c:valAx>
        <c:axId val="702093759"/>
        <c:scaling>
          <c:orientation val="minMax"/>
        </c:scaling>
        <c:delete val="0"/>
        <c:axPos val="l"/>
        <c:numFmt formatCode="_(* #,##0.0,,,_);_(* \(#,##0.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209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4488730576202072"/>
          <c:w val="1"/>
          <c:h val="0.72288622618944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'BĐ-LG EXW-v2'!$C$132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9144452674859317E-3"/>
                  <c:y val="-0.373636584529978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78-43E6-B5EC-5C52D76608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'BĐ-LG EXW-v2'!$B$133:$B$139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'BĐ-LG EXW-v2'!$C$133:$C$139</c:f>
              <c:numCache>
                <c:formatCode>_(* #,##0,,,_);_(* \(#,##0,,,\);;_(@_)</c:formatCode>
                <c:ptCount val="7"/>
                <c:pt idx="0" formatCode="_(* #,##0.0,,,_);_(* \(#,##0.0,,,\);;_(@_)">
                  <c:v>21385803501.236717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8-43E6-B5EC-5C52D766083B}"/>
            </c:ext>
          </c:extLst>
        </c:ser>
        <c:ser>
          <c:idx val="1"/>
          <c:order val="1"/>
          <c:tx>
            <c:strRef>
              <c:f>'BĐ-LG EXW-v2'!$D$132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'BĐ-LG EXW-v2'!$B$133:$B$139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'BĐ-LG EXW-v2'!$D$133:$D$139</c:f>
              <c:numCache>
                <c:formatCode>_(* #,##0,,,_);_(* \(#,##0,,,\);;_(@_)</c:formatCode>
                <c:ptCount val="7"/>
                <c:pt idx="1">
                  <c:v>21385803501.236717</c:v>
                </c:pt>
                <c:pt idx="2">
                  <c:v>20908065128.300999</c:v>
                </c:pt>
                <c:pt idx="3">
                  <c:v>11491114113.237522</c:v>
                </c:pt>
                <c:pt idx="4">
                  <c:v>9709923884.8462086</c:v>
                </c:pt>
                <c:pt idx="5">
                  <c:v>7461082664.0000095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78-43E6-B5EC-5C52D766083B}"/>
            </c:ext>
          </c:extLst>
        </c:ser>
        <c:ser>
          <c:idx val="2"/>
          <c:order val="2"/>
          <c:tx>
            <c:strRef>
              <c:f>'BĐ-LG EXW-v2'!$E$132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6.2654562559890292E-4"/>
                  <c:y val="-9.3742159445903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78-43E6-B5EC-5C52D76608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00B05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'BĐ-LG EXW-v2'!$B$133:$B$139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'BĐ-LG EXW-v2'!$E$133:$E$139</c:f>
              <c:numCache>
                <c:formatCode>[Color10]\▲_(* #,##0.0,,,_);_(* \(#,##0.0,,,\);;_(@_)</c:formatCode>
                <c:ptCount val="7"/>
                <c:pt idx="1">
                  <c:v>4027808247.1266541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78-43E6-B5EC-5C52D766083B}"/>
            </c:ext>
          </c:extLst>
        </c:ser>
        <c:ser>
          <c:idx val="3"/>
          <c:order val="3"/>
          <c:tx>
            <c:strRef>
              <c:f>'BĐ-LG EXW-v2'!$F$132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6096381952400026E-3"/>
                  <c:y val="0.1238291825682435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78-43E6-B5EC-5C52D766083B}"/>
                </c:ext>
              </c:extLst>
            </c:dLbl>
            <c:dLbl>
              <c:idx val="2"/>
              <c:layout>
                <c:manualLayout>
                  <c:x val="-1.3048190976199894E-3"/>
                  <c:y val="9.894601791375309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E78-43E6-B5EC-5C52D766083B}"/>
                </c:ext>
              </c:extLst>
            </c:dLbl>
            <c:dLbl>
              <c:idx val="3"/>
              <c:layout>
                <c:manualLayout>
                  <c:x val="-2.6096381952399788E-3"/>
                  <c:y val="0.2766840102055770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E78-43E6-B5EC-5C52D766083B}"/>
                </c:ext>
              </c:extLst>
            </c:dLbl>
            <c:dLbl>
              <c:idx val="5"/>
              <c:layout>
                <c:manualLayout>
                  <c:x val="-1.304819097620085E-3"/>
                  <c:y val="0.1054286333799846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E78-43E6-B5EC-5C52D76608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C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'BĐ-LG EXW-v2'!$B$133:$B$139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'BĐ-LG EXW-v2'!$F$133:$F$139</c:f>
              <c:numCache>
                <c:formatCode>[Color3]\▼_(* #,##0.0,,,_);_(* \(#,##0.0,,,\);;_(@_)</c:formatCode>
                <c:ptCount val="7"/>
                <c:pt idx="1">
                  <c:v>0</c:v>
                </c:pt>
                <c:pt idx="2">
                  <c:v>4505546620.0623741</c:v>
                </c:pt>
                <c:pt idx="3">
                  <c:v>9416951015.0634766</c:v>
                </c:pt>
                <c:pt idx="4">
                  <c:v>1781190228.3913143</c:v>
                </c:pt>
                <c:pt idx="5">
                  <c:v>2248841220.846199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78-43E6-B5EC-5C52D766083B}"/>
            </c:ext>
          </c:extLst>
        </c:ser>
        <c:ser>
          <c:idx val="4"/>
          <c:order val="4"/>
          <c:tx>
            <c:strRef>
              <c:f>'BĐ-LG EXW-v2'!$G$132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E78-43E6-B5EC-5C52D766083B}"/>
              </c:ext>
            </c:extLst>
          </c:dPt>
          <c:dLbls>
            <c:dLbl>
              <c:idx val="6"/>
              <c:layout>
                <c:manualLayout>
                  <c:x val="-1.2985518562851556E-3"/>
                  <c:y val="-0.18130968715638249"/>
                </c:manualLayout>
              </c:layout>
              <c:tx>
                <c:rich>
                  <a:bodyPr/>
                  <a:lstStyle/>
                  <a:p>
                    <a:fld id="{A18D93A5-2DF4-4CF0-83C7-E7C789FFF98A}" type="VALUE">
                      <a:rPr lang="en-US" sz="250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6E78-43E6-B5EC-5C52D76608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accent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'BĐ-LG EXW-v2'!$B$133:$B$139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'BĐ-LG EXW-v2'!$G$133:$G$139</c:f>
              <c:numCache>
                <c:formatCode>_(* #,##0,,,_);_(* \(#,##0,,,\);;_(@_)</c:formatCode>
                <c:ptCount val="7"/>
                <c:pt idx="6" formatCode="_(* #,##0.0,,,_);_(* \(#,##0.0,,,\);;_(@_)">
                  <c:v>7461082664.0000095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78-43E6-B5EC-5C52D7660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10667535"/>
        <c:axId val="710674255"/>
      </c:barChart>
      <c:catAx>
        <c:axId val="71066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0674255"/>
        <c:crosses val="autoZero"/>
        <c:auto val="1"/>
        <c:lblAlgn val="ctr"/>
        <c:lblOffset val="100"/>
        <c:noMultiLvlLbl val="0"/>
      </c:catAx>
      <c:valAx>
        <c:axId val="710674255"/>
        <c:scaling>
          <c:orientation val="minMax"/>
        </c:scaling>
        <c:delete val="0"/>
        <c:axPos val="l"/>
        <c:numFmt formatCode="_(* #,##0.0,,,_);_(* \(#,##0.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066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038128169987345E-5"/>
          <c:y val="0.13888180475416281"/>
          <c:w val="0.99413175910555107"/>
          <c:h val="0.778050959723152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'BĐ-PL'!$B$14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1163578768020565E-3"/>
                  <c:y val="-0.151234764682754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75-4D1A-809A-6073F450F0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'BĐ-PL'!$A$15:$A$24</c:f>
              <c:strCache>
                <c:ptCount val="10"/>
                <c:pt idx="0">
                  <c:v>KH T03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T03</c:v>
                </c:pt>
              </c:strCache>
            </c:strRef>
          </c:cat>
          <c:val>
            <c:numRef>
              <c:f>'BĐ-PL'!$B$15:$B$24</c:f>
              <c:numCache>
                <c:formatCode>_(* #,##0,,,_);_(* \(#,##0,,,\);_(* "-"??_);_(@_)</c:formatCode>
                <c:ptCount val="10"/>
                <c:pt idx="0" formatCode="_(* #,##0.00,,,_);_(* \(#,##0.00,,,\);_(* &quot;-&quot;??_);_(@_)">
                  <c:v>5063579812.1636572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75-4D1A-809A-6073F450F095}"/>
            </c:ext>
          </c:extLst>
        </c:ser>
        <c:ser>
          <c:idx val="1"/>
          <c:order val="1"/>
          <c:tx>
            <c:strRef>
              <c:f>'BĐ-PL'!$C$14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'BĐ-PL'!$A$15:$A$24</c:f>
              <c:strCache>
                <c:ptCount val="10"/>
                <c:pt idx="0">
                  <c:v>KH T03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T03</c:v>
                </c:pt>
              </c:strCache>
            </c:strRef>
          </c:cat>
          <c:val>
            <c:numRef>
              <c:f>'BĐ-PL'!$C$15:$C$24</c:f>
              <c:numCache>
                <c:formatCode>_(* #,##0.0,,,_);_(* \(#,##0.0,,,\);_(* "-"??_);_(@_)</c:formatCode>
                <c:ptCount val="10"/>
                <c:pt idx="2">
                  <c:v>-9786743059.4063606</c:v>
                </c:pt>
                <c:pt idx="3">
                  <c:v>-10237512864.199982</c:v>
                </c:pt>
                <c:pt idx="4">
                  <c:v>-8442386319.3468361</c:v>
                </c:pt>
                <c:pt idx="5">
                  <c:v>-8442386319.3468361</c:v>
                </c:pt>
                <c:pt idx="6">
                  <c:v>-8153856232.3468361</c:v>
                </c:pt>
                <c:pt idx="7">
                  <c:v>-7753086533.3468361</c:v>
                </c:pt>
                <c:pt idx="8">
                  <c:v>-6665406623.9999723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75-4D1A-809A-6073F450F095}"/>
            </c:ext>
          </c:extLst>
        </c:ser>
        <c:ser>
          <c:idx val="2"/>
          <c:order val="2"/>
          <c:tx>
            <c:strRef>
              <c:f>'BĐ-PL'!$D$14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E75-4D1A-809A-6073F450F09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E75-4D1A-809A-6073F450F09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CF7707B-FFDF-4805-B47B-6E09294D96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E75-4D1A-809A-6073F450F09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E75-4D1A-809A-6073F450F095}"/>
                </c:ext>
              </c:extLst>
            </c:dLbl>
            <c:dLbl>
              <c:idx val="3"/>
              <c:layout>
                <c:manualLayout>
                  <c:x val="0"/>
                  <c:y val="5.2516904516490201E-2"/>
                </c:manualLayout>
              </c:layout>
              <c:tx>
                <c:rich>
                  <a:bodyPr/>
                  <a:lstStyle/>
                  <a:p>
                    <a:fld id="{16C9F300-A40B-487C-BB4C-613B18F65D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E75-4D1A-809A-6073F450F095}"/>
                </c:ext>
              </c:extLst>
            </c:dLbl>
            <c:dLbl>
              <c:idx val="4"/>
              <c:layout>
                <c:manualLayout>
                  <c:x val="1.3721192922673516E-3"/>
                  <c:y val="8.0943987517754612E-2"/>
                </c:manualLayout>
              </c:layout>
              <c:tx>
                <c:rich>
                  <a:bodyPr/>
                  <a:lstStyle/>
                  <a:p>
                    <a:fld id="{C1EBFDC9-06FD-47F1-8D91-55919CE994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E75-4D1A-809A-6073F450F095}"/>
                </c:ext>
              </c:extLst>
            </c:dLbl>
            <c:dLbl>
              <c:idx val="5"/>
              <c:layout>
                <c:manualLayout>
                  <c:x val="0"/>
                  <c:y val="3.8232763575749736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9-AE75-4D1A-809A-6073F450F09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C8488E3-C485-4F1C-8640-58A98681BE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E75-4D1A-809A-6073F450F09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044B87E-BD84-44FB-B32F-08D73F0673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E75-4D1A-809A-6073F450F095}"/>
                </c:ext>
              </c:extLst>
            </c:dLbl>
            <c:dLbl>
              <c:idx val="8"/>
              <c:layout>
                <c:manualLayout>
                  <c:x val="1.3721192922674522E-3"/>
                  <c:y val="5.7521402942041153E-2"/>
                </c:manualLayout>
              </c:layout>
              <c:tx>
                <c:rich>
                  <a:bodyPr/>
                  <a:lstStyle/>
                  <a:p>
                    <a:fld id="{3C9B5B01-A5E5-4A13-8AC2-579BDB697D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E75-4D1A-809A-6073F450F09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E75-4D1A-809A-6073F450F0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'BĐ-PL'!$A$15:$A$24</c:f>
              <c:strCache>
                <c:ptCount val="10"/>
                <c:pt idx="0">
                  <c:v>KH T03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T03</c:v>
                </c:pt>
              </c:strCache>
            </c:strRef>
          </c:cat>
          <c:val>
            <c:numRef>
              <c:f>'BĐ-PL'!$D$15:$D$24</c:f>
              <c:numCache>
                <c:formatCode>_(* #,##0.0,,,_);_(* \(#,##0.0,,,\);_(* "-"??_);_(@_)</c:formatCode>
                <c:ptCount val="10"/>
                <c:pt idx="1">
                  <c:v>5063579812.1636572</c:v>
                </c:pt>
                <c:pt idx="3">
                  <c:v>-268459083.20637989</c:v>
                </c:pt>
                <c:pt idx="4">
                  <c:v>-1795126544.8531456</c:v>
                </c:pt>
                <c:pt idx="6">
                  <c:v>-347548135</c:v>
                </c:pt>
                <c:pt idx="7">
                  <c:v>-400769698.99999994</c:v>
                </c:pt>
                <c:pt idx="8">
                  <c:v>-1087679909.3468637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'BĐ-PL'!$I$15:$I$24</c15:f>
                <c15:dlblRangeCache>
                  <c:ptCount val="10"/>
                  <c:pt idx="3">
                    <c:v>▲ 0.3 </c:v>
                  </c:pt>
                  <c:pt idx="4">
                    <c:v>▲ 1.8 </c:v>
                  </c:pt>
                  <c:pt idx="6">
                    <c:v>▲ 0.3 </c:v>
                  </c:pt>
                  <c:pt idx="7">
                    <c:v>▲ 0.4 </c:v>
                  </c:pt>
                  <c:pt idx="8">
                    <c:v>▲ 1.1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AE75-4D1A-809A-6073F450F095}"/>
            </c:ext>
          </c:extLst>
        </c:ser>
        <c:ser>
          <c:idx val="3"/>
          <c:order val="3"/>
          <c:tx>
            <c:strRef>
              <c:f>'BĐ-PL'!$E$14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E75-4D1A-809A-6073F450F09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E75-4D1A-809A-6073F450F095}"/>
                </c:ext>
              </c:extLst>
            </c:dLbl>
            <c:dLbl>
              <c:idx val="1"/>
              <c:layout>
                <c:manualLayout>
                  <c:x val="1.2413898163899108E-3"/>
                  <c:y val="0.46078068050198179"/>
                </c:manualLayout>
              </c:layout>
              <c:tx>
                <c:rich>
                  <a:bodyPr/>
                  <a:lstStyle/>
                  <a:p>
                    <a:fld id="{220F7F06-F9CE-4CB8-8BF1-26282F6CC7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AE75-4D1A-809A-6073F450F095}"/>
                </c:ext>
              </c:extLst>
            </c:dLbl>
            <c:dLbl>
              <c:idx val="2"/>
              <c:layout>
                <c:manualLayout>
                  <c:x val="-1.3721192922673516E-3"/>
                  <c:y val="-6.5104305028673037E-2"/>
                </c:manualLayout>
              </c:layout>
              <c:tx>
                <c:rich>
                  <a:bodyPr/>
                  <a:lstStyle/>
                  <a:p>
                    <a:fld id="{A9E5C1F4-815B-4B40-B64E-85A2B21AEA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AE75-4D1A-809A-6073F450F095}"/>
                </c:ext>
              </c:extLst>
            </c:dLbl>
            <c:dLbl>
              <c:idx val="3"/>
              <c:layout>
                <c:manualLayout>
                  <c:x val="-2.7442385845347032E-3"/>
                  <c:y val="-4.8275057470042966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4-AE75-4D1A-809A-6073F450F09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E75-4D1A-809A-6073F450F095}"/>
                </c:ext>
              </c:extLst>
            </c:dLbl>
            <c:dLbl>
              <c:idx val="5"/>
              <c:layout>
                <c:manualLayout>
                  <c:x val="-1.3721192922673516E-3"/>
                  <c:y val="-4.7795771479982006E-2"/>
                </c:manualLayout>
              </c:layout>
              <c:tx>
                <c:rich>
                  <a:bodyPr/>
                  <a:lstStyle/>
                  <a:p>
                    <a:fld id="{AE4F6D4A-07EE-4180-8954-7296E1476F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AE75-4D1A-809A-6073F450F095}"/>
                </c:ext>
              </c:extLst>
            </c:dLbl>
            <c:dLbl>
              <c:idx val="6"/>
              <c:layout>
                <c:manualLayout>
                  <c:x val="-6.8605964613367579E-3"/>
                  <c:y val="-3.6549707602339207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7-AE75-4D1A-809A-6073F450F095}"/>
                </c:ext>
              </c:extLst>
            </c:dLbl>
            <c:dLbl>
              <c:idx val="7"/>
              <c:layout>
                <c:manualLayout>
                  <c:x val="1.372119292267251E-3"/>
                  <c:y val="-5.9612772340704376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8-AE75-4D1A-809A-6073F450F09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E75-4D1A-809A-6073F450F09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E75-4D1A-809A-6073F450F0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'BĐ-PL'!$A$15:$A$24</c:f>
              <c:strCache>
                <c:ptCount val="10"/>
                <c:pt idx="0">
                  <c:v>KH T03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T03</c:v>
                </c:pt>
              </c:strCache>
            </c:strRef>
          </c:cat>
          <c:val>
            <c:numRef>
              <c:f>'BĐ-PL'!$E$15:$E$24</c:f>
              <c:numCache>
                <c:formatCode>_(* #,##0.0,,,_);_(* \(#,##0.0,,,\);_(* "-"??_);_(@_)</c:formatCode>
                <c:ptCount val="10"/>
                <c:pt idx="1">
                  <c:v>-9786743059.4063606</c:v>
                </c:pt>
                <c:pt idx="2">
                  <c:v>-719228888</c:v>
                </c:pt>
                <c:pt idx="5">
                  <c:v>-59018048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'BĐ-PL'!$J$15:$J$24</c15:f>
                <c15:dlblRangeCache>
                  <c:ptCount val="10"/>
                  <c:pt idx="1">
                    <c:v>▼ 14.9 </c:v>
                  </c:pt>
                  <c:pt idx="2">
                    <c:v>▼ 0.7 </c:v>
                  </c:pt>
                  <c:pt idx="5">
                    <c:v>▼ 0.1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A-AE75-4D1A-809A-6073F450F095}"/>
            </c:ext>
          </c:extLst>
        </c:ser>
        <c:ser>
          <c:idx val="4"/>
          <c:order val="4"/>
          <c:tx>
            <c:strRef>
              <c:f>'BĐ-PL'!$F$14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E75-4D1A-809A-6073F450F095}"/>
              </c:ext>
            </c:extLst>
          </c:dPt>
          <c:dLbls>
            <c:dLbl>
              <c:idx val="9"/>
              <c:layout>
                <c:manualLayout>
                  <c:x val="-1.0062091905149591E-16"/>
                  <c:y val="-0.1875283365389041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E75-4D1A-809A-6073F450F0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'BĐ-PL'!$A$15:$A$24</c:f>
              <c:strCache>
                <c:ptCount val="10"/>
                <c:pt idx="0">
                  <c:v>KH T03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T03</c:v>
                </c:pt>
              </c:strCache>
            </c:strRef>
          </c:cat>
          <c:val>
            <c:numRef>
              <c:f>'BĐ-PL'!$F$15:$F$24</c:f>
              <c:numCache>
                <c:formatCode>_(* #,##0,,,_);_(* \(#,##0,,,\);_(* "-"??_);_(@_)</c:formatCode>
                <c:ptCount val="10"/>
                <c:pt idx="9" formatCode="_(* #,##0.00,,,_);_(* \(#,##0.00,,,\);_(* &quot;-&quot;??_);_(@_)">
                  <c:v>-6665406623.9999723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E75-4D1A-809A-6073F450F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09665871"/>
        <c:axId val="1609655791"/>
      </c:barChart>
      <c:catAx>
        <c:axId val="160966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655791"/>
        <c:crosses val="autoZero"/>
        <c:auto val="1"/>
        <c:lblAlgn val="ctr"/>
        <c:lblOffset val="100"/>
        <c:noMultiLvlLbl val="0"/>
      </c:catAx>
      <c:valAx>
        <c:axId val="1609655791"/>
        <c:scaling>
          <c:orientation val="minMax"/>
        </c:scaling>
        <c:delete val="1"/>
        <c:axPos val="l"/>
        <c:numFmt formatCode="_(* #,##0.00,,,_);_(* \(#,##0.00,,,\);_(* &quot;-&quot;??_);_(@_)" sourceLinked="1"/>
        <c:majorTickMark val="none"/>
        <c:minorTickMark val="none"/>
        <c:tickLblPos val="nextTo"/>
        <c:crossAx val="160966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image" Target="../media/image1.png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</xdr:colOff>
      <xdr:row>43</xdr:row>
      <xdr:rowOff>163830</xdr:rowOff>
    </xdr:from>
    <xdr:ext cx="1207770" cy="120777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51E8C3-50B0-4D18-B8B3-385DC6872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1264920</xdr:colOff>
      <xdr:row>43</xdr:row>
      <xdr:rowOff>167640</xdr:rowOff>
    </xdr:from>
    <xdr:ext cx="1211580" cy="122301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45F001-79EB-440C-B88C-FB27803D1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43</xdr:row>
      <xdr:rowOff>137160</xdr:rowOff>
    </xdr:from>
    <xdr:ext cx="1211580" cy="121539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E13835-5E24-4175-BC0F-6EC0D8321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548640</xdr:colOff>
      <xdr:row>43</xdr:row>
      <xdr:rowOff>121920</xdr:rowOff>
    </xdr:from>
    <xdr:ext cx="1184910" cy="1194435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23F0AA-D6E7-432D-99FD-AC0AE4D50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76200</xdr:colOff>
      <xdr:row>43</xdr:row>
      <xdr:rowOff>129540</xdr:rowOff>
    </xdr:from>
    <xdr:ext cx="1234440" cy="122301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A455D0-C6B9-460E-9D51-32E5AF3B2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609600</xdr:colOff>
      <xdr:row>50</xdr:row>
      <xdr:rowOff>0</xdr:rowOff>
    </xdr:from>
    <xdr:ext cx="1457325" cy="120015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A756D3-C656-45B1-BC6A-D4AF0DA02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2</xdr:col>
      <xdr:colOff>137160</xdr:colOff>
      <xdr:row>49</xdr:row>
      <xdr:rowOff>175260</xdr:rowOff>
    </xdr:from>
    <xdr:ext cx="1282065" cy="121539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33CE97B-EEEC-4DAF-A1B2-F8C61FDE4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3</xdr:col>
      <xdr:colOff>213360</xdr:colOff>
      <xdr:row>49</xdr:row>
      <xdr:rowOff>175260</xdr:rowOff>
    </xdr:from>
    <xdr:ext cx="1221105" cy="121539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74ED05-8D39-4CEE-A568-E83DDB049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815340</xdr:colOff>
      <xdr:row>50</xdr:row>
      <xdr:rowOff>30480</xdr:rowOff>
    </xdr:from>
    <xdr:ext cx="1184910" cy="120777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C1E34E8-DE4A-4882-94CA-AB86A8913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6</xdr:col>
      <xdr:colOff>403860</xdr:colOff>
      <xdr:row>50</xdr:row>
      <xdr:rowOff>38100</xdr:rowOff>
    </xdr:from>
    <xdr:ext cx="1253490" cy="120015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58D0145-A27D-4BDE-BDCD-532A47259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12</xdr:col>
      <xdr:colOff>1460542</xdr:colOff>
      <xdr:row>48</xdr:row>
      <xdr:rowOff>138916</xdr:rowOff>
    </xdr:from>
    <xdr:ext cx="10239376" cy="50521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4F5D91-2252-4A2C-B802-F69BB4FE4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0.90047</cdr:x>
      <cdr:y>0.07038</cdr:y>
    </cdr:from>
    <cdr:to>
      <cdr:x>1</cdr:x>
      <cdr:y>0.27566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03E03F-E9E1-CD16-E4DF-19E4B636AB28}"/>
            </a:ext>
          </a:extLst>
        </cdr:cNvPr>
        <cdr:cNvSpPr txBox="1"/>
      </cdr:nvSpPr>
      <cdr:spPr>
        <a:xfrm xmlns:a="http://schemas.openxmlformats.org/drawingml/2006/main">
          <a:off x="8399417" y="31350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0.90454</cdr:x>
      <cdr:y>0</cdr:y>
    </cdr:from>
    <cdr:to>
      <cdr:x>0.99127</cdr:x>
      <cdr:y>0.12403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54933BE-626A-F767-957B-65BF4B4A0764}"/>
            </a:ext>
          </a:extLst>
        </cdr:cNvPr>
        <cdr:cNvSpPr txBox="1"/>
      </cdr:nvSpPr>
      <cdr:spPr>
        <a:xfrm xmlns:a="http://schemas.openxmlformats.org/drawingml/2006/main">
          <a:off x="9261926" y="0"/>
          <a:ext cx="888061" cy="626621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300" b="1" kern="1200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+31.7 Tỷ</a:t>
          </a:r>
        </a:p>
        <a:p xmlns:a="http://schemas.openxmlformats.org/drawingml/2006/main">
          <a:pPr algn="ctr"/>
          <a:r>
            <a:rPr lang="en-US" sz="1000" b="0" i="1" kern="1200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000" b="0" i="1" kern="1200" baseline="0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 +22.4%)</a:t>
          </a:r>
          <a:endParaRPr lang="en-US" sz="1000" b="0" i="1" kern="1200">
            <a:solidFill>
              <a:srgbClr val="00B05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0.70968</cdr:x>
      <cdr:y>0.41351</cdr:y>
    </cdr:from>
    <cdr:to>
      <cdr:x>0.77361</cdr:x>
      <cdr:y>0.66749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9E6D3E60-96E5-BD89-B042-3769C3CBD854}"/>
            </a:ext>
          </a:extLst>
        </cdr:cNvPr>
        <cdr:cNvSpPr/>
      </cdr:nvSpPr>
      <cdr:spPr>
        <a:xfrm xmlns:a="http://schemas.openxmlformats.org/drawingml/2006/main">
          <a:off x="7266730" y="2089117"/>
          <a:ext cx="654603" cy="128315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ptos Narrow (Body)"/>
            </a:rPr>
            <a:t>Giảm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từ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26,500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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26,209</a:t>
          </a:r>
        </a:p>
        <a:p xmlns:a="http://schemas.openxmlformats.org/drawingml/2006/main">
          <a:pPr algn="ctr"/>
          <a:endParaRPr lang="en-US" sz="1000" b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800" i="1" baseline="0">
              <a:solidFill>
                <a:sysClr val="windowText" lastClr="000000"/>
              </a:solidFill>
              <a:latin typeface="Aptos Narrow (Body)"/>
            </a:rPr>
            <a:t>(-291 ~ -1.1%)</a:t>
          </a:r>
        </a:p>
      </cdr:txBody>
    </cdr:sp>
  </cdr:relSizeAnchor>
  <cdr:relSizeAnchor xmlns:cdr="http://schemas.openxmlformats.org/drawingml/2006/chartDrawing">
    <cdr:from>
      <cdr:x>0.75967</cdr:x>
      <cdr:y>0.21707</cdr:y>
    </cdr:from>
    <cdr:to>
      <cdr:x>0.91812</cdr:x>
      <cdr:y>0.38627</cdr:y>
    </cdr:to>
    <cdr:sp macro="" textlink="">
      <cdr:nvSpPr>
        <cdr:cNvPr id="5" name="Speech Bubble: Rectangle with Corners Rounded 4">
          <a:extLst xmlns:a="http://schemas.openxmlformats.org/drawingml/2006/main">
            <a:ext uri="{FF2B5EF4-FFF2-40B4-BE49-F238E27FC236}">
              <a16:creationId xmlns:a16="http://schemas.microsoft.com/office/drawing/2014/main" id="{3CC39BE1-D29F-D86B-90B1-8F07DE64FA39}"/>
            </a:ext>
          </a:extLst>
        </cdr:cNvPr>
        <cdr:cNvSpPr/>
      </cdr:nvSpPr>
      <cdr:spPr>
        <a:xfrm xmlns:a="http://schemas.openxmlformats.org/drawingml/2006/main">
          <a:off x="7778590" y="1096697"/>
          <a:ext cx="1622429" cy="854787"/>
        </a:xfrm>
        <a:prstGeom xmlns:a="http://schemas.openxmlformats.org/drawingml/2006/main" prst="wedgeRoundRectCallout">
          <a:avLst>
            <a:gd name="adj1" fmla="val -18403"/>
            <a:gd name="adj2" fmla="val -72199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</a:rPr>
            <a:t>- Dây đai, phó sản đạt </a:t>
          </a:r>
          <a:r>
            <a:rPr lang="en-US" sz="1300" b="1" baseline="0">
              <a:solidFill>
                <a:sysClr val="windowText" lastClr="000000"/>
              </a:solidFill>
            </a:rPr>
            <a:t>7.7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="0" baseline="0">
              <a:solidFill>
                <a:sysClr val="windowText" lastClr="000000"/>
              </a:solidFill>
            </a:rPr>
            <a:t>/ 0.15 tỷ</a:t>
          </a:r>
        </a:p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</a:rPr>
            <a:t>Tài trợ </a:t>
          </a:r>
          <a:r>
            <a:rPr lang="en-US" sz="1100" baseline="0">
              <a:solidFill>
                <a:sysClr val="windowText" lastClr="000000"/>
              </a:solidFill>
            </a:rPr>
            <a:t>đạt </a:t>
          </a:r>
          <a:r>
            <a:rPr lang="en-US" sz="1300" b="1" baseline="0">
              <a:solidFill>
                <a:sysClr val="windowText" lastClr="000000"/>
              </a:solidFill>
            </a:rPr>
            <a:t>0.2</a:t>
          </a:r>
          <a:r>
            <a:rPr lang="en-US" sz="1100" baseline="0">
              <a:solidFill>
                <a:sysClr val="windowText" lastClr="000000"/>
              </a:solidFill>
            </a:rPr>
            <a:t>/- tỷ (*)</a:t>
          </a:r>
        </a:p>
      </cdr:txBody>
    </cdr:sp>
  </cdr:relSizeAnchor>
  <cdr:relSizeAnchor xmlns:cdr="http://schemas.openxmlformats.org/drawingml/2006/chartDrawing">
    <cdr:from>
      <cdr:x>0.08908</cdr:x>
      <cdr:y>0.70283</cdr:y>
    </cdr:from>
    <cdr:to>
      <cdr:x>0.21531</cdr:x>
      <cdr:y>0.84359</cdr:y>
    </cdr:to>
    <cdr:sp macro="" textlink="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E3532E6D-2F4C-0984-2AF0-7C9E7C9DB10C}"/>
            </a:ext>
          </a:extLst>
        </cdr:cNvPr>
        <cdr:cNvSpPr/>
      </cdr:nvSpPr>
      <cdr:spPr>
        <a:xfrm xmlns:a="http://schemas.openxmlformats.org/drawingml/2006/main">
          <a:off x="912149" y="3550821"/>
          <a:ext cx="1292517" cy="71114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00B050"/>
              </a:solidFill>
              <a:latin typeface="Aptos Narrow (Body)"/>
            </a:rPr>
            <a:t>Dthu EXW</a:t>
          </a:r>
          <a:r>
            <a:rPr lang="en-US" sz="1100" b="1" baseline="0">
              <a:solidFill>
                <a:srgbClr val="00B050"/>
              </a:solidFill>
              <a:latin typeface="Aptos Narrow (Body)"/>
            </a:rPr>
            <a:t> rPET </a:t>
          </a:r>
          <a:r>
            <a:rPr lang="en-US" sz="1100" baseline="0">
              <a:solidFill>
                <a:srgbClr val="00B05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00B050"/>
              </a:solidFill>
              <a:latin typeface="Aptos Narrow (Body)"/>
            </a:rPr>
            <a:t>134</a:t>
          </a:r>
          <a:r>
            <a:rPr lang="en-US" sz="1100" baseline="0">
              <a:solidFill>
                <a:srgbClr val="00B050"/>
              </a:solidFill>
              <a:latin typeface="Aptos Narrow (Body)"/>
            </a:rPr>
            <a:t>/ 115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00B050"/>
              </a:solidFill>
              <a:latin typeface="Aptos Narrow (Body)"/>
            </a:rPr>
            <a:t>(+19.5 tỷ ~ +17.0%)</a:t>
          </a:r>
          <a:endParaRPr lang="en-US" sz="900" i="1">
            <a:solidFill>
              <a:srgbClr val="00B05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0.2249</cdr:x>
      <cdr:y>0.70283</cdr:y>
    </cdr:from>
    <cdr:to>
      <cdr:x>0.35822</cdr:x>
      <cdr:y>0.84359</cdr:y>
    </cdr:to>
    <cdr:sp macro="" textlink="">
      <cdr:nvSpPr>
        <cdr:cNvPr id="8" name="Rectangle: Rounded Corners 7">
          <a:extLst xmlns:a="http://schemas.openxmlformats.org/drawingml/2006/main">
            <a:ext uri="{FF2B5EF4-FFF2-40B4-BE49-F238E27FC236}">
              <a16:creationId xmlns:a16="http://schemas.microsoft.com/office/drawing/2014/main" id="{57C60D9D-DFC3-7F89-9E19-A794255C242C}"/>
            </a:ext>
          </a:extLst>
        </cdr:cNvPr>
        <cdr:cNvSpPr/>
      </cdr:nvSpPr>
      <cdr:spPr>
        <a:xfrm xmlns:a="http://schemas.openxmlformats.org/drawingml/2006/main">
          <a:off x="2302829" y="3550821"/>
          <a:ext cx="1365114" cy="71114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 b="1">
              <a:solidFill>
                <a:srgbClr val="C00000"/>
              </a:solidFill>
            </a:rPr>
            <a:t>Dthu EXW</a:t>
          </a:r>
          <a:r>
            <a:rPr lang="en-US" sz="900" b="1" baseline="0">
              <a:solidFill>
                <a:srgbClr val="C00000"/>
              </a:solidFill>
            </a:rPr>
            <a:t> rHD thổi </a:t>
          </a:r>
        </a:p>
        <a:p xmlns:a="http://schemas.openxmlformats.org/drawingml/2006/main">
          <a:pPr algn="ctr"/>
          <a:r>
            <a:rPr lang="en-US" sz="1100" baseline="0">
              <a:solidFill>
                <a:srgbClr val="C00000"/>
              </a:solidFill>
            </a:rPr>
            <a:t>đạt </a:t>
          </a:r>
          <a:r>
            <a:rPr lang="en-US" sz="1300" b="1" baseline="0">
              <a:solidFill>
                <a:srgbClr val="C00000"/>
              </a:solidFill>
            </a:rPr>
            <a:t>17.6 </a:t>
          </a:r>
          <a:r>
            <a:rPr lang="en-US" sz="1100" baseline="0">
              <a:solidFill>
                <a:srgbClr val="C00000"/>
              </a:solidFill>
            </a:rPr>
            <a:t>/ 19.9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C00000"/>
              </a:solidFill>
            </a:rPr>
            <a:t>(-2.3  tỷ ~ -11.6%)</a:t>
          </a:r>
          <a:endParaRPr lang="en-US" sz="900" i="1">
            <a:solidFill>
              <a:srgbClr val="C00000"/>
            </a:solidFill>
          </a:endParaRPr>
        </a:p>
      </cdr:txBody>
    </cdr:sp>
  </cdr:relSizeAnchor>
  <cdr:relSizeAnchor xmlns:cdr="http://schemas.openxmlformats.org/drawingml/2006/chartDrawing">
    <cdr:from>
      <cdr:x>0.43445</cdr:x>
      <cdr:y>0.70283</cdr:y>
    </cdr:from>
    <cdr:to>
      <cdr:x>0.56311</cdr:x>
      <cdr:y>0.84359</cdr:y>
    </cdr:to>
    <cdr:sp macro="" textlink="">
      <cdr:nvSpPr>
        <cdr:cNvPr id="10" name="Rectangle: Rounded Corners 9">
          <a:extLst xmlns:a="http://schemas.openxmlformats.org/drawingml/2006/main">
            <a:ext uri="{FF2B5EF4-FFF2-40B4-BE49-F238E27FC236}">
              <a16:creationId xmlns:a16="http://schemas.microsoft.com/office/drawing/2014/main" id="{25A1D0E2-4294-2F89-3102-33F860F74B18}"/>
            </a:ext>
          </a:extLst>
        </cdr:cNvPr>
        <cdr:cNvSpPr/>
      </cdr:nvSpPr>
      <cdr:spPr>
        <a:xfrm xmlns:a="http://schemas.openxmlformats.org/drawingml/2006/main">
          <a:off x="4448452" y="3550821"/>
          <a:ext cx="1317398" cy="71114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ysClr val="windowText" lastClr="000000"/>
              </a:solidFill>
            </a:rPr>
            <a:t>Dthu EXW</a:t>
          </a:r>
          <a:r>
            <a:rPr lang="en-US" sz="1100" b="1" baseline="0">
              <a:solidFill>
                <a:sysClr val="windowText" lastClr="000000"/>
              </a:solidFill>
            </a:rPr>
            <a:t> rPP</a:t>
          </a:r>
        </a:p>
        <a:p xmlns:a="http://schemas.openxmlformats.org/drawingml/2006/main">
          <a:pPr algn="ctr"/>
          <a:r>
            <a:rPr lang="en-US" sz="1100" baseline="0">
              <a:solidFill>
                <a:sysClr val="windowText" lastClr="000000"/>
              </a:solidFill>
            </a:rPr>
            <a:t>đạt </a:t>
          </a:r>
          <a:r>
            <a:rPr lang="en-US" sz="1300" b="1" baseline="0">
              <a:solidFill>
                <a:sysClr val="windowText" lastClr="000000"/>
              </a:solidFill>
            </a:rPr>
            <a:t>0.5 </a:t>
          </a:r>
          <a:r>
            <a:rPr lang="en-US" sz="1100" baseline="0">
              <a:solidFill>
                <a:sysClr val="windowText" lastClr="000000"/>
              </a:solidFill>
            </a:rPr>
            <a:t>/ 2.0 tỷ </a:t>
          </a:r>
        </a:p>
        <a:p xmlns:a="http://schemas.openxmlformats.org/drawingml/2006/main">
          <a:pPr algn="ctr"/>
          <a:r>
            <a:rPr lang="en-US" sz="900" i="1" baseline="0">
              <a:solidFill>
                <a:sysClr val="windowText" lastClr="000000"/>
              </a:solidFill>
            </a:rPr>
            <a:t>(-1.5 tỷ ~ - 76.8%)</a:t>
          </a:r>
          <a:endParaRPr lang="en-US" sz="900" i="1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0.57334</cdr:x>
      <cdr:y>0.70283</cdr:y>
    </cdr:from>
    <cdr:to>
      <cdr:x>0.70223</cdr:x>
      <cdr:y>0.84359</cdr:y>
    </cdr:to>
    <cdr:sp macro="" textlink="">
      <cdr:nvSpPr>
        <cdr:cNvPr id="11" name="Rectangle: Rounded Corners 10">
          <a:extLst xmlns:a="http://schemas.openxmlformats.org/drawingml/2006/main">
            <a:ext uri="{FF2B5EF4-FFF2-40B4-BE49-F238E27FC236}">
              <a16:creationId xmlns:a16="http://schemas.microsoft.com/office/drawing/2014/main" id="{5C2CC392-DEEB-B763-5676-05B8A9FE9D2C}"/>
            </a:ext>
          </a:extLst>
        </cdr:cNvPr>
        <cdr:cNvSpPr/>
      </cdr:nvSpPr>
      <cdr:spPr>
        <a:xfrm xmlns:a="http://schemas.openxmlformats.org/drawingml/2006/main">
          <a:off x="5870638" y="3550821"/>
          <a:ext cx="1319753" cy="71114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b="1">
              <a:solidFill>
                <a:sysClr val="windowText" lastClr="000000"/>
              </a:solidFill>
            </a:rPr>
            <a:t>Dthu EXW</a:t>
          </a:r>
          <a:r>
            <a:rPr lang="en-US" sz="1000" b="1" baseline="0">
              <a:solidFill>
                <a:sysClr val="windowText" lastClr="000000"/>
              </a:solidFill>
            </a:rPr>
            <a:t> Xơ Sợi</a:t>
          </a:r>
        </a:p>
        <a:p xmlns:a="http://schemas.openxmlformats.org/drawingml/2006/main">
          <a:pPr algn="ctr"/>
          <a:r>
            <a:rPr lang="en-US" sz="1100" baseline="0">
              <a:solidFill>
                <a:sysClr val="windowText" lastClr="000000"/>
              </a:solidFill>
            </a:rPr>
            <a:t>đạt </a:t>
          </a:r>
          <a:r>
            <a:rPr lang="en-US" sz="1300" b="1" baseline="0">
              <a:solidFill>
                <a:sysClr val="windowText" lastClr="000000"/>
              </a:solidFill>
            </a:rPr>
            <a:t>1.9</a:t>
          </a:r>
          <a:r>
            <a:rPr lang="en-US" sz="1100" baseline="0">
              <a:solidFill>
                <a:sysClr val="windowText" lastClr="000000"/>
              </a:solidFill>
            </a:rPr>
            <a:t> / 2.8 tỷ </a:t>
          </a:r>
        </a:p>
        <a:p xmlns:a="http://schemas.openxmlformats.org/drawingml/2006/main">
          <a:pPr algn="ctr"/>
          <a:r>
            <a:rPr lang="en-US" sz="900" i="1" baseline="0">
              <a:solidFill>
                <a:sysClr val="windowText" lastClr="000000"/>
              </a:solidFill>
            </a:rPr>
            <a:t>(-0.81 tỷ ~ -29.5%)</a:t>
          </a:r>
        </a:p>
      </cdr:txBody>
    </cdr:sp>
  </cdr:relSizeAnchor>
  <cdr:relSizeAnchor xmlns:cdr="http://schemas.openxmlformats.org/drawingml/2006/chartDrawing">
    <cdr:from>
      <cdr:x>0.08701</cdr:x>
      <cdr:y>0.3441</cdr:y>
    </cdr:from>
    <cdr:to>
      <cdr:x>0.22035</cdr:x>
      <cdr:y>0.66749</cdr:y>
    </cdr:to>
    <cdr:sp macro="" textlink="">
      <cdr:nvSpPr>
        <cdr:cNvPr id="12" name="Rectangle: Rounded Corners 11">
          <a:extLst xmlns:a="http://schemas.openxmlformats.org/drawingml/2006/main">
            <a:ext uri="{FF2B5EF4-FFF2-40B4-BE49-F238E27FC236}">
              <a16:creationId xmlns:a16="http://schemas.microsoft.com/office/drawing/2014/main" id="{989622FD-2883-ED47-E68D-12B698FEEB2B}"/>
            </a:ext>
          </a:extLst>
        </cdr:cNvPr>
        <cdr:cNvSpPr/>
      </cdr:nvSpPr>
      <cdr:spPr>
        <a:xfrm xmlns:a="http://schemas.openxmlformats.org/drawingml/2006/main">
          <a:off x="890905" y="1738442"/>
          <a:ext cx="1365319" cy="1633825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+mn-lt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+mn-lt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+mn-lt"/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4.56</a:t>
          </a:r>
          <a:r>
            <a:rPr lang="en-US" sz="1100" baseline="0">
              <a:solidFill>
                <a:sysClr val="windowText" lastClr="000000"/>
              </a:solidFill>
              <a:latin typeface="+mn-lt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+mn-lt"/>
            </a:rPr>
            <a:t>/ </a:t>
          </a:r>
          <a:r>
            <a:rPr lang="en-US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3..87 ng. tấn</a:t>
          </a: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(+0.69 ~ -+17.8%)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+mn-lt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Giá bán trung bình </a:t>
          </a:r>
          <a:r>
            <a:rPr lang="en-US" sz="1000" i="0" baseline="0">
              <a:solidFill>
                <a:sysClr val="windowText" lastClr="000000"/>
              </a:solidFill>
              <a:latin typeface="Aptos Narrow (Body)"/>
            </a:rPr>
            <a:t>đạt 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$1,111/</a:t>
          </a:r>
          <a:r>
            <a:rPr lang="en-US" sz="1000" i="0" baseline="0">
              <a:solidFill>
                <a:sysClr val="windowText" lastClr="000000"/>
              </a:solidFill>
              <a:latin typeface="Aptos Narrow (Body)"/>
            </a:rPr>
            <a:t>tấn</a:t>
          </a:r>
        </a:p>
        <a:p xmlns:a="http://schemas.openxmlformats.org/drawingml/2006/main">
          <a:pPr algn="l"/>
          <a:r>
            <a:rPr lang="en-US" sz="1000" i="0" baseline="0">
              <a:solidFill>
                <a:sysClr val="windowText" lastClr="000000"/>
              </a:solidFill>
              <a:latin typeface="Aptos Narrow (Body)"/>
            </a:rPr>
            <a:t>(KH là $1.118 ~ </a:t>
          </a:r>
        </a:p>
        <a:p xmlns:a="http://schemas.openxmlformats.org/drawingml/2006/main">
          <a:pPr algn="l"/>
          <a:r>
            <a:rPr lang="en-US" sz="1000" i="0" baseline="0">
              <a:solidFill>
                <a:sysClr val="windowText" lastClr="000000"/>
              </a:solidFill>
              <a:latin typeface="Aptos Narrow (Body)"/>
            </a:rPr>
            <a:t>-$7; -0.6%)</a:t>
          </a:r>
        </a:p>
      </cdr:txBody>
    </cdr:sp>
  </cdr:relSizeAnchor>
  <cdr:relSizeAnchor xmlns:cdr="http://schemas.openxmlformats.org/drawingml/2006/chartDrawing">
    <cdr:from>
      <cdr:x>0.22327</cdr:x>
      <cdr:y>0.34351</cdr:y>
    </cdr:from>
    <cdr:to>
      <cdr:x>0.35633</cdr:x>
      <cdr:y>0.66749</cdr:y>
    </cdr:to>
    <cdr:sp macro="" textlink="">
      <cdr:nvSpPr>
        <cdr:cNvPr id="13" name="Rectangle: Rounded Corners 12">
          <a:extLst xmlns:a="http://schemas.openxmlformats.org/drawingml/2006/main">
            <a:ext uri="{FF2B5EF4-FFF2-40B4-BE49-F238E27FC236}">
              <a16:creationId xmlns:a16="http://schemas.microsoft.com/office/drawing/2014/main" id="{C69EC2F0-A1F6-1194-59FD-1FE89CF88F42}"/>
            </a:ext>
          </a:extLst>
        </cdr:cNvPr>
        <cdr:cNvSpPr/>
      </cdr:nvSpPr>
      <cdr:spPr>
        <a:xfrm xmlns:a="http://schemas.openxmlformats.org/drawingml/2006/main">
          <a:off x="2286181" y="1735491"/>
          <a:ext cx="1362456" cy="1636776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: đạt </a:t>
          </a:r>
        </a:p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0.56</a:t>
          </a:r>
          <a:r>
            <a:rPr lang="en-US" sz="11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/ 0.64 </a:t>
          </a:r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ngàn tấn</a:t>
          </a:r>
          <a:endParaRPr lang="en-US" sz="100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(-0.07 ~ -11.6%)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Giá bán trung bình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 đạt 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$1,179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/tấn </a:t>
          </a:r>
          <a:endParaRPr lang="vi-VN" sz="1000" b="0" i="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(KH là $1,179)</a:t>
          </a:r>
          <a:endParaRPr lang="en-US" sz="1000" b="1" i="0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0.57058</cdr:x>
      <cdr:y>0.34351</cdr:y>
    </cdr:from>
    <cdr:to>
      <cdr:x>0.70364</cdr:x>
      <cdr:y>0.66749</cdr:y>
    </cdr:to>
    <cdr:sp macro="" textlink="">
      <cdr:nvSpPr>
        <cdr:cNvPr id="18" name="Rectangle: Rounded Corners 17">
          <a:extLst xmlns:a="http://schemas.openxmlformats.org/drawingml/2006/main">
            <a:ext uri="{FF2B5EF4-FFF2-40B4-BE49-F238E27FC236}">
              <a16:creationId xmlns:a16="http://schemas.microsoft.com/office/drawing/2014/main" id="{B2B9285F-EA58-1F5B-517A-516301C3CBEA}"/>
            </a:ext>
          </a:extLst>
        </cdr:cNvPr>
        <cdr:cNvSpPr/>
      </cdr:nvSpPr>
      <cdr:spPr>
        <a:xfrm xmlns:a="http://schemas.openxmlformats.org/drawingml/2006/main">
          <a:off x="5842422" y="1735491"/>
          <a:ext cx="1362456" cy="1636776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0.36</a:t>
          </a:r>
          <a:r>
            <a:rPr lang="vi-VN" sz="1100" b="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/ 0.09 </a:t>
          </a:r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ngàn tấn</a:t>
          </a:r>
          <a:endParaRPr lang="en-US" sz="100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(+0.28 ~ +320</a:t>
          </a:r>
          <a:r>
            <a:rPr lang="vi-VN" sz="1000" i="1" baseline="0">
              <a:solidFill>
                <a:sysClr val="windowText" lastClr="000000"/>
              </a:solidFill>
              <a:latin typeface="Aptos Narrow (Body)"/>
            </a:rPr>
            <a:t>%</a:t>
          </a:r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)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Giá bán trung bình 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đạt 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$630/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tấn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 </a:t>
          </a: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(KH là $619</a:t>
          </a: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 ~ +$11;+1.8%)</a:t>
          </a:r>
          <a:endParaRPr lang="en-US" sz="1000" b="1" i="0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0.00167</cdr:x>
      <cdr:y>0</cdr:y>
    </cdr:from>
    <cdr:to>
      <cdr:x>0.0732</cdr:x>
      <cdr:y>0.05265</cdr:y>
    </cdr:to>
    <cdr:sp macro="" textlink="">
      <cdr:nvSpPr>
        <cdr:cNvPr id="17" name="TextBox 16">
          <a:extLst xmlns:a="http://schemas.openxmlformats.org/drawingml/2006/main">
            <a:ext uri="{FF2B5EF4-FFF2-40B4-BE49-F238E27FC236}">
              <a16:creationId xmlns:a16="http://schemas.microsoft.com/office/drawing/2014/main" id="{7FB920C5-CE79-C2B7-42F5-C901889439C9}"/>
            </a:ext>
          </a:extLst>
        </cdr:cNvPr>
        <cdr:cNvSpPr txBox="1"/>
      </cdr:nvSpPr>
      <cdr:spPr>
        <a:xfrm xmlns:a="http://schemas.openxmlformats.org/drawingml/2006/main">
          <a:off x="17122" y="0"/>
          <a:ext cx="732423" cy="2659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i="1" kern="1200"/>
            <a:t>Đvt:</a:t>
          </a:r>
          <a:r>
            <a:rPr lang="en-US" sz="900" i="1" kern="1200" baseline="0"/>
            <a:t> tỷ đồng</a:t>
          </a:r>
          <a:endParaRPr lang="en-US" sz="900" i="1" kern="1200"/>
        </a:p>
      </cdr:txBody>
    </cdr:sp>
  </cdr:relSizeAnchor>
  <cdr:relSizeAnchor xmlns:cdr="http://schemas.openxmlformats.org/drawingml/2006/chartDrawing">
    <cdr:from>
      <cdr:x>0.43145</cdr:x>
      <cdr:y>0.34351</cdr:y>
    </cdr:from>
    <cdr:to>
      <cdr:x>0.56451</cdr:x>
      <cdr:y>0.66749</cdr:y>
    </cdr:to>
    <cdr:sp macro="" textlink="">
      <cdr:nvSpPr>
        <cdr:cNvPr id="15" name="Rectangle: Rounded Corners 14">
          <a:extLst xmlns:a="http://schemas.openxmlformats.org/drawingml/2006/main">
            <a:ext uri="{FF2B5EF4-FFF2-40B4-BE49-F238E27FC236}">
              <a16:creationId xmlns:a16="http://schemas.microsoft.com/office/drawing/2014/main" id="{EFB01A36-3155-3726-322C-F57EF7778D6C}"/>
            </a:ext>
          </a:extLst>
        </cdr:cNvPr>
        <cdr:cNvSpPr/>
      </cdr:nvSpPr>
      <cdr:spPr>
        <a:xfrm xmlns:a="http://schemas.openxmlformats.org/drawingml/2006/main">
          <a:off x="4417750" y="1735491"/>
          <a:ext cx="1362456" cy="1636776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: đạt </a:t>
          </a:r>
        </a:p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0.02</a:t>
          </a:r>
          <a:r>
            <a:rPr lang="vi-VN" sz="1100" b="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/ 0.07 </a:t>
          </a:r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ngàn tấn</a:t>
          </a:r>
          <a:endParaRPr lang="en-US" sz="100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(-0.05 ~ -67</a:t>
          </a:r>
          <a:r>
            <a:rPr lang="vi-VN" sz="1000" i="1" baseline="0">
              <a:solidFill>
                <a:sysClr val="windowText" lastClr="000000"/>
              </a:solidFill>
              <a:latin typeface="Aptos Narrow (Body)"/>
            </a:rPr>
            <a:t>%</a:t>
          </a:r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)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Giá bán trung bình 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đạt 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$665/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tấn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 </a:t>
          </a: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(KH là $692</a:t>
          </a: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 ~ -$27; -3.9%)</a:t>
          </a:r>
          <a:endParaRPr lang="en-US" sz="1000" b="1" i="0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0.26518</cdr:x>
      <cdr:y>0.02166</cdr:y>
    </cdr:from>
    <cdr:to>
      <cdr:x>0.42363</cdr:x>
      <cdr:y>0.14101</cdr:y>
    </cdr:to>
    <cdr:sp macro="" textlink="">
      <cdr:nvSpPr>
        <cdr:cNvPr id="6" name="Speech Bubble: Rectangle with Corners Rounded 5">
          <a:extLst xmlns:a="http://schemas.openxmlformats.org/drawingml/2006/main">
            <a:ext uri="{FF2B5EF4-FFF2-40B4-BE49-F238E27FC236}">
              <a16:creationId xmlns:a16="http://schemas.microsoft.com/office/drawing/2014/main" id="{F04F58C6-4530-EDFF-CDC8-98A8F1DD1373}"/>
            </a:ext>
          </a:extLst>
        </cdr:cNvPr>
        <cdr:cNvSpPr/>
      </cdr:nvSpPr>
      <cdr:spPr>
        <a:xfrm xmlns:a="http://schemas.openxmlformats.org/drawingml/2006/main">
          <a:off x="2715239" y="109411"/>
          <a:ext cx="1622429" cy="602974"/>
        </a:xfrm>
        <a:prstGeom xmlns:a="http://schemas.openxmlformats.org/drawingml/2006/main" prst="wedgeRoundRectCallout">
          <a:avLst>
            <a:gd name="adj1" fmla="val 26113"/>
            <a:gd name="adj2" fmla="val 61867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</a:rPr>
            <a:t>Ngân sách không lập </a:t>
          </a:r>
          <a:r>
            <a:rPr lang="en-US" sz="1100" b="0" baseline="0">
              <a:solidFill>
                <a:sysClr val="windowText" lastClr="000000"/>
              </a:solidFill>
            </a:rPr>
            <a:t>bán nhóm này, nên đây là </a:t>
          </a:r>
          <a:r>
            <a:rPr lang="en-US" sz="1100" b="1" baseline="0">
              <a:solidFill>
                <a:sysClr val="windowText" lastClr="000000"/>
              </a:solidFill>
            </a:rPr>
            <a:t>doanh thu thực tế</a:t>
          </a:r>
        </a:p>
      </cdr:txBody>
    </cdr:sp>
  </cdr:relSizeAnchor>
  <cdr:relSizeAnchor xmlns:cdr="http://schemas.openxmlformats.org/drawingml/2006/chartDrawing">
    <cdr:from>
      <cdr:x>0.77437</cdr:x>
      <cdr:y>0.41779</cdr:y>
    </cdr:from>
    <cdr:to>
      <cdr:x>0.91233</cdr:x>
      <cdr:y>0.61154</cdr:y>
    </cdr:to>
    <cdr:sp macro="" textlink="">
      <cdr:nvSpPr>
        <cdr:cNvPr id="22" name="Rectangle 21">
          <a:extLst xmlns:a="http://schemas.openxmlformats.org/drawingml/2006/main">
            <a:ext uri="{FF2B5EF4-FFF2-40B4-BE49-F238E27FC236}">
              <a16:creationId xmlns:a16="http://schemas.microsoft.com/office/drawing/2014/main" id="{B84F994F-38A9-C823-E926-4CB0C67DBC5A}"/>
            </a:ext>
          </a:extLst>
        </cdr:cNvPr>
        <cdr:cNvSpPr/>
      </cdr:nvSpPr>
      <cdr:spPr>
        <a:xfrm xmlns:a="http://schemas.openxmlformats.org/drawingml/2006/main">
          <a:off x="7929056" y="2110742"/>
          <a:ext cx="1412631" cy="9788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900" i="1" kern="1200">
              <a:solidFill>
                <a:schemeClr val="bg1">
                  <a:lumMod val="75000"/>
                </a:schemeClr>
              </a:solidFill>
            </a:rPr>
            <a:t>(*):</a:t>
          </a:r>
          <a:r>
            <a:rPr lang="en-US" sz="900" i="1" kern="1200" baseline="0">
              <a:solidFill>
                <a:schemeClr val="bg1">
                  <a:lumMod val="75000"/>
                </a:schemeClr>
              </a:solidFill>
            </a:rPr>
            <a:t> trong tháng có ghi nhận 0.89 tỷ EPR cho Coca nhưng sẽ trả lại bằng hình thức chiết khấu bán hàng hạt nhựa =&gt; loại trừ khi trình bày.</a:t>
          </a:r>
          <a:endParaRPr lang="en-US" sz="900" i="1" kern="1200">
            <a:solidFill>
              <a:schemeClr val="bg1">
                <a:lumMod val="75000"/>
              </a:schemeClr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302555</xdr:colOff>
      <xdr:row>4</xdr:row>
      <xdr:rowOff>23532</xdr:rowOff>
    </xdr:from>
    <xdr:to>
      <xdr:col>37</xdr:col>
      <xdr:colOff>446941</xdr:colOff>
      <xdr:row>26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49DF27-54B1-4B4B-ABA3-E563CFC6C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66</xdr:row>
      <xdr:rowOff>175091</xdr:rowOff>
    </xdr:from>
    <xdr:to>
      <xdr:col>9</xdr:col>
      <xdr:colOff>831757</xdr:colOff>
      <xdr:row>95</xdr:row>
      <xdr:rowOff>84604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821D06E-B301-9601-B02A-91F731FFD87E}"/>
            </a:ext>
          </a:extLst>
        </xdr:cNvPr>
        <xdr:cNvGrpSpPr/>
      </xdr:nvGrpSpPr>
      <xdr:grpSpPr>
        <a:xfrm>
          <a:off x="0" y="12420100"/>
          <a:ext cx="11499757" cy="5289895"/>
          <a:chOff x="790854" y="17443355"/>
          <a:chExt cx="11096345" cy="543401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E31DD0BE-6D21-4101-892F-E240E7A3E770}"/>
              </a:ext>
            </a:extLst>
          </xdr:cNvPr>
          <xdr:cNvGraphicFramePr>
            <a:graphicFrameLocks/>
          </xdr:cNvGraphicFramePr>
        </xdr:nvGraphicFramePr>
        <xdr:xfrm>
          <a:off x="790854" y="17443355"/>
          <a:ext cx="11096345" cy="54340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77ADF889-E2F1-4BD9-8203-38F4F10D1358}"/>
              </a:ext>
            </a:extLst>
          </xdr:cNvPr>
          <xdr:cNvSpPr/>
        </xdr:nvSpPr>
        <xdr:spPr>
          <a:xfrm>
            <a:off x="2140324" y="18411265"/>
            <a:ext cx="8359589" cy="3384177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oneCellAnchor>
    <xdr:from>
      <xdr:col>0</xdr:col>
      <xdr:colOff>142708</xdr:colOff>
      <xdr:row>111</xdr:row>
      <xdr:rowOff>20171</xdr:rowOff>
    </xdr:from>
    <xdr:ext cx="9733150" cy="2400861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619EE2-1CAA-4909-B62F-1E1F12017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0.02226</cdr:y>
    </cdr:from>
    <cdr:to>
      <cdr:x>0.14469</cdr:x>
      <cdr:y>0.08707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C8F0976-AE8D-BE88-5F3A-47FD74867BAD}"/>
            </a:ext>
          </a:extLst>
        </cdr:cNvPr>
        <cdr:cNvSpPr txBox="1"/>
      </cdr:nvSpPr>
      <cdr:spPr>
        <a:xfrm xmlns:a="http://schemas.openxmlformats.org/drawingml/2006/main">
          <a:off x="0" y="88527"/>
          <a:ext cx="1154768" cy="2577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i="1" kern="1200"/>
            <a:t>Đvt:</a:t>
          </a:r>
          <a:r>
            <a:rPr lang="en-US" sz="1100" i="1" kern="1200" baseline="0"/>
            <a:t> tấn | %cơ cấu</a:t>
          </a:r>
          <a:endParaRPr lang="en-US" sz="1100" i="1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0.94073</cdr:x>
      <cdr:y>0</cdr:y>
    </cdr:from>
    <cdr:to>
      <cdr:x>1</cdr:x>
      <cdr:y>0.06289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15445BA-76EC-5EA0-3E25-8705FAF55A27}"/>
            </a:ext>
          </a:extLst>
        </cdr:cNvPr>
        <cdr:cNvSpPr txBox="1"/>
      </cdr:nvSpPr>
      <cdr:spPr>
        <a:xfrm xmlns:a="http://schemas.openxmlformats.org/drawingml/2006/main">
          <a:off x="10452380" y="0"/>
          <a:ext cx="658533" cy="238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 kern="1200"/>
            <a:t>Đvt:</a:t>
          </a:r>
          <a:r>
            <a:rPr lang="en-US" sz="900" i="1" kern="1200" baseline="0"/>
            <a:t> tỷ đồng</a:t>
          </a:r>
          <a:endParaRPr lang="en-US" sz="900" i="1" kern="1200"/>
        </a:p>
      </cdr:txBody>
    </cdr:sp>
  </cdr:relSizeAnchor>
  <cdr:relSizeAnchor xmlns:cdr="http://schemas.openxmlformats.org/drawingml/2006/chartDrawing">
    <cdr:from>
      <cdr:x>0.91971</cdr:x>
      <cdr:y>0.03136</cdr:y>
    </cdr:from>
    <cdr:to>
      <cdr:x>1</cdr:x>
      <cdr:y>0.14637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6449105-008B-D871-8336-9F8F65112CCF}"/>
            </a:ext>
          </a:extLst>
        </cdr:cNvPr>
        <cdr:cNvSpPr txBox="1"/>
      </cdr:nvSpPr>
      <cdr:spPr>
        <a:xfrm xmlns:a="http://schemas.openxmlformats.org/drawingml/2006/main">
          <a:off x="10205419" y="170389"/>
          <a:ext cx="890926" cy="624966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-14.55 </a:t>
          </a:r>
          <a:r>
            <a:rPr lang="en-US" sz="16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tỷ</a:t>
          </a:r>
        </a:p>
        <a:p xmlns:a="http://schemas.openxmlformats.org/drawingml/2006/main">
          <a:pPr algn="ctr"/>
          <a:r>
            <a:rPr lang="en-US" sz="15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5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-18.1%)</a:t>
          </a:r>
          <a:endParaRPr lang="en-US" sz="15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0.06301</cdr:x>
      <cdr:y>0.70348</cdr:y>
    </cdr:from>
    <cdr:to>
      <cdr:x>0.846</cdr:x>
      <cdr:y>0.86503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534FF385-08F4-4012-9AB7-530F0D61435C}"/>
            </a:ext>
          </a:extLst>
        </cdr:cNvPr>
        <cdr:cNvGrpSpPr/>
      </cdr:nvGrpSpPr>
      <cdr:grpSpPr>
        <a:xfrm xmlns:a="http://schemas.openxmlformats.org/drawingml/2006/main">
          <a:off x="724480" y="3657767"/>
          <a:ext cx="9002703" cy="839984"/>
          <a:chOff x="681039" y="4089400"/>
          <a:chExt cx="8699688" cy="649225"/>
        </a:xfrm>
      </cdr:grpSpPr>
      <cdr:sp macro="" textlink="">
        <cdr:nvSpPr>
          <cdr:cNvPr id="4" name="Rectangle: Rounded Corners 3">
            <a:extLst xmlns:a="http://schemas.openxmlformats.org/drawingml/2006/main">
              <a:ext uri="{FF2B5EF4-FFF2-40B4-BE49-F238E27FC236}">
                <a16:creationId xmlns:a16="http://schemas.microsoft.com/office/drawing/2014/main" id="{499B57B5-A96B-7D7A-3E2B-60864EB3F5F2}"/>
              </a:ext>
            </a:extLst>
          </cdr:cNvPr>
          <cdr:cNvSpPr/>
        </cdr:nvSpPr>
        <cdr:spPr>
          <a:xfrm xmlns:a="http://schemas.openxmlformats.org/drawingml/2006/main">
            <a:off x="681039" y="4089400"/>
            <a:ext cx="1704975" cy="649225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  <a:latin typeface="Aptos Narrow (Body)"/>
              </a:rPr>
              <a:t>Dthu EXW</a:t>
            </a:r>
            <a:r>
              <a:rPr lang="en-US" sz="1500" b="1" baseline="0">
                <a:solidFill>
                  <a:srgbClr val="C00000"/>
                </a:solidFill>
                <a:latin typeface="Aptos Narrow (Body)"/>
              </a:rPr>
              <a:t> rPET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  <a:latin typeface="Aptos Narrow (Body)"/>
              </a:rPr>
              <a:t>đạt </a:t>
            </a:r>
            <a:r>
              <a:rPr lang="en-US" sz="1800" b="1" baseline="0">
                <a:solidFill>
                  <a:srgbClr val="C00000"/>
                </a:solidFill>
                <a:latin typeface="Aptos Narrow (Body)"/>
              </a:rPr>
              <a:t>115</a:t>
            </a:r>
            <a:r>
              <a:rPr lang="en-US" sz="1500" b="1" baseline="0">
                <a:solidFill>
                  <a:srgbClr val="C00000"/>
                </a:solidFill>
                <a:latin typeface="Aptos Narrow (Body)"/>
              </a:rPr>
              <a:t> </a:t>
            </a:r>
            <a:r>
              <a:rPr lang="en-US" sz="1500" baseline="0">
                <a:solidFill>
                  <a:srgbClr val="C00000"/>
                </a:solidFill>
                <a:latin typeface="Aptos Narrow (Body)"/>
              </a:rPr>
              <a:t>/ 140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  <a:latin typeface="Aptos Narrow (Body)"/>
              </a:rPr>
              <a:t>(-25.3 tỷ ~ -18.0%)</a:t>
            </a:r>
            <a:endParaRPr lang="en-US" sz="1300" i="1">
              <a:solidFill>
                <a:srgbClr val="C00000"/>
              </a:solidFill>
              <a:latin typeface="Aptos Narrow (Body)"/>
            </a:endParaRPr>
          </a:p>
        </cdr:txBody>
      </cdr:sp>
      <cdr:sp macro="" textlink="">
        <cdr:nvSpPr>
          <cdr:cNvPr id="5" name="Rectangle: Rounded Corners 4">
            <a:extLst xmlns:a="http://schemas.openxmlformats.org/drawingml/2006/main">
              <a:ext uri="{FF2B5EF4-FFF2-40B4-BE49-F238E27FC236}">
                <a16:creationId xmlns:a16="http://schemas.microsoft.com/office/drawing/2014/main" id="{8F392477-5DB1-7F94-0639-7B2DEF85714B}"/>
              </a:ext>
            </a:extLst>
          </cdr:cNvPr>
          <cdr:cNvSpPr/>
        </cdr:nvSpPr>
        <cdr:spPr>
          <a:xfrm xmlns:a="http://schemas.openxmlformats.org/drawingml/2006/main">
            <a:off x="2424764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450" b="1">
                <a:solidFill>
                  <a:srgbClr val="C00000"/>
                </a:solidFill>
              </a:rPr>
              <a:t>Dthu EXW</a:t>
            </a:r>
            <a:r>
              <a:rPr lang="en-US" sz="1450" b="1" baseline="0">
                <a:solidFill>
                  <a:srgbClr val="C00000"/>
                </a:solidFill>
              </a:rPr>
              <a:t> rHD thổi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</a:t>
            </a:r>
            <a:r>
              <a:rPr lang="en-US" sz="1800" baseline="0">
                <a:solidFill>
                  <a:srgbClr val="C00000"/>
                </a:solidFill>
              </a:rPr>
              <a:t> </a:t>
            </a:r>
            <a:r>
              <a:rPr lang="en-US" sz="1800" b="1" baseline="0">
                <a:solidFill>
                  <a:srgbClr val="C00000"/>
                </a:solidFill>
              </a:rPr>
              <a:t>6.9 </a:t>
            </a:r>
            <a:r>
              <a:rPr lang="en-US" sz="1500" baseline="0">
                <a:solidFill>
                  <a:srgbClr val="C00000"/>
                </a:solidFill>
              </a:rPr>
              <a:t>/ 23.4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(-16.5 tỷ ~ -70.4%)</a:t>
            </a:r>
            <a:endParaRPr lang="en-US" sz="1300" i="1">
              <a:solidFill>
                <a:srgbClr val="C00000"/>
              </a:solidFill>
            </a:endParaRPr>
          </a:p>
        </cdr:txBody>
      </cdr:sp>
      <cdr:sp macro="" textlink="">
        <cdr:nvSpPr>
          <cdr:cNvPr id="6" name="Rectangle: Rounded Corners 5">
            <a:extLst xmlns:a="http://schemas.openxmlformats.org/drawingml/2006/main">
              <a:ext uri="{FF2B5EF4-FFF2-40B4-BE49-F238E27FC236}">
                <a16:creationId xmlns:a16="http://schemas.microsoft.com/office/drawing/2014/main" id="{BBE95CDA-532F-E83C-A5AA-23D4CB962A65}"/>
              </a:ext>
            </a:extLst>
          </cdr:cNvPr>
          <cdr:cNvSpPr/>
        </cdr:nvSpPr>
        <cdr:spPr>
          <a:xfrm xmlns:a="http://schemas.openxmlformats.org/drawingml/2006/main">
            <a:off x="4173442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</a:rPr>
              <a:t>Dthu EXW</a:t>
            </a:r>
            <a:r>
              <a:rPr lang="en-US" sz="1500" b="1" baseline="0">
                <a:solidFill>
                  <a:srgbClr val="C00000"/>
                </a:solidFill>
              </a:rPr>
              <a:t> rHD ép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 </a:t>
            </a:r>
            <a:r>
              <a:rPr lang="en-US" sz="1800" b="1" baseline="0">
                <a:solidFill>
                  <a:srgbClr val="C00000"/>
                </a:solidFill>
              </a:rPr>
              <a:t>1.1</a:t>
            </a:r>
            <a:r>
              <a:rPr lang="en-US" sz="1500" baseline="0">
                <a:solidFill>
                  <a:srgbClr val="C00000"/>
                </a:solidFill>
              </a:rPr>
              <a:t> / 2.9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(-1.8 tỷ ~ -62.4%)</a:t>
            </a:r>
          </a:p>
        </cdr:txBody>
      </cdr:sp>
      <cdr:sp macro="" textlink="">
        <cdr:nvSpPr>
          <cdr:cNvPr id="7" name="Rectangle: Rounded Corners 6">
            <a:extLst xmlns:a="http://schemas.openxmlformats.org/drawingml/2006/main">
              <a:ext uri="{FF2B5EF4-FFF2-40B4-BE49-F238E27FC236}">
                <a16:creationId xmlns:a16="http://schemas.microsoft.com/office/drawing/2014/main" id="{F12DEA15-D07F-666E-F3C1-1675054387C0}"/>
              </a:ext>
            </a:extLst>
          </cdr:cNvPr>
          <cdr:cNvSpPr/>
        </cdr:nvSpPr>
        <cdr:spPr>
          <a:xfrm xmlns:a="http://schemas.openxmlformats.org/drawingml/2006/main">
            <a:off x="5922120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</a:rPr>
              <a:t>Dthu EXW</a:t>
            </a:r>
            <a:r>
              <a:rPr lang="en-US" sz="1500" b="1" baseline="0">
                <a:solidFill>
                  <a:srgbClr val="C00000"/>
                </a:solidFill>
              </a:rPr>
              <a:t> rPP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 </a:t>
            </a:r>
            <a:r>
              <a:rPr lang="en-US" sz="1800" b="1" baseline="0">
                <a:solidFill>
                  <a:srgbClr val="C00000"/>
                </a:solidFill>
              </a:rPr>
              <a:t>1.1</a:t>
            </a:r>
            <a:r>
              <a:rPr lang="en-US" sz="1500" b="1" baseline="0">
                <a:solidFill>
                  <a:srgbClr val="C00000"/>
                </a:solidFill>
              </a:rPr>
              <a:t> </a:t>
            </a:r>
            <a:r>
              <a:rPr lang="en-US" sz="1500" baseline="0">
                <a:solidFill>
                  <a:srgbClr val="C00000"/>
                </a:solidFill>
              </a:rPr>
              <a:t>/ 2.2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(-1.1  tỷ ~ -49.5%)</a:t>
            </a:r>
            <a:endParaRPr lang="en-US" sz="1300" i="1">
              <a:solidFill>
                <a:srgbClr val="C00000"/>
              </a:solidFill>
            </a:endParaRPr>
          </a:p>
        </cdr:txBody>
      </cdr:sp>
      <cdr:sp macro="" textlink="">
        <cdr:nvSpPr>
          <cdr:cNvPr id="8" name="Rectangle: Rounded Corners 7">
            <a:extLst xmlns:a="http://schemas.openxmlformats.org/drawingml/2006/main">
              <a:ext uri="{FF2B5EF4-FFF2-40B4-BE49-F238E27FC236}">
                <a16:creationId xmlns:a16="http://schemas.microsoft.com/office/drawing/2014/main" id="{7C6FF398-5090-0608-1F39-4CCD8B19ED74}"/>
              </a:ext>
            </a:extLst>
          </cdr:cNvPr>
          <cdr:cNvSpPr/>
        </cdr:nvSpPr>
        <cdr:spPr>
          <a:xfrm xmlns:a="http://schemas.openxmlformats.org/drawingml/2006/main">
            <a:off x="7670799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00B050"/>
                </a:solidFill>
              </a:rPr>
              <a:t>Dthu EXW</a:t>
            </a:r>
            <a:r>
              <a:rPr lang="en-US" sz="1500" b="1" baseline="0">
                <a:solidFill>
                  <a:srgbClr val="00B050"/>
                </a:solidFill>
              </a:rPr>
              <a:t> Xơ Sợi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00B050"/>
                </a:solidFill>
              </a:rPr>
              <a:t>đạt </a:t>
            </a:r>
            <a:r>
              <a:rPr lang="en-US" sz="1800" b="1" baseline="0">
                <a:solidFill>
                  <a:srgbClr val="00B050"/>
                </a:solidFill>
              </a:rPr>
              <a:t>9.8</a:t>
            </a:r>
            <a:r>
              <a:rPr lang="en-US" sz="1500" baseline="0">
                <a:solidFill>
                  <a:srgbClr val="00B050"/>
                </a:solidFill>
              </a:rPr>
              <a:t> / 2.8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00B050"/>
                </a:solidFill>
              </a:rPr>
              <a:t>(+7  tỷ ~ +256%)</a:t>
            </a:r>
          </a:p>
        </cdr:txBody>
      </cdr:sp>
    </cdr:grpSp>
  </cdr:relSizeAnchor>
  <cdr:relSizeAnchor xmlns:cdr="http://schemas.openxmlformats.org/drawingml/2006/chartDrawing">
    <cdr:from>
      <cdr:x>0.84126</cdr:x>
      <cdr:y>0.45107</cdr:y>
    </cdr:from>
    <cdr:to>
      <cdr:x>0.89768</cdr:x>
      <cdr:y>0.66245</cdr:y>
    </cdr:to>
    <cdr:sp macro="" textlink="">
      <cdr:nvSpPr>
        <cdr:cNvPr id="11" name="Rectangle: Rounded Corners 10">
          <a:extLst xmlns:a="http://schemas.openxmlformats.org/drawingml/2006/main">
            <a:ext uri="{FF2B5EF4-FFF2-40B4-BE49-F238E27FC236}">
              <a16:creationId xmlns:a16="http://schemas.microsoft.com/office/drawing/2014/main" id="{0EF6BA54-5EC2-A906-0256-B4A0E866DB36}"/>
            </a:ext>
          </a:extLst>
        </cdr:cNvPr>
        <cdr:cNvSpPr/>
      </cdr:nvSpPr>
      <cdr:spPr>
        <a:xfrm xmlns:a="http://schemas.openxmlformats.org/drawingml/2006/main">
          <a:off x="9347200" y="2451100"/>
          <a:ext cx="626863" cy="1148655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ptos Narrow (Body)"/>
            </a:rPr>
            <a:t>Tăng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từ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25,000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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25,988</a:t>
          </a:r>
        </a:p>
        <a:p xmlns:a="http://schemas.openxmlformats.org/drawingml/2006/main">
          <a:pPr algn="ctr"/>
          <a:endParaRPr lang="en-US" sz="1000" b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800" i="1" baseline="0">
              <a:solidFill>
                <a:sysClr val="windowText" lastClr="000000"/>
              </a:solidFill>
              <a:latin typeface="Aptos Narrow (Body)"/>
            </a:rPr>
            <a:t>(+988 ~ +4.0%)</a:t>
          </a:r>
        </a:p>
      </cdr:txBody>
    </cdr:sp>
  </cdr:relSizeAnchor>
  <cdr:relSizeAnchor xmlns:cdr="http://schemas.openxmlformats.org/drawingml/2006/chartDrawing">
    <cdr:from>
      <cdr:x>0.06215</cdr:x>
      <cdr:y>0.45457</cdr:y>
    </cdr:from>
    <cdr:to>
      <cdr:x>0.83759</cdr:x>
      <cdr:y>0.65819</cdr:y>
    </cdr:to>
    <cdr:grpSp>
      <cdr:nvGrpSpPr>
        <cdr:cNvPr id="17" name="Group 16">
          <a:extLst xmlns:a="http://schemas.openxmlformats.org/drawingml/2006/main">
            <a:ext uri="{FF2B5EF4-FFF2-40B4-BE49-F238E27FC236}">
              <a16:creationId xmlns:a16="http://schemas.microsoft.com/office/drawing/2014/main" id="{E6719B94-223D-09BA-09B1-E260C8DE50E7}"/>
            </a:ext>
          </a:extLst>
        </cdr:cNvPr>
        <cdr:cNvGrpSpPr/>
      </cdr:nvGrpSpPr>
      <cdr:grpSpPr>
        <a:xfrm xmlns:a="http://schemas.openxmlformats.org/drawingml/2006/main">
          <a:off x="714592" y="2363551"/>
          <a:ext cx="8915894" cy="1058729"/>
          <a:chOff x="690563" y="2470150"/>
          <a:chExt cx="8615870" cy="1106489"/>
        </a:xfrm>
      </cdr:grpSpPr>
      <cdr:sp macro="" textlink="">
        <cdr:nvSpPr>
          <cdr:cNvPr id="10" name="Rectangle: Rounded Corners 9">
            <a:extLst xmlns:a="http://schemas.openxmlformats.org/drawingml/2006/main">
              <a:ext uri="{FF2B5EF4-FFF2-40B4-BE49-F238E27FC236}">
                <a16:creationId xmlns:a16="http://schemas.microsoft.com/office/drawing/2014/main" id="{F874A4F7-499F-BDBE-4F54-1E0173492C2C}"/>
              </a:ext>
            </a:extLst>
          </cdr:cNvPr>
          <cdr:cNvSpPr/>
        </cdr:nvSpPr>
        <cdr:spPr>
          <a:xfrm xmlns:a="http://schemas.openxmlformats.org/drawingml/2006/main">
            <a:off x="690563" y="2470150"/>
            <a:ext cx="1666875" cy="1106489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  <a:latin typeface="+mn-lt"/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  <a:latin typeface="+mn-lt"/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  <a:latin typeface="Aptos Narrow (Body)"/>
              </a:rPr>
              <a:t>3.67</a:t>
            </a:r>
            <a:r>
              <a:rPr lang="en-US" sz="110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/ </a:t>
            </a:r>
            <a:r>
              <a:rPr lang="en-US" sz="1000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4.4 ngàn tấn</a:t>
            </a:r>
          </a:p>
          <a:p xmlns:a="http://schemas.openxmlformats.org/drawingml/2006/main">
            <a:pPr algn="l"/>
            <a:r>
              <a:rPr lang="en-US" sz="1000" i="1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( -0.77  ~  -17.3%).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  <a:latin typeface="+mn-lt"/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Giá bán trung bình </a:t>
            </a:r>
            <a:r>
              <a:rPr lang="en-US" sz="1000" i="0" baseline="0">
                <a:solidFill>
                  <a:sysClr val="windowText" lastClr="000000"/>
                </a:solidFill>
                <a:latin typeface="Aptos Narrow (Body)"/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$1,206/</a:t>
            </a:r>
            <a:r>
              <a:rPr lang="en-US" sz="1000" i="0" baseline="0">
                <a:solidFill>
                  <a:sysClr val="windowText" lastClr="000000"/>
                </a:solidFill>
                <a:latin typeface="Aptos Narrow (Body)"/>
              </a:rPr>
              <a:t>tấn (KH là $1.266 ~ -4.7%)</a:t>
            </a:r>
          </a:p>
        </cdr:txBody>
      </cdr:sp>
      <cdr:sp macro="" textlink="">
        <cdr:nvSpPr>
          <cdr:cNvPr id="13" name="Rectangle: Rounded Corners 12">
            <a:extLst xmlns:a="http://schemas.openxmlformats.org/drawingml/2006/main">
              <a:ext uri="{FF2B5EF4-FFF2-40B4-BE49-F238E27FC236}">
                <a16:creationId xmlns:a16="http://schemas.microsoft.com/office/drawing/2014/main" id="{B3D2C088-5FE7-3E17-7CFA-5F76C72988EC}"/>
              </a:ext>
            </a:extLst>
          </cdr:cNvPr>
          <cdr:cNvSpPr/>
        </cdr:nvSpPr>
        <cdr:spPr>
          <a:xfrm xmlns:a="http://schemas.openxmlformats.org/drawingml/2006/main">
            <a:off x="2430479" y="247015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  <a:latin typeface="Aptos Narrow (Body)"/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  <a:latin typeface="Aptos Narrow (Body)"/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  <a:latin typeface="Aptos Narrow (Body)"/>
              </a:rPr>
              <a:t>: đạt </a:t>
            </a:r>
          </a:p>
          <a:p xmlns:a="http://schemas.openxmlformats.org/drawingml/2006/main">
            <a:pPr algn="l"/>
            <a:r>
              <a:rPr lang="en-US" sz="1100" b="1" baseline="0">
                <a:solidFill>
                  <a:sysClr val="windowText" lastClr="000000"/>
                </a:solidFill>
                <a:latin typeface="Aptos Narrow (Body)"/>
              </a:rPr>
              <a:t>0.21</a:t>
            </a:r>
            <a:r>
              <a:rPr lang="en-US" sz="1100" baseline="0">
                <a:solidFill>
                  <a:sysClr val="windowText" lastClr="000000"/>
                </a:solidFill>
                <a:latin typeface="Aptos Narrow (Body)"/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  <a:latin typeface="Aptos Narrow (Body)"/>
              </a:rPr>
              <a:t>/ 0.7 ngàn tấn </a:t>
            </a:r>
          </a:p>
          <a:p xmlns:a="http://schemas.openxmlformats.org/drawingml/2006/main">
            <a:pPr algn="l"/>
            <a:r>
              <a:rPr lang="en-US" sz="1000" i="1" baseline="0">
                <a:solidFill>
                  <a:sysClr val="windowText" lastClr="000000"/>
                </a:solidFill>
                <a:latin typeface="Aptos Narrow (Body)"/>
              </a:rPr>
              <a:t>(-0.5 ~ -69.5%)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  <a:latin typeface="Aptos Narrow (Body)"/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Giá bán trung bình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 đạt </a:t>
            </a:r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$1,257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/tấn (KH là $1,3</a:t>
            </a:r>
            <a:r>
              <a:rPr lang="vi-VN" sz="1000" b="0" i="0" baseline="0">
                <a:solidFill>
                  <a:sysClr val="windowText" lastClr="000000"/>
                </a:solidFill>
                <a:latin typeface="Aptos Narrow (Body)"/>
              </a:rPr>
              <a:t>4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7 ~ -6.7%)</a:t>
            </a:r>
            <a:endParaRPr lang="en-US" sz="1000" b="1" i="0" baseline="0">
              <a:solidFill>
                <a:sysClr val="windowText" lastClr="000000"/>
              </a:solidFill>
              <a:latin typeface="Aptos Narrow (Body)"/>
            </a:endParaRPr>
          </a:p>
        </cdr:txBody>
      </cdr:sp>
      <cdr:sp macro="" textlink="">
        <cdr:nvSpPr>
          <cdr:cNvPr id="14" name="Rectangle: Rounded Corners 13">
            <a:extLst xmlns:a="http://schemas.openxmlformats.org/drawingml/2006/main">
              <a:ext uri="{FF2B5EF4-FFF2-40B4-BE49-F238E27FC236}">
                <a16:creationId xmlns:a16="http://schemas.microsoft.com/office/drawing/2014/main" id="{1E3B5E11-268E-6ACF-D4FC-124288B69255}"/>
              </a:ext>
            </a:extLst>
          </cdr:cNvPr>
          <cdr:cNvSpPr/>
        </cdr:nvSpPr>
        <cdr:spPr>
          <a:xfrm xmlns:a="http://schemas.openxmlformats.org/drawingml/2006/main">
            <a:off x="4167728" y="247015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0.06</a:t>
            </a:r>
            <a:r>
              <a:rPr lang="en-US" sz="1000" baseline="0">
                <a:solidFill>
                  <a:sysClr val="windowText" lastClr="000000"/>
                </a:solidFill>
              </a:rPr>
              <a:t>/0.14 ng.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(-0.08 ~ -56.7%)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</a:rPr>
              <a:t>Giá bán trung bình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$697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/tấn (KH là $835 ~ -16.6%)</a:t>
            </a:r>
            <a:endParaRPr lang="en-US" sz="1000" b="1" i="0" baseline="0">
              <a:solidFill>
                <a:sysClr val="windowText" lastClr="000000"/>
              </a:solidFill>
            </a:endParaRPr>
          </a:p>
        </cdr:txBody>
      </cdr:sp>
      <cdr:sp macro="" textlink="">
        <cdr:nvSpPr>
          <cdr:cNvPr id="15" name="Rectangle: Rounded Corners 14">
            <a:extLst xmlns:a="http://schemas.openxmlformats.org/drawingml/2006/main">
              <a:ext uri="{FF2B5EF4-FFF2-40B4-BE49-F238E27FC236}">
                <a16:creationId xmlns:a16="http://schemas.microsoft.com/office/drawing/2014/main" id="{56CFF307-E683-3E82-647F-C8B95F0A1187}"/>
              </a:ext>
            </a:extLst>
          </cdr:cNvPr>
          <cdr:cNvSpPr/>
        </cdr:nvSpPr>
        <cdr:spPr>
          <a:xfrm xmlns:a="http://schemas.openxmlformats.org/drawingml/2006/main">
            <a:off x="5904977" y="247015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0.05</a:t>
            </a:r>
            <a:r>
              <a:rPr lang="en-US" sz="1100" baseline="0">
                <a:solidFill>
                  <a:sysClr val="windowText" lastClr="000000"/>
                </a:solidFill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</a:rPr>
              <a:t>/ 0.1 ngàn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(-0.05 ~ -50%)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</a:rPr>
              <a:t>Giá bán trung bình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$859/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tấn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(KH là $887 ~ -3.1%)</a:t>
            </a:r>
            <a:endParaRPr lang="en-US" sz="1000" b="1" i="0" baseline="0">
              <a:solidFill>
                <a:sysClr val="windowText" lastClr="000000"/>
              </a:solidFill>
            </a:endParaRPr>
          </a:p>
        </cdr:txBody>
      </cdr:sp>
      <cdr:sp macro="" textlink="">
        <cdr:nvSpPr>
          <cdr:cNvPr id="16" name="Rectangle: Rounded Corners 15">
            <a:extLst xmlns:a="http://schemas.openxmlformats.org/drawingml/2006/main">
              <a:ext uri="{FF2B5EF4-FFF2-40B4-BE49-F238E27FC236}">
                <a16:creationId xmlns:a16="http://schemas.microsoft.com/office/drawing/2014/main" id="{CA348383-5F92-FFDE-42C1-20D9B18568CA}"/>
              </a:ext>
            </a:extLst>
          </cdr:cNvPr>
          <cdr:cNvSpPr/>
        </cdr:nvSpPr>
        <cdr:spPr>
          <a:xfrm xmlns:a="http://schemas.openxmlformats.org/drawingml/2006/main">
            <a:off x="7642225" y="247015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0.57</a:t>
            </a:r>
            <a:r>
              <a:rPr lang="en-US" sz="1100" baseline="0">
                <a:solidFill>
                  <a:sysClr val="windowText" lastClr="000000"/>
                </a:solidFill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</a:rPr>
              <a:t>/ 0.1 ngàn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(+0.47 ~ +468%)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</a:rPr>
              <a:t>Giá bán trung bình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$664/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tấn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 </a:t>
            </a:r>
          </a:p>
          <a:p xmlns:a="http://schemas.openxmlformats.org/drawingml/2006/main">
            <a:pPr algn="l"/>
            <a:r>
              <a:rPr lang="en-US" sz="1000" b="0" i="0" baseline="0">
                <a:solidFill>
                  <a:sysClr val="windowText" lastClr="000000"/>
                </a:solidFill>
              </a:rPr>
              <a:t>(KH là $1,100 ~ +39.7%)</a:t>
            </a:r>
            <a:endParaRPr lang="en-US" sz="1000" b="1" i="0" baseline="0">
              <a:solidFill>
                <a:sysClr val="windowText" lastClr="000000"/>
              </a:solidFill>
            </a:endParaRPr>
          </a:p>
        </cdr:txBody>
      </cdr:sp>
    </cdr:grpSp>
  </cdr:relSizeAnchor>
  <cdr:relSizeAnchor xmlns:cdr="http://schemas.openxmlformats.org/drawingml/2006/chartDrawing">
    <cdr:from>
      <cdr:x>0.37748</cdr:x>
      <cdr:y>0.31774</cdr:y>
    </cdr:from>
    <cdr:to>
      <cdr:x>0.5285</cdr:x>
      <cdr:y>0.42982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BDA833A1-1C5D-84A0-056A-F7079FB1CE8D}"/>
            </a:ext>
          </a:extLst>
        </cdr:cNvPr>
        <cdr:cNvSpPr txBox="1"/>
      </cdr:nvSpPr>
      <cdr:spPr>
        <a:xfrm xmlns:a="http://schemas.openxmlformats.org/drawingml/2006/main">
          <a:off x="4188648" y="1726630"/>
          <a:ext cx="1675770" cy="6090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Hiện</a:t>
          </a:r>
          <a:r>
            <a:rPr lang="en-US" sz="1100" i="1" baseline="0"/>
            <a:t> tại đang đẩy bán các mặt hàng tồn kho lâu (không nằm trong KH)</a:t>
          </a:r>
          <a:endParaRPr lang="en-US" sz="1100" i="1"/>
        </a:p>
      </cdr:txBody>
    </cdr:sp>
  </cdr:relSizeAnchor>
  <cdr:relSizeAnchor xmlns:cdr="http://schemas.openxmlformats.org/drawingml/2006/chartDrawing">
    <cdr:from>
      <cdr:x>0.53366</cdr:x>
      <cdr:y>0.31537</cdr:y>
    </cdr:from>
    <cdr:to>
      <cdr:x>0.68468</cdr:x>
      <cdr:y>0.42745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2A9ED325-474A-DE94-C6A9-AE44D241D87B}"/>
            </a:ext>
          </a:extLst>
        </cdr:cNvPr>
        <cdr:cNvSpPr txBox="1"/>
      </cdr:nvSpPr>
      <cdr:spPr>
        <a:xfrm xmlns:a="http://schemas.openxmlformats.org/drawingml/2006/main">
          <a:off x="5921674" y="1713727"/>
          <a:ext cx="1675770" cy="6090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Hiện</a:t>
          </a:r>
          <a:r>
            <a:rPr lang="en-US" sz="1100" i="1" baseline="0"/>
            <a:t> tại đang đẩy bán các mặt hàng tồn kho lâu (không nằm trong KH)</a:t>
          </a:r>
          <a:endParaRPr lang="en-US" sz="1100" i="1"/>
        </a:p>
      </cdr:txBody>
    </cdr:sp>
  </cdr:relSizeAnchor>
  <cdr:relSizeAnchor xmlns:cdr="http://schemas.openxmlformats.org/drawingml/2006/chartDrawing">
    <cdr:from>
      <cdr:x>0.64989</cdr:x>
      <cdr:y>0.02268</cdr:y>
    </cdr:from>
    <cdr:to>
      <cdr:x>0.91338</cdr:x>
      <cdr:y>0.13295</cdr:y>
    </cdr:to>
    <cdr:sp macro="" textlink="">
      <cdr:nvSpPr>
        <cdr:cNvPr id="19" name="Speech Bubble: Rectangle with Corners Rounded 18">
          <a:extLst xmlns:a="http://schemas.openxmlformats.org/drawingml/2006/main">
            <a:ext uri="{FF2B5EF4-FFF2-40B4-BE49-F238E27FC236}">
              <a16:creationId xmlns:a16="http://schemas.microsoft.com/office/drawing/2014/main" id="{703B310C-8E2F-EE05-2EC0-FE0012EC7082}"/>
            </a:ext>
          </a:extLst>
        </cdr:cNvPr>
        <cdr:cNvSpPr/>
      </cdr:nvSpPr>
      <cdr:spPr>
        <a:xfrm xmlns:a="http://schemas.openxmlformats.org/drawingml/2006/main">
          <a:off x="7211358" y="123265"/>
          <a:ext cx="2923813" cy="599187"/>
        </a:xfrm>
        <a:prstGeom xmlns:a="http://schemas.openxmlformats.org/drawingml/2006/main" prst="wedgeRoundRectCallout">
          <a:avLst>
            <a:gd name="adj1" fmla="val 45545"/>
            <a:gd name="adj2" fmla="val 82442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ysClr val="windowText" lastClr="000000"/>
              </a:solidFill>
            </a:rPr>
            <a:t>- D</a:t>
          </a:r>
          <a:r>
            <a:rPr lang="en-US" sz="1100" baseline="0">
              <a:solidFill>
                <a:sysClr val="windowText" lastClr="000000"/>
              </a:solidFill>
            </a:rPr>
            <a:t>thu EPR: 0.18/3.3 ~ </a:t>
          </a:r>
          <a:r>
            <a:rPr lang="en-US" sz="1100" b="1" baseline="0">
              <a:solidFill>
                <a:sysClr val="windowText" lastClr="000000"/>
              </a:solidFill>
            </a:rPr>
            <a:t>giảm 3.1</a:t>
          </a:r>
          <a:endParaRPr lang="en-US" sz="1100" baseline="0">
            <a:solidFill>
              <a:sysClr val="windowText" lastClr="000000"/>
            </a:solidFill>
          </a:endParaRPr>
        </a:p>
        <a:p xmlns:a="http://schemas.openxmlformats.org/drawingml/2006/main">
          <a:pPr algn="l"/>
          <a:r>
            <a:rPr lang="en-US" sz="1100" baseline="0">
              <a:solidFill>
                <a:sysClr val="windowText" lastClr="000000"/>
              </a:solidFill>
            </a:rPr>
            <a:t>- Dây đai đạt : 1.3/2.6 tỷ ~ </a:t>
          </a:r>
          <a:r>
            <a:rPr lang="en-US" sz="1100" b="1" baseline="0">
              <a:solidFill>
                <a:sysClr val="windowText" lastClr="000000"/>
              </a:solidFill>
            </a:rPr>
            <a:t>giảm 1.3 tỷ</a:t>
          </a:r>
        </a:p>
        <a:p xmlns:a="http://schemas.openxmlformats.org/drawingml/2006/main">
          <a:pPr algn="l"/>
          <a:r>
            <a:rPr lang="en-US" sz="1100" b="0" baseline="0">
              <a:solidFill>
                <a:sysClr val="windowText" lastClr="000000"/>
              </a:solidFill>
            </a:rPr>
            <a:t>- Thực tế có bán phó sản: + </a:t>
          </a:r>
          <a:r>
            <a:rPr lang="en-US" sz="1100" b="1" baseline="0">
              <a:solidFill>
                <a:sysClr val="windowText" lastClr="000000"/>
              </a:solidFill>
            </a:rPr>
            <a:t>3.4 tỷ</a:t>
          </a:r>
          <a:r>
            <a:rPr lang="en-US" sz="1100" b="0" baseline="0">
              <a:solidFill>
                <a:sysClr val="windowText" lastClr="000000"/>
              </a:solidFill>
            </a:rPr>
            <a:t> (KH không có)</a:t>
          </a:r>
          <a:endParaRPr lang="en-US" sz="1100" b="1">
            <a:solidFill>
              <a:sysClr val="windowText" lastClr="000000"/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0.8855</cdr:x>
      <cdr:y>0.00655</cdr:y>
    </cdr:from>
    <cdr:to>
      <cdr:x>0.97704</cdr:x>
      <cdr:y>0.26414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CA57CD6-1E41-C3C1-B6F2-2A6B09E060A6}"/>
            </a:ext>
          </a:extLst>
        </cdr:cNvPr>
        <cdr:cNvSpPr txBox="1"/>
      </cdr:nvSpPr>
      <cdr:spPr>
        <a:xfrm xmlns:a="http://schemas.openxmlformats.org/drawingml/2006/main">
          <a:off x="8618713" y="15729"/>
          <a:ext cx="890973" cy="618428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vi-VN" sz="1800" b="1" kern="1200">
              <a:solidFill>
                <a:srgbClr val="00B050"/>
              </a:solidFill>
              <a:latin typeface="Aptos Narrow" panose="020B0004020202020204" pitchFamily="34" charset="0"/>
              <a:cs typeface="Arial" panose="020B0604020202020204" pitchFamily="34" charset="0"/>
            </a:rPr>
            <a:t>+31.7 </a:t>
          </a:r>
          <a:r>
            <a:rPr lang="en-US" sz="1500" b="1" kern="1200">
              <a:solidFill>
                <a:srgbClr val="00B050"/>
              </a:solidFill>
              <a:latin typeface="Aptos Narrow" panose="020B0004020202020204" pitchFamily="34" charset="0"/>
              <a:cs typeface="Arial" panose="020B0604020202020204" pitchFamily="34" charset="0"/>
            </a:rPr>
            <a:t>Tỷ</a:t>
          </a:r>
        </a:p>
        <a:p xmlns:a="http://schemas.openxmlformats.org/drawingml/2006/main">
          <a:pPr algn="ctr"/>
          <a:r>
            <a:rPr lang="en-US" sz="1100" b="0" i="1" kern="1200">
              <a:solidFill>
                <a:srgbClr val="00B050"/>
              </a:solidFill>
              <a:latin typeface="Aptos Narrow" panose="020B0004020202020204" pitchFamily="34" charset="0"/>
              <a:cs typeface="Arial" panose="020B0604020202020204" pitchFamily="34" charset="0"/>
            </a:rPr>
            <a:t>(~</a:t>
          </a:r>
          <a:r>
            <a:rPr lang="en-US" sz="1100" b="0" i="1" kern="1200" baseline="0">
              <a:solidFill>
                <a:srgbClr val="00B050"/>
              </a:solidFill>
              <a:latin typeface="Aptos Narrow" panose="020B0004020202020204" pitchFamily="34" charset="0"/>
              <a:cs typeface="Arial" panose="020B0604020202020204" pitchFamily="34" charset="0"/>
            </a:rPr>
            <a:t> </a:t>
          </a:r>
          <a:r>
            <a:rPr lang="vi-VN" sz="1100" b="0" i="1" kern="1200" baseline="0">
              <a:solidFill>
                <a:srgbClr val="00B050"/>
              </a:solidFill>
              <a:latin typeface="Aptos Narrow" panose="020B0004020202020204" pitchFamily="34" charset="0"/>
              <a:cs typeface="Arial" panose="020B0604020202020204" pitchFamily="34" charset="0"/>
            </a:rPr>
            <a:t>+22.4</a:t>
          </a:r>
          <a:r>
            <a:rPr lang="en-US" sz="1100" b="0" i="1" kern="1200" baseline="0">
              <a:solidFill>
                <a:srgbClr val="00B050"/>
              </a:solidFill>
              <a:latin typeface="Aptos Narrow" panose="020B0004020202020204" pitchFamily="34" charset="0"/>
              <a:cs typeface="Arial" panose="020B0604020202020204" pitchFamily="34" charset="0"/>
            </a:rPr>
            <a:t>%)</a:t>
          </a:r>
          <a:endParaRPr lang="en-US" sz="1100" b="0" i="1" kern="1200">
            <a:solidFill>
              <a:srgbClr val="00B050"/>
            </a:solidFill>
            <a:latin typeface="Aptos Narrow" panose="020B00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0.13113</cdr:x>
      <cdr:y>0.02954</cdr:y>
    </cdr:from>
    <cdr:to>
      <cdr:x>0.4345</cdr:x>
      <cdr:y>0.27943</cdr:y>
    </cdr:to>
    <cdr:sp macro="" textlink="">
      <cdr:nvSpPr>
        <cdr:cNvPr id="3" name="Rectangle: Rounded Corners 2">
          <a:extLst xmlns:a="http://schemas.openxmlformats.org/drawingml/2006/main">
            <a:ext uri="{FF2B5EF4-FFF2-40B4-BE49-F238E27FC236}">
              <a16:creationId xmlns:a16="http://schemas.microsoft.com/office/drawing/2014/main" id="{E765567D-CF32-2BB8-AE9D-D3069B8B8080}"/>
            </a:ext>
          </a:extLst>
        </cdr:cNvPr>
        <cdr:cNvSpPr/>
      </cdr:nvSpPr>
      <cdr:spPr>
        <a:xfrm xmlns:a="http://schemas.openxmlformats.org/drawingml/2006/main">
          <a:off x="1276350" y="70926"/>
          <a:ext cx="2952750" cy="599951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500" b="1">
              <a:solidFill>
                <a:sysClr val="windowText" lastClr="000000"/>
              </a:solidFill>
              <a:latin typeface="+mn-lt"/>
            </a:rPr>
            <a:t>Sản</a:t>
          </a:r>
          <a:r>
            <a:rPr lang="en-US" sz="1500" b="1" baseline="0">
              <a:solidFill>
                <a:sysClr val="windowText" lastClr="000000"/>
              </a:solidFill>
              <a:latin typeface="+mn-lt"/>
            </a:rPr>
            <a:t> lượng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: đạt </a:t>
          </a:r>
          <a:r>
            <a:rPr lang="vi-VN" sz="1800" b="1" baseline="0">
              <a:solidFill>
                <a:sysClr val="windowText" lastClr="000000"/>
              </a:solidFill>
              <a:latin typeface="+mn-lt"/>
            </a:rPr>
            <a:t>5.73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/ </a:t>
          </a:r>
          <a:r>
            <a:rPr lang="vi-VN" sz="1500" baseline="0">
              <a:solidFill>
                <a:sysClr val="windowText" lastClr="000000"/>
              </a:solidFill>
              <a:latin typeface="+mn-lt"/>
            </a:rPr>
            <a:t>4.67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 ngàn tấn </a:t>
          </a:r>
          <a:r>
            <a:rPr lang="en-US" sz="1500" i="1" baseline="0">
              <a:solidFill>
                <a:sysClr val="windowText" lastClr="000000"/>
              </a:solidFill>
              <a:latin typeface="+mn-lt"/>
            </a:rPr>
            <a:t>( </a:t>
          </a:r>
          <a:r>
            <a:rPr lang="vi-VN" sz="1500" i="1" baseline="0">
              <a:solidFill>
                <a:sysClr val="windowText" lastClr="000000"/>
              </a:solidFill>
              <a:latin typeface="+mn-lt"/>
            </a:rPr>
            <a:t>+1.07</a:t>
          </a:r>
          <a:r>
            <a:rPr lang="en-US" sz="1500" i="1" baseline="0">
              <a:solidFill>
                <a:sysClr val="windowText" lastClr="000000"/>
              </a:solidFill>
              <a:latin typeface="+mn-lt"/>
            </a:rPr>
            <a:t>  ~  </a:t>
          </a:r>
          <a:r>
            <a:rPr lang="vi-VN" sz="1500" i="1" baseline="0">
              <a:solidFill>
                <a:sysClr val="windowText" lastClr="000000"/>
              </a:solidFill>
              <a:latin typeface="+mn-lt"/>
            </a:rPr>
            <a:t>+22.9</a:t>
          </a:r>
          <a:r>
            <a:rPr lang="en-US" sz="1500" i="1" baseline="0">
              <a:solidFill>
                <a:sysClr val="windowText" lastClr="000000"/>
              </a:solidFill>
              <a:latin typeface="+mn-lt"/>
            </a:rPr>
            <a:t>%).</a:t>
          </a:r>
        </a:p>
      </cdr:txBody>
    </cdr:sp>
  </cdr:relSizeAnchor>
  <cdr:relSizeAnchor xmlns:cdr="http://schemas.openxmlformats.org/drawingml/2006/chartDrawing">
    <cdr:from>
      <cdr:x>0.5704</cdr:x>
      <cdr:y>0</cdr:y>
    </cdr:from>
    <cdr:to>
      <cdr:x>0.70625</cdr:x>
      <cdr:y>0.44178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43ED2DC5-E12B-C7C5-5725-C378978E6DB3}"/>
            </a:ext>
          </a:extLst>
        </cdr:cNvPr>
        <cdr:cNvSpPr/>
      </cdr:nvSpPr>
      <cdr:spPr>
        <a:xfrm xmlns:a="http://schemas.openxmlformats.org/drawingml/2006/main">
          <a:off x="5551742" y="0"/>
          <a:ext cx="1322248" cy="106065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vi-VN" sz="1200">
              <a:solidFill>
                <a:sysClr val="windowText" lastClr="000000"/>
              </a:solidFill>
              <a:latin typeface="Aptos Narrow" panose="020B0004020202020204" pitchFamily="34" charset="0"/>
            </a:rPr>
            <a:t>Gi</a:t>
          </a:r>
          <a:r>
            <a:rPr lang="vi-VN" sz="12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ảm</a:t>
          </a:r>
          <a:r>
            <a:rPr lang="en-US" sz="12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từ</a:t>
          </a:r>
        </a:p>
        <a:p xmlns:a="http://schemas.openxmlformats.org/drawingml/2006/main">
          <a:pPr algn="ctr"/>
          <a:r>
            <a:rPr lang="en-US" sz="12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2</a:t>
          </a:r>
          <a:r>
            <a:rPr lang="vi-VN" sz="12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6,5</a:t>
          </a:r>
          <a:r>
            <a:rPr lang="en-US" sz="12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00</a:t>
          </a:r>
        </a:p>
        <a:p xmlns:a="http://schemas.openxmlformats.org/drawingml/2006/main">
          <a:pPr algn="ctr"/>
          <a:r>
            <a:rPr lang="en-US" sz="1200" baseline="0">
              <a:solidFill>
                <a:sysClr val="windowText" lastClr="000000"/>
              </a:solidFill>
              <a:latin typeface="Aptos Narrow" panose="020B0004020202020204" pitchFamily="34" charset="0"/>
              <a:sym typeface="Wingdings 3" panose="05040102010807070707" pitchFamily="18" charset="2"/>
            </a:rPr>
            <a:t></a:t>
          </a:r>
          <a:r>
            <a:rPr lang="en-US" sz="13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  <a:r>
            <a:rPr lang="en-US" sz="13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26,</a:t>
          </a:r>
          <a:r>
            <a:rPr lang="vi-VN" sz="13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209</a:t>
          </a:r>
          <a:endParaRPr lang="en-US" sz="1300" b="1" baseline="0">
            <a:solidFill>
              <a:sysClr val="windowText" lastClr="000000"/>
            </a:solidFill>
            <a:latin typeface="Aptos Narrow" panose="020B0004020202020204" pitchFamily="34" charset="0"/>
          </a:endParaRPr>
        </a:p>
        <a:p xmlns:a="http://schemas.openxmlformats.org/drawingml/2006/main">
          <a:pPr algn="ctr"/>
          <a:r>
            <a:rPr lang="en-US" sz="1200" i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(</a:t>
          </a:r>
          <a:r>
            <a:rPr lang="vi-VN" sz="1200" i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-291</a:t>
          </a:r>
          <a:r>
            <a:rPr lang="en-US" sz="1200" i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~ </a:t>
          </a:r>
        </a:p>
        <a:p xmlns:a="http://schemas.openxmlformats.org/drawingml/2006/main">
          <a:pPr algn="ctr"/>
          <a:r>
            <a:rPr lang="vi-VN" sz="1200" i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-1.1</a:t>
          </a:r>
          <a:r>
            <a:rPr lang="en-US" sz="1200" i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%)</a:t>
          </a:r>
        </a:p>
      </cdr:txBody>
    </cdr:sp>
  </cdr:relSizeAnchor>
  <cdr:relSizeAnchor xmlns:cdr="http://schemas.openxmlformats.org/drawingml/2006/chartDrawing">
    <cdr:from>
      <cdr:x>0.69439</cdr:x>
      <cdr:y>0.50217</cdr:y>
    </cdr:from>
    <cdr:to>
      <cdr:x>0.86969</cdr:x>
      <cdr:y>0.80735</cdr:y>
    </cdr:to>
    <cdr:sp macro="" textlink="">
      <cdr:nvSpPr>
        <cdr:cNvPr id="5" name="Speech Bubble: Rectangle with Corners Rounded 4">
          <a:extLst xmlns:a="http://schemas.openxmlformats.org/drawingml/2006/main">
            <a:ext uri="{FF2B5EF4-FFF2-40B4-BE49-F238E27FC236}">
              <a16:creationId xmlns:a16="http://schemas.microsoft.com/office/drawing/2014/main" id="{9807E970-0E37-F977-1B87-AB72D9FF011E}"/>
            </a:ext>
          </a:extLst>
        </cdr:cNvPr>
        <cdr:cNvSpPr/>
      </cdr:nvSpPr>
      <cdr:spPr>
        <a:xfrm xmlns:a="http://schemas.openxmlformats.org/drawingml/2006/main">
          <a:off x="6758602" y="1205640"/>
          <a:ext cx="1706221" cy="732695"/>
        </a:xfrm>
        <a:prstGeom xmlns:a="http://schemas.openxmlformats.org/drawingml/2006/main" prst="wedgeRoundRectCallout">
          <a:avLst>
            <a:gd name="adj1" fmla="val 3156"/>
            <a:gd name="adj2" fmla="val -57925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 baseline="0">
              <a:solidFill>
                <a:sysClr val="windowText" lastClr="000000"/>
              </a:solidFill>
              <a:latin typeface="+mn-lt"/>
            </a:rPr>
            <a:t>Doanh thu dây đai, phó sản đạt: 7.7 / </a:t>
          </a:r>
          <a:r>
            <a:rPr lang="en-US" sz="1000" b="0" baseline="0">
              <a:solidFill>
                <a:sysClr val="windowText" lastClr="000000"/>
              </a:solidFill>
              <a:latin typeface="+mn-lt"/>
            </a:rPr>
            <a:t>0.15 tỷ</a:t>
          </a:r>
          <a:r>
            <a:rPr lang="en-US" sz="1000" b="1" baseline="0">
              <a:solidFill>
                <a:sysClr val="windowText" lastClr="000000"/>
              </a:solidFill>
              <a:latin typeface="+mn-lt"/>
            </a:rPr>
            <a:t>: + 7.6 tỷ</a:t>
          </a:r>
        </a:p>
        <a:p xmlns:a="http://schemas.openxmlformats.org/drawingml/2006/main">
          <a:pPr algn="l"/>
          <a:endParaRPr lang="en-US" sz="1000" b="1" baseline="0">
            <a:solidFill>
              <a:sysClr val="windowText" lastClr="000000"/>
            </a:solidFill>
            <a:latin typeface="+mn-lt"/>
          </a:endParaRPr>
        </a:p>
        <a:p xmlns:a="http://schemas.openxmlformats.org/drawingml/2006/main">
          <a:pPr algn="l"/>
          <a:r>
            <a:rPr lang="en-US" sz="1000" b="1" baseline="0">
              <a:solidFill>
                <a:sysClr val="windowText" lastClr="000000"/>
              </a:solidFill>
              <a:latin typeface="+mn-lt"/>
            </a:rPr>
            <a:t>- Tài trợ đạt 0.2</a:t>
          </a:r>
          <a:r>
            <a:rPr lang="en-US" sz="1000" b="0" baseline="0">
              <a:solidFill>
                <a:sysClr val="windowText" lastClr="000000"/>
              </a:solidFill>
              <a:latin typeface="+mn-lt"/>
            </a:rPr>
            <a:t>/- tỷ: </a:t>
          </a:r>
          <a:r>
            <a:rPr lang="en-US" sz="1000" b="1" baseline="0">
              <a:solidFill>
                <a:sysClr val="windowText" lastClr="000000"/>
              </a:solidFill>
              <a:latin typeface="+mn-lt"/>
            </a:rPr>
            <a:t>+0.2</a:t>
          </a:r>
          <a:r>
            <a:rPr lang="en-US" sz="1000" b="0" baseline="0">
              <a:solidFill>
                <a:sysClr val="windowText" lastClr="000000"/>
              </a:solidFill>
              <a:latin typeface="+mn-lt"/>
            </a:rPr>
            <a:t> tỷ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102</xdr:row>
      <xdr:rowOff>27230</xdr:rowOff>
    </xdr:from>
    <xdr:ext cx="8949757" cy="44844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B62885-022F-43A5-90D7-F0031CE8B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12</xdr:col>
      <xdr:colOff>0</xdr:colOff>
      <xdr:row>114</xdr:row>
      <xdr:rowOff>0</xdr:rowOff>
    </xdr:from>
    <xdr:to>
      <xdr:col>13</xdr:col>
      <xdr:colOff>685283</xdr:colOff>
      <xdr:row>120</xdr:row>
      <xdr:rowOff>58557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449CE4-DC7D-1060-B290-211719490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70835" y="21163722"/>
          <a:ext cx="2229161" cy="1171739"/>
        </a:xfrm>
        <a:prstGeom prst="rect">
          <a:avLst/>
        </a:prstGeom>
      </xdr:spPr>
    </xdr:pic>
    <xdr:clientData/>
  </xdr:twoCellAnchor>
  <xdr:twoCellAnchor>
    <xdr:from>
      <xdr:col>12</xdr:col>
      <xdr:colOff>1285461</xdr:colOff>
      <xdr:row>82</xdr:row>
      <xdr:rowOff>6626</xdr:rowOff>
    </xdr:from>
    <xdr:to>
      <xdr:col>24</xdr:col>
      <xdr:colOff>429420</xdr:colOff>
      <xdr:row>108</xdr:row>
      <xdr:rowOff>125896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6D93AD-06FF-42B5-8D1D-4C0E46DD4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0.90819</cdr:x>
      <cdr:y>0.38728</cdr:y>
    </cdr:from>
    <cdr:to>
      <cdr:x>1</cdr:x>
      <cdr:y>0.52422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78CD73D-67CD-8CDB-D617-6657A87D5BD0}"/>
            </a:ext>
          </a:extLst>
        </cdr:cNvPr>
        <cdr:cNvSpPr txBox="1"/>
      </cdr:nvSpPr>
      <cdr:spPr>
        <a:xfrm xmlns:a="http://schemas.openxmlformats.org/drawingml/2006/main">
          <a:off x="8128075" y="1736725"/>
          <a:ext cx="821682" cy="614090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3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- 24.4Tỷ</a:t>
          </a:r>
        </a:p>
        <a:p xmlns:a="http://schemas.openxmlformats.org/drawingml/2006/main">
          <a:pPr algn="ctr"/>
          <a:r>
            <a:rPr lang="en-US" sz="10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0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-69%)</a:t>
          </a:r>
          <a:endParaRPr lang="en-US" sz="10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0.27187</cdr:y>
    </cdr:from>
    <cdr:to>
      <cdr:x>0.65985</cdr:x>
      <cdr:y>0.97068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7FD08CFA-F8DE-228F-AC90-1FFB5EAB3170}"/>
            </a:ext>
          </a:extLst>
        </cdr:cNvPr>
        <cdr:cNvSpPr/>
      </cdr:nvSpPr>
      <cdr:spPr>
        <a:xfrm xmlns:a="http://schemas.openxmlformats.org/drawingml/2006/main">
          <a:off x="0" y="1219178"/>
          <a:ext cx="5905497" cy="3133769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0.90047</cdr:x>
      <cdr:y>0.07038</cdr:y>
    </cdr:from>
    <cdr:to>
      <cdr:x>1</cdr:x>
      <cdr:y>0.27566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03E03F-E9E1-CD16-E4DF-19E4B636AB28}"/>
            </a:ext>
          </a:extLst>
        </cdr:cNvPr>
        <cdr:cNvSpPr txBox="1"/>
      </cdr:nvSpPr>
      <cdr:spPr>
        <a:xfrm xmlns:a="http://schemas.openxmlformats.org/drawingml/2006/main">
          <a:off x="8399417" y="31350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0.91</cdr:x>
      <cdr:y>0.45658</cdr:y>
    </cdr:from>
    <cdr:to>
      <cdr:x>0.99673</cdr:x>
      <cdr:y>0.58384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54933BE-626A-F767-957B-65BF4B4A0764}"/>
            </a:ext>
          </a:extLst>
        </cdr:cNvPr>
        <cdr:cNvSpPr txBox="1"/>
      </cdr:nvSpPr>
      <cdr:spPr>
        <a:xfrm xmlns:a="http://schemas.openxmlformats.org/drawingml/2006/main">
          <a:off x="9133891" y="2143617"/>
          <a:ext cx="870529" cy="597479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5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- 13.9Tỷ</a:t>
          </a:r>
        </a:p>
        <a:p xmlns:a="http://schemas.openxmlformats.org/drawingml/2006/main">
          <a:pPr algn="ctr"/>
          <a:r>
            <a:rPr lang="en-US" sz="10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0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-65.1%)</a:t>
          </a:r>
          <a:endParaRPr lang="en-US" sz="10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0.71634</cdr:x>
      <cdr:y>0.5708</cdr:y>
    </cdr:from>
    <cdr:to>
      <cdr:x>0.78453</cdr:x>
      <cdr:y>0.7948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9E6D3E60-96E5-BD89-B042-3769C3CBD854}"/>
            </a:ext>
          </a:extLst>
        </cdr:cNvPr>
        <cdr:cNvSpPr/>
      </cdr:nvSpPr>
      <cdr:spPr>
        <a:xfrm xmlns:a="http://schemas.openxmlformats.org/drawingml/2006/main">
          <a:off x="7190092" y="2679851"/>
          <a:ext cx="684440" cy="1051667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Giảm từ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26,500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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26,209</a:t>
          </a:r>
          <a:endParaRPr lang="en-US" sz="7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700" i="1" baseline="0">
              <a:solidFill>
                <a:sysClr val="windowText" lastClr="000000"/>
              </a:solidFill>
              <a:latin typeface="Aptos Narrow (Body)"/>
            </a:rPr>
            <a:t>(-291 ~ </a:t>
          </a:r>
        </a:p>
        <a:p xmlns:a="http://schemas.openxmlformats.org/drawingml/2006/main">
          <a:pPr algn="ctr"/>
          <a:r>
            <a:rPr lang="en-US" sz="700" i="1" baseline="0">
              <a:solidFill>
                <a:sysClr val="windowText" lastClr="000000"/>
              </a:solidFill>
              <a:latin typeface="Aptos Narrow (Body)"/>
            </a:rPr>
            <a:t>-1.1%)</a:t>
          </a:r>
        </a:p>
      </cdr:txBody>
    </cdr:sp>
  </cdr:relSizeAnchor>
  <cdr:relSizeAnchor xmlns:cdr="http://schemas.openxmlformats.org/drawingml/2006/chartDrawing">
    <cdr:from>
      <cdr:x>0.08184</cdr:x>
      <cdr:y>0.72374</cdr:y>
    </cdr:from>
    <cdr:to>
      <cdr:x>0.20931</cdr:x>
      <cdr:y>0.8645</cdr:y>
    </cdr:to>
    <cdr:sp macro="" textlink="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E3532E6D-2F4C-0984-2AF0-7C9E7C9DB10C}"/>
            </a:ext>
          </a:extLst>
        </cdr:cNvPr>
        <cdr:cNvSpPr/>
      </cdr:nvSpPr>
      <cdr:spPr>
        <a:xfrm xmlns:a="http://schemas.openxmlformats.org/drawingml/2006/main">
          <a:off x="821419" y="3397917"/>
          <a:ext cx="1279448" cy="66086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rPET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12.8</a:t>
          </a:r>
          <a:r>
            <a:rPr lang="vi-VN" sz="1300" b="1" baseline="0">
              <a:solidFill>
                <a:srgbClr val="C00000"/>
              </a:solidFill>
              <a:latin typeface="Aptos Narrow (Body)"/>
            </a:rPr>
            <a:t>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/ 14.4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C00000"/>
              </a:solidFill>
              <a:latin typeface="Aptos Narrow (Body)"/>
            </a:rPr>
            <a:t>(-1.5 tỷ ~ -10.8%)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0.22203</cdr:x>
      <cdr:y>0.72374</cdr:y>
    </cdr:from>
    <cdr:to>
      <cdr:x>0.34933</cdr:x>
      <cdr:y>0.8645</cdr:y>
    </cdr:to>
    <cdr:sp macro="" textlink="">
      <cdr:nvSpPr>
        <cdr:cNvPr id="8" name="Rectangle: Rounded Corners 7">
          <a:extLst xmlns:a="http://schemas.openxmlformats.org/drawingml/2006/main">
            <a:ext uri="{FF2B5EF4-FFF2-40B4-BE49-F238E27FC236}">
              <a16:creationId xmlns:a16="http://schemas.microsoft.com/office/drawing/2014/main" id="{57C60D9D-DFC3-7F89-9E19-A794255C242C}"/>
            </a:ext>
          </a:extLst>
        </cdr:cNvPr>
        <cdr:cNvSpPr/>
      </cdr:nvSpPr>
      <cdr:spPr>
        <a:xfrm xmlns:a="http://schemas.openxmlformats.org/drawingml/2006/main">
          <a:off x="2228547" y="3397917"/>
          <a:ext cx="1277742" cy="66086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rHD thổi </a:t>
          </a:r>
        </a:p>
        <a:p xmlns:a="http://schemas.openxmlformats.org/drawingml/2006/main">
          <a:pPr algn="ctr"/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2.4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/ 4.4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C00000"/>
              </a:solidFill>
              <a:latin typeface="Aptos Narrow (Body)"/>
            </a:rPr>
            <a:t>(-2.0 tỷ ~ -45.6%)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0.43669</cdr:x>
      <cdr:y>0.72374</cdr:y>
    </cdr:from>
    <cdr:to>
      <cdr:x>0.56585</cdr:x>
      <cdr:y>0.8645</cdr:y>
    </cdr:to>
    <cdr:sp macro="" textlink="">
      <cdr:nvSpPr>
        <cdr:cNvPr id="10" name="Rectangle: Rounded Corners 9">
          <a:extLst xmlns:a="http://schemas.openxmlformats.org/drawingml/2006/main">
            <a:ext uri="{FF2B5EF4-FFF2-40B4-BE49-F238E27FC236}">
              <a16:creationId xmlns:a16="http://schemas.microsoft.com/office/drawing/2014/main" id="{25A1D0E2-4294-2F89-3102-33F860F74B18}"/>
            </a:ext>
          </a:extLst>
        </cdr:cNvPr>
        <cdr:cNvSpPr/>
      </cdr:nvSpPr>
      <cdr:spPr>
        <a:xfrm xmlns:a="http://schemas.openxmlformats.org/drawingml/2006/main">
          <a:off x="4383157" y="3397917"/>
          <a:ext cx="1296411" cy="66086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chemeClr val="tx1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chemeClr val="tx1"/>
              </a:solidFill>
              <a:latin typeface="Aptos Narrow (Body)"/>
            </a:rPr>
            <a:t> rPP</a:t>
          </a:r>
        </a:p>
        <a:p xmlns:a="http://schemas.openxmlformats.org/drawingml/2006/main">
          <a:pPr algn="ctr"/>
          <a:r>
            <a:rPr lang="en-US" sz="1100" baseline="0">
              <a:solidFill>
                <a:schemeClr val="tx1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chemeClr val="tx1"/>
              </a:solidFill>
              <a:latin typeface="Aptos Narrow (Body)"/>
            </a:rPr>
            <a:t>-0.08 </a:t>
          </a:r>
          <a:r>
            <a:rPr lang="en-US" sz="1100" baseline="0">
              <a:solidFill>
                <a:schemeClr val="tx1"/>
              </a:solidFill>
              <a:latin typeface="Aptos Narrow (Body)"/>
            </a:rPr>
            <a:t>/ -</a:t>
          </a:r>
          <a:r>
            <a:rPr lang="vi-VN" sz="1100" baseline="0">
              <a:solidFill>
                <a:schemeClr val="tx1"/>
              </a:solidFill>
              <a:latin typeface="Aptos Narrow (Body)"/>
            </a:rPr>
            <a:t>0.</a:t>
          </a:r>
          <a:r>
            <a:rPr lang="en-US" sz="1100" baseline="0">
              <a:solidFill>
                <a:schemeClr val="tx1"/>
              </a:solidFill>
              <a:latin typeface="Aptos Narrow (Body)"/>
            </a:rPr>
            <a:t>3 tỷ</a:t>
          </a:r>
        </a:p>
        <a:p xmlns:a="http://schemas.openxmlformats.org/drawingml/2006/main">
          <a:pPr algn="ctr"/>
          <a:r>
            <a:rPr lang="en-US" sz="900" i="1" baseline="0">
              <a:solidFill>
                <a:schemeClr val="tx1"/>
              </a:solidFill>
              <a:latin typeface="Aptos Narrow (Body)"/>
            </a:rPr>
            <a:t>(+0.23 tỷ)</a:t>
          </a:r>
        </a:p>
      </cdr:txBody>
    </cdr:sp>
  </cdr:relSizeAnchor>
  <cdr:relSizeAnchor xmlns:cdr="http://schemas.openxmlformats.org/drawingml/2006/chartDrawing">
    <cdr:from>
      <cdr:x>0.57803</cdr:x>
      <cdr:y>0.72431</cdr:y>
    </cdr:from>
    <cdr:to>
      <cdr:x>0.70532</cdr:x>
      <cdr:y>0.8645</cdr:y>
    </cdr:to>
    <cdr:sp macro="" textlink="">
      <cdr:nvSpPr>
        <cdr:cNvPr id="16" name="Rectangle: Rounded Corners 15">
          <a:extLst xmlns:a="http://schemas.openxmlformats.org/drawingml/2006/main">
            <a:ext uri="{FF2B5EF4-FFF2-40B4-BE49-F238E27FC236}">
              <a16:creationId xmlns:a16="http://schemas.microsoft.com/office/drawing/2014/main" id="{752729F3-CCAE-F822-42F0-AEF1409700A7}"/>
            </a:ext>
          </a:extLst>
        </cdr:cNvPr>
        <cdr:cNvSpPr/>
      </cdr:nvSpPr>
      <cdr:spPr>
        <a:xfrm xmlns:a="http://schemas.openxmlformats.org/drawingml/2006/main">
          <a:off x="5801829" y="3400593"/>
          <a:ext cx="1277641" cy="65818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</a:t>
          </a:r>
          <a:r>
            <a:rPr lang="vi-VN" sz="1100" b="1" baseline="0">
              <a:solidFill>
                <a:srgbClr val="C00000"/>
              </a:solidFill>
              <a:latin typeface="Aptos Narrow (Body)"/>
            </a:rPr>
            <a:t>Xơ sợi</a:t>
          </a:r>
          <a:endParaRPr lang="en-US" sz="1100" b="1" baseline="0">
            <a:solidFill>
              <a:srgbClr val="C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-4.2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/ -0.8 tỷ</a:t>
          </a:r>
        </a:p>
        <a:p xmlns:a="http://schemas.openxmlformats.org/drawingml/2006/main">
          <a:pPr algn="ctr"/>
          <a:r>
            <a:rPr lang="en-US" sz="1100" baseline="0">
              <a:solidFill>
                <a:srgbClr val="C00000"/>
              </a:solidFill>
              <a:latin typeface="Aptos Narrow (Body)"/>
            </a:rPr>
            <a:t>(-</a:t>
          </a:r>
          <a:r>
            <a:rPr lang="en-US" sz="900" i="1" baseline="0">
              <a:solidFill>
                <a:srgbClr val="C00000"/>
              </a:solidFill>
              <a:latin typeface="Aptos Narrow (Body)"/>
            </a:rPr>
            <a:t>3.3 tỷ)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0.22206</cdr:x>
      <cdr:y>0.44434</cdr:y>
    </cdr:from>
    <cdr:to>
      <cdr:x>0.35325</cdr:x>
      <cdr:y>0.70922</cdr:y>
    </cdr:to>
    <cdr:sp macro="" textlink="">
      <cdr:nvSpPr>
        <cdr:cNvPr id="11" name="Rectangle: Rounded Corners 10">
          <a:extLst xmlns:a="http://schemas.openxmlformats.org/drawingml/2006/main">
            <a:ext uri="{FF2B5EF4-FFF2-40B4-BE49-F238E27FC236}">
              <a16:creationId xmlns:a16="http://schemas.microsoft.com/office/drawing/2014/main" id="{E2858B31-9008-AB8C-0093-A0E652627B3B}"/>
            </a:ext>
          </a:extLst>
        </cdr:cNvPr>
        <cdr:cNvSpPr/>
      </cdr:nvSpPr>
      <cdr:spPr>
        <a:xfrm xmlns:a="http://schemas.openxmlformats.org/drawingml/2006/main">
          <a:off x="2228843" y="2086156"/>
          <a:ext cx="1316787" cy="1243597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0.56</a:t>
          </a:r>
          <a:r>
            <a:rPr lang="en-US" sz="11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/ 0.64 ngàn tấn</a:t>
          </a: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(-0.07 ~ -11.6%).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LG đơn vị 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đạt</a:t>
          </a:r>
        </a:p>
        <a:p xmlns:a="http://schemas.openxmlformats.org/drawingml/2006/main">
          <a:pPr algn="l"/>
          <a:r>
            <a:rPr lang="en-US" sz="1100" b="1" i="0" baseline="0">
              <a:solidFill>
                <a:sysClr val="windowText" lastClr="000000"/>
              </a:solidFill>
              <a:latin typeface="Aptos Narrow (Body)"/>
            </a:rPr>
            <a:t>$161/tấn</a:t>
          </a: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(KH là $262/tấn)</a:t>
          </a:r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0.09378</cdr:x>
      <cdr:y>0.25501</cdr:y>
    </cdr:from>
    <cdr:to>
      <cdr:x>0.28321</cdr:x>
      <cdr:y>0.37119</cdr:y>
    </cdr:to>
    <cdr:sp macro="" textlink="">
      <cdr:nvSpPr>
        <cdr:cNvPr id="21" name="Speech Bubble: Rectangle with Corners Rounded 20">
          <a:extLst xmlns:a="http://schemas.openxmlformats.org/drawingml/2006/main">
            <a:ext uri="{FF2B5EF4-FFF2-40B4-BE49-F238E27FC236}">
              <a16:creationId xmlns:a16="http://schemas.microsoft.com/office/drawing/2014/main" id="{653A09C5-2448-3BA5-1A91-6C66478BA92E}"/>
            </a:ext>
          </a:extLst>
        </cdr:cNvPr>
        <cdr:cNvSpPr/>
      </cdr:nvSpPr>
      <cdr:spPr>
        <a:xfrm xmlns:a="http://schemas.openxmlformats.org/drawingml/2006/main">
          <a:off x="941273" y="1197264"/>
          <a:ext cx="1901355" cy="545457"/>
        </a:xfrm>
        <a:prstGeom xmlns:a="http://schemas.openxmlformats.org/drawingml/2006/main" prst="wedgeRoundRectCallout">
          <a:avLst>
            <a:gd name="adj1" fmla="val 2849"/>
            <a:gd name="adj2" fmla="val -65304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iá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bán</a:t>
          </a:r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 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0.8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</a:p>
        <a:p xmlns:a="http://schemas.openxmlformats.org/drawingml/2006/main">
          <a:pPr algn="l"/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Giá vốn</a:t>
          </a:r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3.2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. </a:t>
          </a:r>
          <a:endParaRPr lang="en-US" sz="1000" baseline="0">
            <a:solidFill>
              <a:sysClr val="windowText" lastClr="000000"/>
            </a:solidFill>
            <a:latin typeface="Aptos Narrow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0.07834</cdr:x>
      <cdr:y>0.44397</cdr:y>
    </cdr:from>
    <cdr:to>
      <cdr:x>0.20925</cdr:x>
      <cdr:y>0.70922</cdr:y>
    </cdr:to>
    <cdr:sp macro="" textlink="">
      <cdr:nvSpPr>
        <cdr:cNvPr id="6" name="Rectangle: Rounded Corners 5">
          <a:extLst xmlns:a="http://schemas.openxmlformats.org/drawingml/2006/main">
            <a:ext uri="{FF2B5EF4-FFF2-40B4-BE49-F238E27FC236}">
              <a16:creationId xmlns:a16="http://schemas.microsoft.com/office/drawing/2014/main" id="{6B76A25C-21E0-46F4-ED15-CFD157785426}"/>
            </a:ext>
          </a:extLst>
        </cdr:cNvPr>
        <cdr:cNvSpPr/>
      </cdr:nvSpPr>
      <cdr:spPr>
        <a:xfrm xmlns:a="http://schemas.openxmlformats.org/drawingml/2006/main">
          <a:off x="786284" y="2084420"/>
          <a:ext cx="1313976" cy="1245333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chemeClr val="tx1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chemeClr val="tx1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chemeClr val="tx1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chemeClr val="tx1"/>
              </a:solidFill>
              <a:latin typeface="Aptos Narrow (Body)"/>
            </a:rPr>
            <a:t>4.56 </a:t>
          </a:r>
          <a:r>
            <a:rPr lang="en-US" sz="1000" baseline="0">
              <a:solidFill>
                <a:schemeClr val="tx1"/>
              </a:solidFill>
              <a:latin typeface="Aptos Narrow (Body)"/>
            </a:rPr>
            <a:t>/ 3.87 ng. tấn</a:t>
          </a:r>
        </a:p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(+0.69  ~ +17.8%)</a:t>
          </a:r>
          <a:endParaRPr lang="en-US" sz="1000">
            <a:solidFill>
              <a:schemeClr val="tx1"/>
            </a:solidFill>
            <a:effectLst/>
          </a:endParaRPr>
        </a:p>
        <a:p xmlns:a="http://schemas.openxmlformats.org/drawingml/2006/main">
          <a:pPr algn="l"/>
          <a:endParaRPr lang="en-US" sz="1000" i="1" baseline="0">
            <a:solidFill>
              <a:schemeClr val="tx1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chemeClr val="tx1"/>
              </a:solidFill>
              <a:latin typeface="Aptos Narrow (Body)"/>
            </a:rPr>
            <a:t>LG đơn vị </a:t>
          </a:r>
          <a:r>
            <a:rPr lang="en-US" sz="1000" b="0" i="0" baseline="0">
              <a:solidFill>
                <a:schemeClr val="tx1"/>
              </a:solidFill>
              <a:latin typeface="Aptos Narrow (Body)"/>
            </a:rPr>
            <a:t>đạt </a:t>
          </a:r>
          <a:r>
            <a:rPr lang="en-US" sz="1100" b="1" i="0" baseline="0">
              <a:solidFill>
                <a:schemeClr val="tx1"/>
              </a:solidFill>
              <a:latin typeface="Aptos Narrow (Body)"/>
            </a:rPr>
            <a:t>$106/tấn </a:t>
          </a:r>
          <a:r>
            <a:rPr lang="en-US" sz="1000" b="0" i="0" baseline="0">
              <a:solidFill>
                <a:schemeClr val="tx1"/>
              </a:solidFill>
              <a:latin typeface="Aptos Narrow (Body)"/>
            </a:rPr>
            <a:t>(KH là $140/tấn ~ -34%)</a:t>
          </a:r>
          <a:endParaRPr lang="en-US" sz="1000" i="1" baseline="0">
            <a:solidFill>
              <a:schemeClr val="tx1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0.67665</cdr:x>
      <cdr:y>0.23086</cdr:y>
    </cdr:from>
    <cdr:to>
      <cdr:x>0.94401</cdr:x>
      <cdr:y>0.42368</cdr:y>
    </cdr:to>
    <cdr:sp macro="" textlink="">
      <cdr:nvSpPr>
        <cdr:cNvPr id="5" name="Speech Bubble: Rectangle with Corners Rounded 4">
          <a:extLst xmlns:a="http://schemas.openxmlformats.org/drawingml/2006/main">
            <a:ext uri="{FF2B5EF4-FFF2-40B4-BE49-F238E27FC236}">
              <a16:creationId xmlns:a16="http://schemas.microsoft.com/office/drawing/2014/main" id="{AEB20BFC-A160-26BF-4A08-AE61263E6869}"/>
            </a:ext>
          </a:extLst>
        </cdr:cNvPr>
        <cdr:cNvSpPr/>
      </cdr:nvSpPr>
      <cdr:spPr>
        <a:xfrm xmlns:a="http://schemas.openxmlformats.org/drawingml/2006/main">
          <a:off x="6791741" y="1083871"/>
          <a:ext cx="2683566" cy="905279"/>
        </a:xfrm>
        <a:prstGeom xmlns:a="http://schemas.openxmlformats.org/drawingml/2006/main" prst="wedgeRoundRectCallout">
          <a:avLst>
            <a:gd name="adj1" fmla="val 4853"/>
            <a:gd name="adj2" fmla="val 92307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- Dây đai PET </a:t>
          </a:r>
          <a:r>
            <a:rPr lang="en-US" sz="1100" b="0" baseline="0">
              <a:solidFill>
                <a:sysClr val="windowText" lastClr="000000"/>
              </a:solidFill>
              <a:latin typeface="Aptos Narrow (Body)"/>
            </a:rPr>
            <a:t>lỗ: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-0.8 tỷ</a:t>
          </a:r>
        </a:p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- Bụi tank </a:t>
          </a:r>
          <a:r>
            <a:rPr lang="en-US" sz="1100" b="0" baseline="0">
              <a:solidFill>
                <a:sysClr val="windowText" lastClr="000000"/>
              </a:solidFill>
              <a:latin typeface="Aptos Narrow (Body)"/>
            </a:rPr>
            <a:t>lỗ: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-0.6 tỷ</a:t>
          </a:r>
        </a:p>
        <a:p xmlns:a="http://schemas.openxmlformats.org/drawingml/2006/main">
          <a:pPr algn="l"/>
          <a:r>
            <a:rPr lang="vi-VN" sz="1100" b="1" baseline="0">
              <a:solidFill>
                <a:sysClr val="windowText" lastClr="000000"/>
              </a:solidFill>
              <a:latin typeface="Aptos Narrow (Body)"/>
            </a:rPr>
            <a:t>-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Điều chỉnh tiền thuê xưởng, thuê máy </a:t>
          </a:r>
          <a:r>
            <a:rPr lang="en-US" sz="1100" b="0" baseline="0">
              <a:solidFill>
                <a:sysClr val="windowText" lastClr="000000"/>
              </a:solidFill>
              <a:latin typeface="Aptos Narrow (Body)"/>
            </a:rPr>
            <a:t>theo kiểm toán: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-1.1 tỷ</a:t>
          </a:r>
        </a:p>
      </cdr:txBody>
    </cdr:sp>
  </cdr:relSizeAnchor>
  <cdr:relSizeAnchor xmlns:cdr="http://schemas.openxmlformats.org/drawingml/2006/chartDrawing">
    <cdr:from>
      <cdr:x>0.57768</cdr:x>
      <cdr:y>0.59078</cdr:y>
    </cdr:from>
    <cdr:to>
      <cdr:x>0.70238</cdr:x>
      <cdr:y>0.70922</cdr:y>
    </cdr:to>
    <cdr:sp macro="" textlink="">
      <cdr:nvSpPr>
        <cdr:cNvPr id="17" name="Rectangle: Rounded Corners 16">
          <a:extLst xmlns:a="http://schemas.openxmlformats.org/drawingml/2006/main">
            <a:ext uri="{FF2B5EF4-FFF2-40B4-BE49-F238E27FC236}">
              <a16:creationId xmlns:a16="http://schemas.microsoft.com/office/drawing/2014/main" id="{427209E9-E46C-3D8A-3CC6-3E4008503131}"/>
            </a:ext>
          </a:extLst>
        </cdr:cNvPr>
        <cdr:cNvSpPr/>
      </cdr:nvSpPr>
      <cdr:spPr>
        <a:xfrm xmlns:a="http://schemas.openxmlformats.org/drawingml/2006/main">
          <a:off x="5798316" y="2773684"/>
          <a:ext cx="1251645" cy="556069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</a:rPr>
            <a:t>Sản</a:t>
          </a:r>
          <a:r>
            <a:rPr lang="en-US" sz="1000" b="1" baseline="0">
              <a:solidFill>
                <a:sysClr val="windowText" lastClr="000000"/>
              </a:solidFill>
            </a:rPr>
            <a:t> lượng</a:t>
          </a:r>
          <a:r>
            <a:rPr lang="en-US" sz="1000" baseline="0">
              <a:solidFill>
                <a:sysClr val="windowText" lastClr="000000"/>
              </a:solidFill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</a:rPr>
            <a:t>0.36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000" baseline="0">
              <a:solidFill>
                <a:sysClr val="windowText" lastClr="000000"/>
              </a:solidFill>
            </a:rPr>
            <a:t>/ 0.09 ng. tấn</a:t>
          </a: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</a:rPr>
            <a:t>(+0.28 ~ +320%)</a:t>
          </a:r>
        </a:p>
      </cdr:txBody>
    </cdr:sp>
  </cdr:relSizeAnchor>
  <cdr:relSizeAnchor xmlns:cdr="http://schemas.openxmlformats.org/drawingml/2006/chartDrawing">
    <cdr:from>
      <cdr:x>0.92535</cdr:x>
      <cdr:y>0.05231</cdr:y>
    </cdr:from>
    <cdr:to>
      <cdr:x>0.9948</cdr:x>
      <cdr:y>0.10164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FD2D692-1B9B-087C-88DE-97B54BB255D8}"/>
            </a:ext>
          </a:extLst>
        </cdr:cNvPr>
        <cdr:cNvSpPr txBox="1"/>
      </cdr:nvSpPr>
      <cdr:spPr>
        <a:xfrm xmlns:a="http://schemas.openxmlformats.org/drawingml/2006/main">
          <a:off x="9041142" y="252549"/>
          <a:ext cx="678565" cy="2381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 kern="1200"/>
            <a:t>Đvt:</a:t>
          </a:r>
          <a:r>
            <a:rPr lang="en-US" sz="900" i="1" kern="1200" baseline="0"/>
            <a:t> tỷ đồng</a:t>
          </a:r>
          <a:endParaRPr lang="en-US" sz="900" i="1" kern="1200"/>
        </a:p>
      </cdr:txBody>
    </cdr:sp>
  </cdr:relSizeAnchor>
  <cdr:relSizeAnchor xmlns:cdr="http://schemas.openxmlformats.org/drawingml/2006/chartDrawing">
    <cdr:from>
      <cdr:x>0.0052</cdr:x>
      <cdr:y>0</cdr:y>
    </cdr:from>
    <cdr:to>
      <cdr:x>0.16106</cdr:x>
      <cdr:y>0.05999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BD5D5125-E3F5-E81C-00A5-1E5E945BD905}"/>
            </a:ext>
          </a:extLst>
        </cdr:cNvPr>
        <cdr:cNvSpPr txBox="1"/>
      </cdr:nvSpPr>
      <cdr:spPr>
        <a:xfrm xmlns:a="http://schemas.openxmlformats.org/drawingml/2006/main">
          <a:off x="50800" y="0"/>
          <a:ext cx="1522849" cy="2896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</a:t>
          </a:r>
          <a:r>
            <a:rPr lang="en-US" sz="1100" i="1" kern="1200" baseline="0">
              <a:solidFill>
                <a:srgbClr val="FF33CC"/>
              </a:solidFill>
            </a:rPr>
            <a:t> Dthu</a:t>
          </a:r>
          <a:r>
            <a:rPr lang="en-US" sz="1100" i="1" kern="1200">
              <a:solidFill>
                <a:srgbClr val="FF33CC"/>
              </a:solidFill>
            </a:rPr>
            <a:t>: </a:t>
          </a:r>
          <a:r>
            <a:rPr lang="en-US" sz="1100" i="1" kern="1200" baseline="0">
              <a:solidFill>
                <a:srgbClr val="FF33CC"/>
              </a:solidFill>
            </a:rPr>
            <a:t>15.1%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0.84414</cdr:x>
      <cdr:y>0</cdr:y>
    </cdr:from>
    <cdr:to>
      <cdr:x>1</cdr:x>
      <cdr:y>0.05999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692448F1-20B2-1AC3-4D2D-60A63D1EC35E}"/>
            </a:ext>
          </a:extLst>
        </cdr:cNvPr>
        <cdr:cNvSpPr txBox="1"/>
      </cdr:nvSpPr>
      <cdr:spPr>
        <a:xfrm xmlns:a="http://schemas.openxmlformats.org/drawingml/2006/main">
          <a:off x="8247707" y="0"/>
          <a:ext cx="1522849" cy="2896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i="1" kern="1200">
              <a:solidFill>
                <a:srgbClr val="FF33CC"/>
              </a:solidFill>
            </a:rPr>
            <a:t>%Biên</a:t>
          </a:r>
          <a:r>
            <a:rPr lang="en-US" sz="1100" i="1" kern="1200" baseline="0">
              <a:solidFill>
                <a:srgbClr val="FF33CC"/>
              </a:solidFill>
            </a:rPr>
            <a:t> Dthu</a:t>
          </a:r>
          <a:r>
            <a:rPr lang="en-US" sz="1100" i="1" kern="1200">
              <a:solidFill>
                <a:srgbClr val="FF33CC"/>
              </a:solidFill>
            </a:rPr>
            <a:t>:</a:t>
          </a:r>
          <a:r>
            <a:rPr lang="en-US" sz="1100" i="1" kern="1200" baseline="0">
              <a:solidFill>
                <a:srgbClr val="FF33CC"/>
              </a:solidFill>
            </a:rPr>
            <a:t> 4.3%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0.44092</cdr:x>
      <cdr:y>0.59078</cdr:y>
    </cdr:from>
    <cdr:to>
      <cdr:x>0.56562</cdr:x>
      <cdr:y>0.70922</cdr:y>
    </cdr:to>
    <cdr:sp macro="" textlink="">
      <cdr:nvSpPr>
        <cdr:cNvPr id="19" name="Rectangle: Rounded Corners 18">
          <a:extLst xmlns:a="http://schemas.openxmlformats.org/drawingml/2006/main">
            <a:ext uri="{FF2B5EF4-FFF2-40B4-BE49-F238E27FC236}">
              <a16:creationId xmlns:a16="http://schemas.microsoft.com/office/drawing/2014/main" id="{9147FCD9-9174-2853-A7DF-C454641467F9}"/>
            </a:ext>
          </a:extLst>
        </cdr:cNvPr>
        <cdr:cNvSpPr/>
      </cdr:nvSpPr>
      <cdr:spPr>
        <a:xfrm xmlns:a="http://schemas.openxmlformats.org/drawingml/2006/main">
          <a:off x="4425623" y="2773684"/>
          <a:ext cx="1251644" cy="556069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</a:rPr>
            <a:t>Sản</a:t>
          </a:r>
          <a:r>
            <a:rPr lang="en-US" sz="1000" b="1" baseline="0">
              <a:solidFill>
                <a:sysClr val="windowText" lastClr="000000"/>
              </a:solidFill>
            </a:rPr>
            <a:t> lượng</a:t>
          </a:r>
          <a:r>
            <a:rPr lang="en-US" sz="1000" baseline="0">
              <a:solidFill>
                <a:sysClr val="windowText" lastClr="000000"/>
              </a:solidFill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</a:rPr>
            <a:t>0.02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000" baseline="0">
              <a:solidFill>
                <a:sysClr val="windowText" lastClr="000000"/>
              </a:solidFill>
            </a:rPr>
            <a:t>/ 0.07 ng. tấn</a:t>
          </a: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</a:rPr>
            <a:t>(-0.05 ~ -67%)</a:t>
          </a:r>
        </a:p>
      </cdr:txBody>
    </cdr:sp>
  </cdr:relSizeAnchor>
  <cdr:relSizeAnchor xmlns:cdr="http://schemas.openxmlformats.org/drawingml/2006/chartDrawing">
    <cdr:from>
      <cdr:x>0.35966</cdr:x>
      <cdr:y>0.1279</cdr:y>
    </cdr:from>
    <cdr:to>
      <cdr:x>0.55603</cdr:x>
      <cdr:y>0.23022</cdr:y>
    </cdr:to>
    <cdr:sp macro="" textlink="">
      <cdr:nvSpPr>
        <cdr:cNvPr id="20" name="Speech Bubble: Rectangle with Corners Rounded 19">
          <a:extLst xmlns:a="http://schemas.openxmlformats.org/drawingml/2006/main">
            <a:ext uri="{FF2B5EF4-FFF2-40B4-BE49-F238E27FC236}">
              <a16:creationId xmlns:a16="http://schemas.microsoft.com/office/drawing/2014/main" id="{34FFAF47-584F-05C3-591C-AE1AC1056E02}"/>
            </a:ext>
          </a:extLst>
        </cdr:cNvPr>
        <cdr:cNvSpPr/>
      </cdr:nvSpPr>
      <cdr:spPr>
        <a:xfrm xmlns:a="http://schemas.openxmlformats.org/drawingml/2006/main">
          <a:off x="3604296" y="584835"/>
          <a:ext cx="1967829" cy="467901"/>
        </a:xfrm>
        <a:prstGeom xmlns:a="http://schemas.openxmlformats.org/drawingml/2006/main" prst="wedgeRoundRectCallout">
          <a:avLst>
            <a:gd name="adj1" fmla="val -26942"/>
            <a:gd name="adj2" fmla="val 74298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 baseline="0">
              <a:solidFill>
                <a:sysClr val="windowText" lastClr="000000"/>
              </a:solidFill>
            </a:rPr>
            <a:t>Ngân sách không lập </a:t>
          </a:r>
          <a:r>
            <a:rPr lang="en-US" sz="1000" b="0" baseline="0">
              <a:solidFill>
                <a:sysClr val="windowText" lastClr="000000"/>
              </a:solidFill>
            </a:rPr>
            <a:t>bán nhóm này, nên đây là </a:t>
          </a:r>
          <a:r>
            <a:rPr lang="en-US" sz="1000" b="1" baseline="0">
              <a:solidFill>
                <a:sysClr val="windowText" lastClr="000000"/>
              </a:solidFill>
            </a:rPr>
            <a:t>Lãi gộp thực tế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359021</xdr:colOff>
      <xdr:row>2</xdr:row>
      <xdr:rowOff>29308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2D1C1AA-F9FC-44E4-B886-28F359BBCE02}"/>
            </a:ext>
          </a:extLst>
        </xdr:cNvPr>
        <xdr:cNvSpPr/>
      </xdr:nvSpPr>
      <xdr:spPr>
        <a:xfrm>
          <a:off x="1" y="0"/>
          <a:ext cx="2187820" cy="410308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rgbClr val="FFFF00"/>
              </a:solidFill>
            </a:rPr>
            <a:t>Vẽ</a:t>
          </a:r>
          <a:r>
            <a:rPr lang="en-US" sz="1100" b="1" baseline="0">
              <a:solidFill>
                <a:srgbClr val="FFFF00"/>
              </a:solidFill>
            </a:rPr>
            <a:t> tổng sản lượng sản phẩm chính -&gt; tác động MIX -&gt; để thấy rõ là cty đang bán </a:t>
          </a:r>
          <a:r>
            <a:rPr lang="en-US" sz="1100" b="1" u="sng" baseline="0">
              <a:solidFill>
                <a:srgbClr val="FFFF00"/>
              </a:solidFill>
            </a:rPr>
            <a:t>mặt hàng xơ sợi </a:t>
          </a:r>
          <a:r>
            <a:rPr lang="en-US" sz="1100" b="1" baseline="0">
              <a:solidFill>
                <a:srgbClr val="FFFF00"/>
              </a:solidFill>
            </a:rPr>
            <a:t>nhiều hơn trong tháng 7</a:t>
          </a:r>
        </a:p>
      </xdr:txBody>
    </xdr:sp>
    <xdr:clientData/>
  </xdr:twoCellAnchor>
  <xdr:oneCellAnchor>
    <xdr:from>
      <xdr:col>2</xdr:col>
      <xdr:colOff>152118</xdr:colOff>
      <xdr:row>100</xdr:row>
      <xdr:rowOff>29414</xdr:rowOff>
    </xdr:from>
    <xdr:ext cx="11109792" cy="543401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14BCFE-00FD-4813-BA40-96A100EA8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3</xdr:col>
      <xdr:colOff>154933</xdr:colOff>
      <xdr:row>102</xdr:row>
      <xdr:rowOff>7797</xdr:rowOff>
    </xdr:from>
    <xdr:to>
      <xdr:col>10</xdr:col>
      <xdr:colOff>315616</xdr:colOff>
      <xdr:row>119</xdr:row>
      <xdr:rowOff>153474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18BB37D-48FE-4C0A-BF38-1247BE402FBB}"/>
            </a:ext>
          </a:extLst>
        </xdr:cNvPr>
        <xdr:cNvSpPr/>
      </xdr:nvSpPr>
      <xdr:spPr>
        <a:xfrm>
          <a:off x="3639962" y="19438797"/>
          <a:ext cx="8385801" cy="338417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12</xdr:col>
      <xdr:colOff>0</xdr:colOff>
      <xdr:row>135</xdr:row>
      <xdr:rowOff>0</xdr:rowOff>
    </xdr:from>
    <xdr:ext cx="12815609" cy="5053852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EC566B-D833-4C27-952E-4EAEE0714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11</xdr:col>
      <xdr:colOff>1018346</xdr:colOff>
      <xdr:row>136</xdr:row>
      <xdr:rowOff>136665</xdr:rowOff>
    </xdr:from>
    <xdr:to>
      <xdr:col>18</xdr:col>
      <xdr:colOff>950429</xdr:colOff>
      <xdr:row>154</xdr:row>
      <xdr:rowOff>91842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923B029-F5BC-F587-774E-52123DED8742}"/>
            </a:ext>
          </a:extLst>
        </xdr:cNvPr>
        <xdr:cNvSpPr/>
      </xdr:nvSpPr>
      <xdr:spPr>
        <a:xfrm>
          <a:off x="13819946" y="26044665"/>
          <a:ext cx="8333133" cy="338417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0.94073</cdr:x>
      <cdr:y>0</cdr:y>
    </cdr:from>
    <cdr:to>
      <cdr:x>1</cdr:x>
      <cdr:y>0.06289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15445BA-76EC-5EA0-3E25-8705FAF55A27}"/>
            </a:ext>
          </a:extLst>
        </cdr:cNvPr>
        <cdr:cNvSpPr txBox="1"/>
      </cdr:nvSpPr>
      <cdr:spPr>
        <a:xfrm xmlns:a="http://schemas.openxmlformats.org/drawingml/2006/main">
          <a:off x="10452380" y="0"/>
          <a:ext cx="658533" cy="238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 kern="1200"/>
            <a:t>Đvt:</a:t>
          </a:r>
          <a:r>
            <a:rPr lang="en-US" sz="900" i="1" kern="1200" baseline="0"/>
            <a:t> tỷ đồng</a:t>
          </a:r>
          <a:endParaRPr lang="en-US" sz="900" i="1" kern="1200"/>
        </a:p>
      </cdr:txBody>
    </cdr:sp>
  </cdr:relSizeAnchor>
  <cdr:relSizeAnchor xmlns:cdr="http://schemas.openxmlformats.org/drawingml/2006/chartDrawing">
    <cdr:from>
      <cdr:x>0.91599</cdr:x>
      <cdr:y>0.42936</cdr:y>
    </cdr:from>
    <cdr:to>
      <cdr:x>0.99628</cdr:x>
      <cdr:y>0.54437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6449105-008B-D871-8336-9F8F65112CCF}"/>
            </a:ext>
          </a:extLst>
        </cdr:cNvPr>
        <cdr:cNvSpPr txBox="1"/>
      </cdr:nvSpPr>
      <cdr:spPr>
        <a:xfrm xmlns:a="http://schemas.openxmlformats.org/drawingml/2006/main">
          <a:off x="10164141" y="2333124"/>
          <a:ext cx="890926" cy="624966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-25 </a:t>
          </a:r>
          <a:r>
            <a:rPr lang="en-US" sz="16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tỷ</a:t>
          </a:r>
        </a:p>
        <a:p xmlns:a="http://schemas.openxmlformats.org/drawingml/2006/main">
          <a:pPr algn="ctr"/>
          <a:r>
            <a:rPr lang="en-US" sz="15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5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-79%)</a:t>
          </a:r>
          <a:endParaRPr lang="en-US" sz="15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0.062</cdr:x>
      <cdr:y>0.72204</cdr:y>
    </cdr:from>
    <cdr:to>
      <cdr:x>0.84499</cdr:x>
      <cdr:y>0.88359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534FF385-08F4-4012-9AB7-530F0D61435C}"/>
            </a:ext>
          </a:extLst>
        </cdr:cNvPr>
        <cdr:cNvGrpSpPr/>
      </cdr:nvGrpSpPr>
      <cdr:grpSpPr>
        <a:xfrm xmlns:a="http://schemas.openxmlformats.org/drawingml/2006/main">
          <a:off x="688807" y="3923575"/>
          <a:ext cx="8698856" cy="877865"/>
          <a:chOff x="681039" y="4089400"/>
          <a:chExt cx="8699688" cy="649225"/>
        </a:xfrm>
      </cdr:grpSpPr>
      <cdr:sp macro="" textlink="">
        <cdr:nvSpPr>
          <cdr:cNvPr id="4" name="Rectangle: Rounded Corners 3">
            <a:extLst xmlns:a="http://schemas.openxmlformats.org/drawingml/2006/main">
              <a:ext uri="{FF2B5EF4-FFF2-40B4-BE49-F238E27FC236}">
                <a16:creationId xmlns:a16="http://schemas.microsoft.com/office/drawing/2014/main" id="{499B57B5-A96B-7D7A-3E2B-60864EB3F5F2}"/>
              </a:ext>
            </a:extLst>
          </cdr:cNvPr>
          <cdr:cNvSpPr/>
        </cdr:nvSpPr>
        <cdr:spPr>
          <a:xfrm xmlns:a="http://schemas.openxmlformats.org/drawingml/2006/main">
            <a:off x="681039" y="4089400"/>
            <a:ext cx="1704975" cy="649225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  <a:latin typeface="Aptos Narrow (Body)"/>
              </a:rPr>
              <a:t>LG EXW</a:t>
            </a:r>
            <a:r>
              <a:rPr lang="en-US" sz="1500" b="1" baseline="0">
                <a:solidFill>
                  <a:srgbClr val="C00000"/>
                </a:solidFill>
                <a:latin typeface="Aptos Narrow (Body)"/>
              </a:rPr>
              <a:t> rPET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  <a:latin typeface="Aptos Narrow (Body)"/>
              </a:rPr>
              <a:t>đạt </a:t>
            </a:r>
            <a:r>
              <a:rPr lang="en-US" sz="1800" b="1" baseline="0">
                <a:solidFill>
                  <a:srgbClr val="C00000"/>
                </a:solidFill>
                <a:latin typeface="Aptos Narrow (Body)"/>
              </a:rPr>
              <a:t>9.2</a:t>
            </a:r>
            <a:r>
              <a:rPr lang="en-US" sz="1500" baseline="0">
                <a:solidFill>
                  <a:srgbClr val="C00000"/>
                </a:solidFill>
                <a:latin typeface="Aptos Narrow (Body)"/>
              </a:rPr>
              <a:t>/ 25.4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  <a:latin typeface="Aptos Narrow (Body)"/>
              </a:rPr>
              <a:t>(-16.1 tỷ ~ -64.0%)</a:t>
            </a:r>
            <a:endParaRPr lang="en-US" sz="1300" i="1">
              <a:solidFill>
                <a:srgbClr val="C00000"/>
              </a:solidFill>
              <a:latin typeface="Aptos Narrow (Body)"/>
            </a:endParaRPr>
          </a:p>
        </cdr:txBody>
      </cdr:sp>
      <cdr:sp macro="" textlink="">
        <cdr:nvSpPr>
          <cdr:cNvPr id="5" name="Rectangle: Rounded Corners 4">
            <a:extLst xmlns:a="http://schemas.openxmlformats.org/drawingml/2006/main">
              <a:ext uri="{FF2B5EF4-FFF2-40B4-BE49-F238E27FC236}">
                <a16:creationId xmlns:a16="http://schemas.microsoft.com/office/drawing/2014/main" id="{8F392477-5DB1-7F94-0639-7B2DEF85714B}"/>
              </a:ext>
            </a:extLst>
          </cdr:cNvPr>
          <cdr:cNvSpPr/>
        </cdr:nvSpPr>
        <cdr:spPr>
          <a:xfrm xmlns:a="http://schemas.openxmlformats.org/drawingml/2006/main">
            <a:off x="2424764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450" b="1">
                <a:solidFill>
                  <a:srgbClr val="C00000"/>
                </a:solidFill>
              </a:rPr>
              <a:t>LG EXW</a:t>
            </a:r>
            <a:r>
              <a:rPr lang="en-US" sz="1450" b="1" baseline="0">
                <a:solidFill>
                  <a:srgbClr val="C00000"/>
                </a:solidFill>
              </a:rPr>
              <a:t> rHD thổi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</a:t>
            </a:r>
            <a:r>
              <a:rPr lang="en-US" sz="1800" baseline="0">
                <a:solidFill>
                  <a:srgbClr val="C00000"/>
                </a:solidFill>
              </a:rPr>
              <a:t> </a:t>
            </a:r>
            <a:r>
              <a:rPr lang="en-US" sz="1800" b="1" baseline="0">
                <a:solidFill>
                  <a:srgbClr val="C00000"/>
                </a:solidFill>
              </a:rPr>
              <a:t>0.84 </a:t>
            </a:r>
            <a:r>
              <a:rPr lang="en-US" sz="1500" baseline="0">
                <a:solidFill>
                  <a:srgbClr val="C00000"/>
                </a:solidFill>
              </a:rPr>
              <a:t>/ 4.2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(-3.4 tỷ ~ -80.2%)</a:t>
            </a:r>
            <a:endParaRPr lang="en-US" sz="1300" i="1">
              <a:solidFill>
                <a:srgbClr val="C00000"/>
              </a:solidFill>
            </a:endParaRPr>
          </a:p>
        </cdr:txBody>
      </cdr:sp>
      <cdr:sp macro="" textlink="">
        <cdr:nvSpPr>
          <cdr:cNvPr id="6" name="Rectangle: Rounded Corners 5">
            <a:extLst xmlns:a="http://schemas.openxmlformats.org/drawingml/2006/main">
              <a:ext uri="{FF2B5EF4-FFF2-40B4-BE49-F238E27FC236}">
                <a16:creationId xmlns:a16="http://schemas.microsoft.com/office/drawing/2014/main" id="{BBE95CDA-532F-E83C-A5AA-23D4CB962A65}"/>
              </a:ext>
            </a:extLst>
          </cdr:cNvPr>
          <cdr:cNvSpPr/>
        </cdr:nvSpPr>
        <cdr:spPr>
          <a:xfrm xmlns:a="http://schemas.openxmlformats.org/drawingml/2006/main">
            <a:off x="4173442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</a:rPr>
              <a:t>LG EXW</a:t>
            </a:r>
            <a:r>
              <a:rPr lang="en-US" sz="1500" b="1" baseline="0">
                <a:solidFill>
                  <a:srgbClr val="C00000"/>
                </a:solidFill>
              </a:rPr>
              <a:t> rHD ép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 </a:t>
            </a:r>
            <a:r>
              <a:rPr lang="en-US" sz="1800" b="1" baseline="0">
                <a:solidFill>
                  <a:srgbClr val="C00000"/>
                </a:solidFill>
              </a:rPr>
              <a:t>-0.47</a:t>
            </a:r>
            <a:r>
              <a:rPr lang="en-US" sz="1500" baseline="0">
                <a:solidFill>
                  <a:srgbClr val="C00000"/>
                </a:solidFill>
              </a:rPr>
              <a:t> / 0.8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(-1.2 tỷ)</a:t>
            </a:r>
          </a:p>
        </cdr:txBody>
      </cdr:sp>
      <cdr:sp macro="" textlink="">
        <cdr:nvSpPr>
          <cdr:cNvPr id="7" name="Rectangle: Rounded Corners 6">
            <a:extLst xmlns:a="http://schemas.openxmlformats.org/drawingml/2006/main">
              <a:ext uri="{FF2B5EF4-FFF2-40B4-BE49-F238E27FC236}">
                <a16:creationId xmlns:a16="http://schemas.microsoft.com/office/drawing/2014/main" id="{F12DEA15-D07F-666E-F3C1-1675054387C0}"/>
              </a:ext>
            </a:extLst>
          </cdr:cNvPr>
          <cdr:cNvSpPr/>
        </cdr:nvSpPr>
        <cdr:spPr>
          <a:xfrm xmlns:a="http://schemas.openxmlformats.org/drawingml/2006/main">
            <a:off x="5922120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chemeClr val="tx1"/>
                </a:solidFill>
              </a:rPr>
              <a:t>LG EXW</a:t>
            </a:r>
            <a:r>
              <a:rPr lang="en-US" sz="1500" b="1" baseline="0">
                <a:solidFill>
                  <a:schemeClr val="tx1"/>
                </a:solidFill>
              </a:rPr>
              <a:t> rPP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chemeClr val="tx1"/>
                </a:solidFill>
              </a:rPr>
              <a:t>đạt </a:t>
            </a:r>
            <a:r>
              <a:rPr lang="en-US" sz="1800" b="1" baseline="0">
                <a:solidFill>
                  <a:schemeClr val="tx1"/>
                </a:solidFill>
              </a:rPr>
              <a:t>-0.2</a:t>
            </a:r>
            <a:r>
              <a:rPr lang="en-US" sz="1500" b="1" baseline="0">
                <a:solidFill>
                  <a:schemeClr val="tx1"/>
                </a:solidFill>
              </a:rPr>
              <a:t> </a:t>
            </a:r>
            <a:r>
              <a:rPr lang="en-US" sz="1500" baseline="0">
                <a:solidFill>
                  <a:schemeClr val="tx1"/>
                </a:solidFill>
              </a:rPr>
              <a:t>/ -0.35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chemeClr val="tx1"/>
                </a:solidFill>
              </a:rPr>
              <a:t>(+0.17 tỷ)</a:t>
            </a:r>
            <a:endParaRPr lang="en-US" sz="1300" i="1">
              <a:solidFill>
                <a:schemeClr val="tx1"/>
              </a:solidFill>
            </a:endParaRPr>
          </a:p>
        </cdr:txBody>
      </cdr:sp>
      <cdr:sp macro="" textlink="">
        <cdr:nvSpPr>
          <cdr:cNvPr id="8" name="Rectangle: Rounded Corners 7">
            <a:extLst xmlns:a="http://schemas.openxmlformats.org/drawingml/2006/main">
              <a:ext uri="{FF2B5EF4-FFF2-40B4-BE49-F238E27FC236}">
                <a16:creationId xmlns:a16="http://schemas.microsoft.com/office/drawing/2014/main" id="{7C6FF398-5090-0608-1F39-4CCD8B19ED74}"/>
              </a:ext>
            </a:extLst>
          </cdr:cNvPr>
          <cdr:cNvSpPr/>
        </cdr:nvSpPr>
        <cdr:spPr>
          <a:xfrm xmlns:a="http://schemas.openxmlformats.org/drawingml/2006/main">
            <a:off x="7670799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</a:rPr>
              <a:t>LG EXW</a:t>
            </a:r>
            <a:r>
              <a:rPr lang="en-US" sz="1500" b="1" baseline="0">
                <a:solidFill>
                  <a:srgbClr val="C00000"/>
                </a:solidFill>
              </a:rPr>
              <a:t> Xơ Sợi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 </a:t>
            </a:r>
            <a:r>
              <a:rPr lang="en-US" sz="1800" b="1" baseline="0">
                <a:solidFill>
                  <a:srgbClr val="C00000"/>
                </a:solidFill>
              </a:rPr>
              <a:t>-5.3 </a:t>
            </a:r>
            <a:r>
              <a:rPr lang="en-US" sz="1500" baseline="0">
                <a:solidFill>
                  <a:srgbClr val="C00000"/>
                </a:solidFill>
              </a:rPr>
              <a:t>/ 0.08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(+7  tỷ ~ +256%)</a:t>
            </a:r>
          </a:p>
        </cdr:txBody>
      </cdr:sp>
    </cdr:grpSp>
  </cdr:relSizeAnchor>
  <cdr:relSizeAnchor xmlns:cdr="http://schemas.openxmlformats.org/drawingml/2006/chartDrawing">
    <cdr:from>
      <cdr:x>0.83823</cdr:x>
      <cdr:y>0.27785</cdr:y>
    </cdr:from>
    <cdr:to>
      <cdr:x>0.89465</cdr:x>
      <cdr:y>0.48923</cdr:y>
    </cdr:to>
    <cdr:sp macro="" textlink="">
      <cdr:nvSpPr>
        <cdr:cNvPr id="11" name="Rectangle: Rounded Corners 10">
          <a:extLst xmlns:a="http://schemas.openxmlformats.org/drawingml/2006/main">
            <a:ext uri="{FF2B5EF4-FFF2-40B4-BE49-F238E27FC236}">
              <a16:creationId xmlns:a16="http://schemas.microsoft.com/office/drawing/2014/main" id="{0EF6BA54-5EC2-A906-0256-B4A0E866DB36}"/>
            </a:ext>
          </a:extLst>
        </cdr:cNvPr>
        <cdr:cNvSpPr/>
      </cdr:nvSpPr>
      <cdr:spPr>
        <a:xfrm xmlns:a="http://schemas.openxmlformats.org/drawingml/2006/main">
          <a:off x="9301293" y="1509826"/>
          <a:ext cx="626056" cy="114864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ptos Narrow (Body)"/>
            </a:rPr>
            <a:t>Tăng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từ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25,000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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25,988</a:t>
          </a:r>
        </a:p>
        <a:p xmlns:a="http://schemas.openxmlformats.org/drawingml/2006/main">
          <a:pPr algn="ctr"/>
          <a:endParaRPr lang="en-US" sz="1000" b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800" i="1" baseline="0">
              <a:solidFill>
                <a:sysClr val="windowText" lastClr="000000"/>
              </a:solidFill>
              <a:latin typeface="Aptos Narrow (Body)"/>
            </a:rPr>
            <a:t>(+988 ~ +4.0%)</a:t>
          </a:r>
        </a:p>
      </cdr:txBody>
    </cdr:sp>
  </cdr:relSizeAnchor>
  <cdr:relSizeAnchor xmlns:cdr="http://schemas.openxmlformats.org/drawingml/2006/chartDrawing">
    <cdr:from>
      <cdr:x>0.71145</cdr:x>
      <cdr:y>0.01461</cdr:y>
    </cdr:from>
    <cdr:to>
      <cdr:x>0.8963</cdr:x>
      <cdr:y>0.10956</cdr:y>
    </cdr:to>
    <cdr:sp macro="" textlink="">
      <cdr:nvSpPr>
        <cdr:cNvPr id="12" name="Speech Bubble: Rectangle with Corners Rounded 11">
          <a:extLst xmlns:a="http://schemas.openxmlformats.org/drawingml/2006/main">
            <a:ext uri="{FF2B5EF4-FFF2-40B4-BE49-F238E27FC236}">
              <a16:creationId xmlns:a16="http://schemas.microsoft.com/office/drawing/2014/main" id="{123D37DD-35ED-CC91-EA7D-518D155EC94D}"/>
            </a:ext>
          </a:extLst>
        </cdr:cNvPr>
        <cdr:cNvSpPr/>
      </cdr:nvSpPr>
      <cdr:spPr>
        <a:xfrm xmlns:a="http://schemas.openxmlformats.org/drawingml/2006/main">
          <a:off x="7894506" y="79370"/>
          <a:ext cx="2051159" cy="515959"/>
        </a:xfrm>
        <a:prstGeom xmlns:a="http://schemas.openxmlformats.org/drawingml/2006/main" prst="wedgeRoundRectCallout">
          <a:avLst>
            <a:gd name="adj1" fmla="val 53180"/>
            <a:gd name="adj2" fmla="val 107857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ysClr val="windowText" lastClr="000000"/>
              </a:solidFill>
            </a:rPr>
            <a:t>KH</a:t>
          </a:r>
          <a:r>
            <a:rPr lang="en-US" sz="1100" baseline="0">
              <a:solidFill>
                <a:sysClr val="windowText" lastClr="000000"/>
              </a:solidFill>
            </a:rPr>
            <a:t> có doanh thu EPR:</a:t>
          </a:r>
          <a:r>
            <a:rPr lang="en-US" sz="1100" b="1" baseline="0">
              <a:solidFill>
                <a:sysClr val="windowText" lastClr="000000"/>
              </a:solidFill>
            </a:rPr>
            <a:t> 3.5 tỷ </a:t>
          </a:r>
          <a:r>
            <a:rPr lang="en-US" sz="1100" baseline="0">
              <a:solidFill>
                <a:sysClr val="windowText" lastClr="000000"/>
              </a:solidFill>
            </a:rPr>
            <a:t>(thực tế chưa phát sinh) </a:t>
          </a:r>
          <a:endParaRPr lang="en-US" sz="11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0.06215</cdr:x>
      <cdr:y>0.27722</cdr:y>
    </cdr:from>
    <cdr:to>
      <cdr:x>0.83658</cdr:x>
      <cdr:y>0.72624</cdr:y>
    </cdr:to>
    <cdr:grpSp>
      <cdr:nvGrpSpPr>
        <cdr:cNvPr id="17" name="Group 16">
          <a:extLst xmlns:a="http://schemas.openxmlformats.org/drawingml/2006/main">
            <a:ext uri="{FF2B5EF4-FFF2-40B4-BE49-F238E27FC236}">
              <a16:creationId xmlns:a16="http://schemas.microsoft.com/office/drawing/2014/main" id="{E6719B94-223D-09BA-09B1-E260C8DE50E7}"/>
            </a:ext>
          </a:extLst>
        </cdr:cNvPr>
        <cdr:cNvGrpSpPr/>
      </cdr:nvGrpSpPr>
      <cdr:grpSpPr>
        <a:xfrm xmlns:a="http://schemas.openxmlformats.org/drawingml/2006/main">
          <a:off x="690474" y="1506417"/>
          <a:ext cx="8603756" cy="2439981"/>
          <a:chOff x="690563" y="1226280"/>
          <a:chExt cx="8604650" cy="2440007"/>
        </a:xfrm>
      </cdr:grpSpPr>
      <cdr:sp macro="" textlink="">
        <cdr:nvSpPr>
          <cdr:cNvPr id="10" name="Rectangle: Rounded Corners 9">
            <a:extLst xmlns:a="http://schemas.openxmlformats.org/drawingml/2006/main">
              <a:ext uri="{FF2B5EF4-FFF2-40B4-BE49-F238E27FC236}">
                <a16:creationId xmlns:a16="http://schemas.microsoft.com/office/drawing/2014/main" id="{F874A4F7-499F-BDBE-4F54-1E0173492C2C}"/>
              </a:ext>
            </a:extLst>
          </cdr:cNvPr>
          <cdr:cNvSpPr/>
        </cdr:nvSpPr>
        <cdr:spPr>
          <a:xfrm xmlns:a="http://schemas.openxmlformats.org/drawingml/2006/main">
            <a:off x="690563" y="2559798"/>
            <a:ext cx="1666875" cy="1106489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  <a:latin typeface="+mn-lt"/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  <a:latin typeface="+mn-lt"/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  <a:latin typeface="Aptos Narrow (Body)"/>
              </a:rPr>
              <a:t>3.67</a:t>
            </a:r>
            <a:r>
              <a:rPr lang="en-US" sz="110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/ </a:t>
            </a:r>
            <a:r>
              <a:rPr lang="en-US" sz="1000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4.4 ngàn tấn</a:t>
            </a:r>
          </a:p>
          <a:p xmlns:a="http://schemas.openxmlformats.org/drawingml/2006/main">
            <a:pPr algn="l"/>
            <a:r>
              <a:rPr lang="en-US" sz="1000" i="1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( -0.77  ~  -17.3%).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  <a:latin typeface="+mn-lt"/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LG đơn vị </a:t>
            </a:r>
            <a:r>
              <a:rPr lang="en-US" sz="1000" i="0" baseline="0">
                <a:solidFill>
                  <a:sysClr val="windowText" lastClr="000000"/>
                </a:solidFill>
                <a:latin typeface="Aptos Narrow (Body)"/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$101/</a:t>
            </a:r>
            <a:r>
              <a:rPr lang="en-US" sz="1000" i="0" baseline="0">
                <a:solidFill>
                  <a:sysClr val="windowText" lastClr="000000"/>
                </a:solidFill>
                <a:latin typeface="Aptos Narrow (Body)"/>
              </a:rPr>
              <a:t>tấn (KH là $229 ~ -17.3%)</a:t>
            </a:r>
          </a:p>
        </cdr:txBody>
      </cdr:sp>
      <cdr:sp macro="" textlink="">
        <cdr:nvSpPr>
          <cdr:cNvPr id="13" name="Rectangle: Rounded Corners 12">
            <a:extLst xmlns:a="http://schemas.openxmlformats.org/drawingml/2006/main">
              <a:ext uri="{FF2B5EF4-FFF2-40B4-BE49-F238E27FC236}">
                <a16:creationId xmlns:a16="http://schemas.microsoft.com/office/drawing/2014/main" id="{B3D2C088-5FE7-3E17-7CFA-5F76C72988EC}"/>
              </a:ext>
            </a:extLst>
          </cdr:cNvPr>
          <cdr:cNvSpPr/>
        </cdr:nvSpPr>
        <cdr:spPr>
          <a:xfrm xmlns:a="http://schemas.openxmlformats.org/drawingml/2006/main">
            <a:off x="2419259" y="122628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  <a:latin typeface="Aptos Narrow (Body)"/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  <a:latin typeface="Aptos Narrow (Body)"/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  <a:latin typeface="Aptos Narrow (Body)"/>
              </a:rPr>
              <a:t>: đạt </a:t>
            </a:r>
          </a:p>
          <a:p xmlns:a="http://schemas.openxmlformats.org/drawingml/2006/main">
            <a:pPr algn="l"/>
            <a:r>
              <a:rPr lang="en-US" sz="1100" b="1" baseline="0">
                <a:solidFill>
                  <a:sysClr val="windowText" lastClr="000000"/>
                </a:solidFill>
                <a:latin typeface="Aptos Narrow (Body)"/>
              </a:rPr>
              <a:t>0.21</a:t>
            </a:r>
            <a:r>
              <a:rPr lang="en-US" sz="1100" baseline="0">
                <a:solidFill>
                  <a:sysClr val="windowText" lastClr="000000"/>
                </a:solidFill>
                <a:latin typeface="Aptos Narrow (Body)"/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  <a:latin typeface="Aptos Narrow (Body)"/>
              </a:rPr>
              <a:t>/ 0.7 ngàn tấn </a:t>
            </a:r>
          </a:p>
          <a:p xmlns:a="http://schemas.openxmlformats.org/drawingml/2006/main">
            <a:pPr algn="l"/>
            <a:r>
              <a:rPr lang="en-US" sz="1000" i="1" baseline="0">
                <a:solidFill>
                  <a:sysClr val="windowText" lastClr="000000"/>
                </a:solidFill>
                <a:latin typeface="Aptos Narrow (Body)"/>
              </a:rPr>
              <a:t>(-0.5 ~ -69.5%)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  <a:latin typeface="Aptos Narrow (Body)"/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LG đơn vị 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$159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/tấn (KH là $245 ~ -35%)</a:t>
            </a:r>
            <a:endParaRPr lang="en-US" sz="1000" b="1" i="0" baseline="0">
              <a:solidFill>
                <a:sysClr val="windowText" lastClr="000000"/>
              </a:solidFill>
              <a:latin typeface="Aptos Narrow (Body)"/>
            </a:endParaRPr>
          </a:p>
        </cdr:txBody>
      </cdr:sp>
      <cdr:sp macro="" textlink="">
        <cdr:nvSpPr>
          <cdr:cNvPr id="14" name="Rectangle: Rounded Corners 13">
            <a:extLst xmlns:a="http://schemas.openxmlformats.org/drawingml/2006/main">
              <a:ext uri="{FF2B5EF4-FFF2-40B4-BE49-F238E27FC236}">
                <a16:creationId xmlns:a16="http://schemas.microsoft.com/office/drawing/2014/main" id="{1E3B5E11-268E-6ACF-D4FC-124288B69255}"/>
              </a:ext>
            </a:extLst>
          </cdr:cNvPr>
          <cdr:cNvSpPr/>
        </cdr:nvSpPr>
        <cdr:spPr>
          <a:xfrm xmlns:a="http://schemas.openxmlformats.org/drawingml/2006/main">
            <a:off x="4156508" y="1248691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0.06</a:t>
            </a:r>
            <a:r>
              <a:rPr lang="en-US" sz="1000" baseline="0">
                <a:solidFill>
                  <a:sysClr val="windowText" lastClr="000000"/>
                </a:solidFill>
              </a:rPr>
              <a:t>/0.14 ng.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(-0.08 ~ -56.7%)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</a:rPr>
              <a:t>LG đơn vị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đạt </a:t>
            </a:r>
            <a:r>
              <a:rPr lang="en-US" sz="1000" b="1" i="0" baseline="0">
                <a:solidFill>
                  <a:srgbClr val="FF0000"/>
                </a:solidFill>
              </a:rPr>
              <a:t>-$315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/tấn (KH là $226)</a:t>
            </a:r>
            <a:endParaRPr lang="en-US" sz="1000" b="1" i="0" baseline="0">
              <a:solidFill>
                <a:sysClr val="windowText" lastClr="000000"/>
              </a:solidFill>
            </a:endParaRPr>
          </a:p>
        </cdr:txBody>
      </cdr:sp>
      <cdr:sp macro="" textlink="">
        <cdr:nvSpPr>
          <cdr:cNvPr id="15" name="Rectangle: Rounded Corners 14">
            <a:extLst xmlns:a="http://schemas.openxmlformats.org/drawingml/2006/main">
              <a:ext uri="{FF2B5EF4-FFF2-40B4-BE49-F238E27FC236}">
                <a16:creationId xmlns:a16="http://schemas.microsoft.com/office/drawing/2014/main" id="{56CFF307-E683-3E82-647F-C8B95F0A1187}"/>
              </a:ext>
            </a:extLst>
          </cdr:cNvPr>
          <cdr:cNvSpPr/>
        </cdr:nvSpPr>
        <cdr:spPr>
          <a:xfrm xmlns:a="http://schemas.openxmlformats.org/drawingml/2006/main">
            <a:off x="5916198" y="1528202"/>
            <a:ext cx="1664208" cy="546763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0.05</a:t>
            </a:r>
            <a:r>
              <a:rPr lang="en-US" sz="1100" baseline="0">
                <a:solidFill>
                  <a:sysClr val="windowText" lastClr="000000"/>
                </a:solidFill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</a:rPr>
              <a:t>/ 0.1 ngàn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(-0.05 ~ -50%)</a:t>
            </a:r>
          </a:p>
        </cdr:txBody>
      </cdr:sp>
      <cdr:sp macro="" textlink="">
        <cdr:nvSpPr>
          <cdr:cNvPr id="16" name="Rectangle: Rounded Corners 15">
            <a:extLst xmlns:a="http://schemas.openxmlformats.org/drawingml/2006/main">
              <a:ext uri="{FF2B5EF4-FFF2-40B4-BE49-F238E27FC236}">
                <a16:creationId xmlns:a16="http://schemas.microsoft.com/office/drawing/2014/main" id="{CA348383-5F92-FFDE-42C1-20D9B18568CA}"/>
              </a:ext>
            </a:extLst>
          </cdr:cNvPr>
          <cdr:cNvSpPr/>
        </cdr:nvSpPr>
        <cdr:spPr>
          <a:xfrm xmlns:a="http://schemas.openxmlformats.org/drawingml/2006/main">
            <a:off x="7631005" y="1516997"/>
            <a:ext cx="1664208" cy="571508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0.57</a:t>
            </a:r>
            <a:r>
              <a:rPr lang="en-US" sz="1100" baseline="0">
                <a:solidFill>
                  <a:sysClr val="windowText" lastClr="000000"/>
                </a:solidFill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</a:rPr>
              <a:t>/ 0.1 ngàn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(+0.47 ~ +468%)</a:t>
            </a:r>
          </a:p>
        </cdr:txBody>
      </cdr:sp>
    </cdr:grpSp>
  </cdr:relSizeAnchor>
  <cdr:relSizeAnchor xmlns:cdr="http://schemas.openxmlformats.org/drawingml/2006/chartDrawing">
    <cdr:from>
      <cdr:x>0.37243</cdr:x>
      <cdr:y>0.16514</cdr:y>
    </cdr:from>
    <cdr:to>
      <cdr:x>0.52345</cdr:x>
      <cdr:y>0.27722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BDA833A1-1C5D-84A0-056A-F7079FB1CE8D}"/>
            </a:ext>
          </a:extLst>
        </cdr:cNvPr>
        <cdr:cNvSpPr txBox="1"/>
      </cdr:nvSpPr>
      <cdr:spPr>
        <a:xfrm xmlns:a="http://schemas.openxmlformats.org/drawingml/2006/main">
          <a:off x="4132620" y="897394"/>
          <a:ext cx="1675770" cy="6090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Hiện</a:t>
          </a:r>
          <a:r>
            <a:rPr lang="en-US" sz="1100" i="1" baseline="0"/>
            <a:t> tại đang đẩy bán các mặt hàng tồn kho lâu (không nằm trong KH)</a:t>
          </a:r>
          <a:endParaRPr lang="en-US" sz="1100" i="1"/>
        </a:p>
      </cdr:txBody>
    </cdr:sp>
  </cdr:relSizeAnchor>
  <cdr:relSizeAnchor xmlns:cdr="http://schemas.openxmlformats.org/drawingml/2006/chartDrawing">
    <cdr:from>
      <cdr:x>0.52558</cdr:x>
      <cdr:y>0.16896</cdr:y>
    </cdr:from>
    <cdr:to>
      <cdr:x>0.6766</cdr:x>
      <cdr:y>0.28104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2A9ED325-474A-DE94-C6A9-AE44D241D87B}"/>
            </a:ext>
          </a:extLst>
        </cdr:cNvPr>
        <cdr:cNvSpPr txBox="1"/>
      </cdr:nvSpPr>
      <cdr:spPr>
        <a:xfrm xmlns:a="http://schemas.openxmlformats.org/drawingml/2006/main">
          <a:off x="5832026" y="918109"/>
          <a:ext cx="1675770" cy="6090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Hiện</a:t>
          </a:r>
          <a:r>
            <a:rPr lang="en-US" sz="1100" i="1" baseline="0"/>
            <a:t> tại đang đẩy bán các mặt hàng tồn kho lâu (không nằm trong KH)</a:t>
          </a:r>
          <a:endParaRPr lang="en-US" sz="1100" i="1"/>
        </a:p>
      </cdr:txBody>
    </cdr:sp>
  </cdr:relSizeAnchor>
  <cdr:relSizeAnchor xmlns:cdr="http://schemas.openxmlformats.org/drawingml/2006/chartDrawing">
    <cdr:from>
      <cdr:x>0.91292</cdr:x>
      <cdr:y>0.02378</cdr:y>
    </cdr:from>
    <cdr:to>
      <cdr:x>1</cdr:x>
      <cdr:y>0.08751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037BFA9-081A-28CF-C7ED-AA109E15A0D2}"/>
            </a:ext>
          </a:extLst>
        </cdr:cNvPr>
        <cdr:cNvSpPr txBox="1"/>
      </cdr:nvSpPr>
      <cdr:spPr>
        <a:xfrm xmlns:a="http://schemas.openxmlformats.org/drawingml/2006/main">
          <a:off x="10130062" y="129241"/>
          <a:ext cx="966283" cy="3462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5.0%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0.00054</cdr:x>
      <cdr:y>0</cdr:y>
    </cdr:from>
    <cdr:to>
      <cdr:x>0.08728</cdr:x>
      <cdr:y>0.03679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93F7FDA8-2BB2-5E9D-D4B3-7E5C17FFFEB6}"/>
            </a:ext>
          </a:extLst>
        </cdr:cNvPr>
        <cdr:cNvSpPr txBox="1"/>
      </cdr:nvSpPr>
      <cdr:spPr>
        <a:xfrm xmlns:a="http://schemas.openxmlformats.org/drawingml/2006/main">
          <a:off x="5977" y="0"/>
          <a:ext cx="962494" cy="1999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17.8%</a:t>
          </a:r>
        </a:p>
        <a:p xmlns:a="http://schemas.openxmlformats.org/drawingml/2006/main">
          <a:r>
            <a:rPr lang="en-US" sz="1100" i="1" kern="1200" baseline="0">
              <a:solidFill>
                <a:srgbClr val="FF33CC"/>
              </a:solidFill>
            </a:rPr>
            <a:t>(Nếu loại phần tài trợ: 16.2%) 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0.22436</cdr:x>
      <cdr:y>0</cdr:y>
    </cdr:from>
    <cdr:to>
      <cdr:x>0.43287</cdr:x>
      <cdr:y>0.14542</cdr:y>
    </cdr:to>
    <cdr:sp macro="" textlink="">
      <cdr:nvSpPr>
        <cdr:cNvPr id="22" name="Speech Bubble: Rectangle with Corners Rounded 21">
          <a:extLst xmlns:a="http://schemas.openxmlformats.org/drawingml/2006/main">
            <a:ext uri="{FF2B5EF4-FFF2-40B4-BE49-F238E27FC236}">
              <a16:creationId xmlns:a16="http://schemas.microsoft.com/office/drawing/2014/main" id="{7BADB968-B02B-44E2-6B68-E92B002AA910}"/>
            </a:ext>
          </a:extLst>
        </cdr:cNvPr>
        <cdr:cNvSpPr/>
      </cdr:nvSpPr>
      <cdr:spPr>
        <a:xfrm xmlns:a="http://schemas.openxmlformats.org/drawingml/2006/main">
          <a:off x="2492579" y="0"/>
          <a:ext cx="2316502" cy="790214"/>
        </a:xfrm>
        <a:prstGeom xmlns:a="http://schemas.openxmlformats.org/drawingml/2006/main" prst="wedgeRoundRectCallout">
          <a:avLst>
            <a:gd name="adj1" fmla="val -53407"/>
            <a:gd name="adj2" fmla="val 31500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iá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bán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11.6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</a:p>
        <a:p xmlns:a="http://schemas.openxmlformats.org/drawingml/2006/main">
          <a:pPr algn="l"/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Giá vốn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6.3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. </a:t>
          </a:r>
          <a:endParaRPr lang="en-US" sz="850" baseline="0">
            <a:solidFill>
              <a:sysClr val="windowText" lastClr="000000"/>
            </a:solidFill>
            <a:latin typeface="Aptos Narrow" panose="020B0004020202020204" pitchFamily="34" charset="0"/>
          </a:endParaRPr>
        </a:p>
        <a:p xmlns:a="http://schemas.openxmlformats.org/drawingml/2006/main">
          <a:pPr algn="l"/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Nguyên nhân là do </a:t>
          </a:r>
          <a:r>
            <a:rPr lang="vi-VN" sz="850" u="sng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giá </a:t>
          </a:r>
          <a:r>
            <a:rPr lang="en-US" sz="850" u="sng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mua </a:t>
          </a:r>
          <a:r>
            <a:rPr lang="vi-VN" sz="850" u="sng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chai/vảy tăng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.</a:t>
          </a:r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</a:p>
        <a:p xmlns:a="http://schemas.openxmlformats.org/drawingml/2006/main">
          <a:pPr algn="l"/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+ Chai: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18,789</a:t>
          </a:r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/ 16,566đ/kg; +2,223 ~ + 13.4%. </a:t>
          </a:r>
        </a:p>
        <a:p xmlns:a="http://schemas.openxmlformats.org/drawingml/2006/main">
          <a:pPr algn="l"/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+ Vảy: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20,104 </a:t>
          </a:r>
          <a:r>
            <a:rPr lang="en-US" sz="850" b="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/ 18,780 đ/kg; +1,324 ~ +7%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0.88441</cdr:x>
      <cdr:y>0.41463</cdr:y>
    </cdr:from>
    <cdr:to>
      <cdr:x>0.97595</cdr:x>
      <cdr:y>0.51264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CA57CD6-1E41-C3C1-B6F2-2A6B09E060A6}"/>
            </a:ext>
          </a:extLst>
        </cdr:cNvPr>
        <cdr:cNvSpPr txBox="1"/>
      </cdr:nvSpPr>
      <cdr:spPr>
        <a:xfrm xmlns:a="http://schemas.openxmlformats.org/drawingml/2006/main">
          <a:off x="11334294" y="2095500"/>
          <a:ext cx="1173141" cy="495300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-24.4 </a:t>
          </a:r>
          <a:r>
            <a:rPr lang="en-US" sz="11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Tỷ</a:t>
          </a:r>
        </a:p>
        <a:p xmlns:a="http://schemas.openxmlformats.org/drawingml/2006/main">
          <a:pPr algn="ctr"/>
          <a:r>
            <a:rPr lang="en-US" sz="11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1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-69%)</a:t>
          </a:r>
          <a:endParaRPr lang="en-US" sz="11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0.18457</cdr:x>
      <cdr:y>0.50573</cdr:y>
    </cdr:from>
    <cdr:to>
      <cdr:x>0.38794</cdr:x>
      <cdr:y>0.62444</cdr:y>
    </cdr:to>
    <cdr:sp macro="" textlink="">
      <cdr:nvSpPr>
        <cdr:cNvPr id="6" name="Rectangle: Rounded Corners 5">
          <a:extLst xmlns:a="http://schemas.openxmlformats.org/drawingml/2006/main">
            <a:ext uri="{FF2B5EF4-FFF2-40B4-BE49-F238E27FC236}">
              <a16:creationId xmlns:a16="http://schemas.microsoft.com/office/drawing/2014/main" id="{101D8DAD-BB9B-8CF2-F9F6-16C2D8406980}"/>
            </a:ext>
          </a:extLst>
        </cdr:cNvPr>
        <cdr:cNvSpPr/>
      </cdr:nvSpPr>
      <cdr:spPr>
        <a:xfrm xmlns:a="http://schemas.openxmlformats.org/drawingml/2006/main">
          <a:off x="2365375" y="2555875"/>
          <a:ext cx="2606343" cy="599952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500" b="1">
              <a:solidFill>
                <a:sysClr val="windowText" lastClr="000000"/>
              </a:solidFill>
              <a:latin typeface="+mn-lt"/>
            </a:rPr>
            <a:t>Sản</a:t>
          </a:r>
          <a:r>
            <a:rPr lang="en-US" sz="1500" b="1" baseline="0">
              <a:solidFill>
                <a:sysClr val="windowText" lastClr="000000"/>
              </a:solidFill>
              <a:latin typeface="+mn-lt"/>
            </a:rPr>
            <a:t> lượng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: đạt </a:t>
          </a:r>
          <a:r>
            <a:rPr lang="en-US" sz="1800" b="1" baseline="0">
              <a:solidFill>
                <a:sysClr val="windowText" lastClr="000000"/>
              </a:solidFill>
              <a:latin typeface="+mn-lt"/>
            </a:rPr>
            <a:t>5.19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 / 5.44</a:t>
          </a:r>
        </a:p>
        <a:p xmlns:a="http://schemas.openxmlformats.org/drawingml/2006/main">
          <a:pPr algn="l"/>
          <a:r>
            <a:rPr lang="en-US" sz="1500" baseline="0">
              <a:solidFill>
                <a:sysClr val="windowText" lastClr="000000"/>
              </a:solidFill>
              <a:latin typeface="+mn-lt"/>
            </a:rPr>
            <a:t>ngàn tấn </a:t>
          </a:r>
          <a:r>
            <a:rPr lang="en-US" sz="1500" i="1" baseline="0">
              <a:solidFill>
                <a:sysClr val="windowText" lastClr="000000"/>
              </a:solidFill>
              <a:latin typeface="+mn-lt"/>
            </a:rPr>
            <a:t>( -0.25  ~  -4.6%).</a:t>
          </a:r>
        </a:p>
      </cdr:txBody>
    </cdr:sp>
  </cdr:relSizeAnchor>
  <cdr:relSizeAnchor xmlns:cdr="http://schemas.openxmlformats.org/drawingml/2006/chartDrawing">
    <cdr:from>
      <cdr:x>0.59484</cdr:x>
      <cdr:y>0.24752</cdr:y>
    </cdr:from>
    <cdr:to>
      <cdr:x>0.69801</cdr:x>
      <cdr:y>0.45739</cdr:y>
    </cdr:to>
    <cdr:sp macro="" textlink="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468E62E3-D146-E067-64FD-1C47D1151CE2}"/>
            </a:ext>
          </a:extLst>
        </cdr:cNvPr>
        <cdr:cNvSpPr/>
      </cdr:nvSpPr>
      <cdr:spPr>
        <a:xfrm xmlns:a="http://schemas.openxmlformats.org/drawingml/2006/main">
          <a:off x="7623175" y="1250950"/>
          <a:ext cx="1322248" cy="106065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>
              <a:solidFill>
                <a:sysClr val="windowText" lastClr="000000"/>
              </a:solidFill>
              <a:latin typeface="+mn-lt"/>
            </a:rPr>
            <a:t>Tăng</a:t>
          </a:r>
          <a:r>
            <a:rPr lang="en-US" sz="1200" baseline="0">
              <a:solidFill>
                <a:sysClr val="windowText" lastClr="000000"/>
              </a:solidFill>
              <a:latin typeface="+mn-lt"/>
            </a:rPr>
            <a:t> từ</a:t>
          </a:r>
        </a:p>
        <a:p xmlns:a="http://schemas.openxmlformats.org/drawingml/2006/main">
          <a:pPr algn="ctr"/>
          <a:r>
            <a:rPr lang="en-US" sz="1200" baseline="0">
              <a:solidFill>
                <a:sysClr val="windowText" lastClr="000000"/>
              </a:solidFill>
              <a:latin typeface="+mn-lt"/>
            </a:rPr>
            <a:t>25,000</a:t>
          </a:r>
        </a:p>
        <a:p xmlns:a="http://schemas.openxmlformats.org/drawingml/2006/main">
          <a:pPr algn="ctr"/>
          <a:r>
            <a:rPr lang="en-US" sz="1200" baseline="0">
              <a:solidFill>
                <a:sysClr val="windowText" lastClr="000000"/>
              </a:solidFill>
              <a:latin typeface="+mn-lt"/>
              <a:sym typeface="Wingdings 3" panose="05040102010807070707" pitchFamily="18" charset="2"/>
            </a:rPr>
            <a:t></a:t>
          </a:r>
          <a:r>
            <a:rPr lang="en-US" sz="1300" baseline="0">
              <a:solidFill>
                <a:sysClr val="windowText" lastClr="000000"/>
              </a:solidFill>
              <a:latin typeface="+mn-lt"/>
            </a:rPr>
            <a:t> </a:t>
          </a:r>
          <a:r>
            <a:rPr lang="en-US" sz="1300" b="1" baseline="0">
              <a:solidFill>
                <a:sysClr val="windowText" lastClr="000000"/>
              </a:solidFill>
              <a:latin typeface="+mn-lt"/>
            </a:rPr>
            <a:t>26,133</a:t>
          </a:r>
        </a:p>
        <a:p xmlns:a="http://schemas.openxmlformats.org/drawingml/2006/main">
          <a:pPr algn="ctr"/>
          <a:r>
            <a:rPr lang="en-US" sz="1200" i="1" baseline="0">
              <a:solidFill>
                <a:sysClr val="windowText" lastClr="000000"/>
              </a:solidFill>
              <a:latin typeface="+mn-lt"/>
            </a:rPr>
            <a:t>(+1,133 ~ + 4.5%)</a:t>
          </a:r>
        </a:p>
      </cdr:txBody>
    </cdr:sp>
  </cdr:relSizeAnchor>
  <cdr:relSizeAnchor xmlns:cdr="http://schemas.openxmlformats.org/drawingml/2006/chartDrawing">
    <cdr:from>
      <cdr:x>0.00396</cdr:x>
      <cdr:y>0.01005</cdr:y>
    </cdr:from>
    <cdr:to>
      <cdr:x>0.07747</cdr:x>
      <cdr:y>0.07861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939D2E8-3433-5A28-E2E8-3315376258B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942002" cy="3464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19.8%</a:t>
          </a:r>
        </a:p>
        <a:p xmlns:a="http://schemas.openxmlformats.org/drawingml/2006/main">
          <a:r>
            <a:rPr lang="en-US" sz="1100" i="1" kern="1200" baseline="0">
              <a:solidFill>
                <a:srgbClr val="FF33CC"/>
              </a:solidFill>
            </a:rPr>
            <a:t>(Nếu loại phần tài trợ: 18.4%) 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0.91145</cdr:x>
      <cdr:y>0.00817</cdr:y>
    </cdr:from>
    <cdr:to>
      <cdr:x>0.98697</cdr:x>
      <cdr:y>0.07673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3B3FC853-511D-4F9B-214B-A2621CC9C45B}"/>
            </a:ext>
          </a:extLst>
        </cdr:cNvPr>
        <cdr:cNvSpPr txBox="1"/>
      </cdr:nvSpPr>
      <cdr:spPr>
        <a:xfrm xmlns:a="http://schemas.openxmlformats.org/drawingml/2006/main">
          <a:off x="11680825" y="41275"/>
          <a:ext cx="967770" cy="3465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6.8%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1184413</xdr:colOff>
      <xdr:row>30</xdr:row>
      <xdr:rowOff>143736</xdr:rowOff>
    </xdr:from>
    <xdr:ext cx="9255755" cy="451713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DC092D-684B-4264-8344-208B33E4A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0.89487</cdr:x>
      <cdr:y>0.21465</cdr:y>
    </cdr:from>
    <cdr:to>
      <cdr:x>0.98462</cdr:x>
      <cdr:y>0.35013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EEF96EE-A418-B5B0-B266-E3E4F2AF370F}"/>
            </a:ext>
          </a:extLst>
        </cdr:cNvPr>
        <cdr:cNvSpPr txBox="1"/>
      </cdr:nvSpPr>
      <cdr:spPr>
        <a:xfrm xmlns:a="http://schemas.openxmlformats.org/drawingml/2006/main">
          <a:off x="8282718" y="969617"/>
          <a:ext cx="830704" cy="611981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 kern="120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- 11.7 Tỷ</a:t>
          </a:r>
        </a:p>
        <a:p xmlns:a="http://schemas.openxmlformats.org/drawingml/2006/main">
          <a:pPr algn="ctr"/>
          <a:r>
            <a:rPr lang="en-US" sz="1200" b="0" i="1" kern="120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(~</a:t>
          </a:r>
          <a:r>
            <a:rPr lang="en-US" sz="1200" b="0" i="1" kern="1200" baseline="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 -231%)</a:t>
          </a:r>
          <a:endParaRPr lang="en-US" sz="1200" b="0" i="1" kern="1200">
            <a:solidFill>
              <a:srgbClr val="C00000"/>
            </a:solidFill>
            <a:latin typeface="+mn-lt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0.21101</cdr:x>
      <cdr:y>0.07269</cdr:y>
    </cdr:from>
    <cdr:to>
      <cdr:x>0.54837</cdr:x>
      <cdr:y>0.30189</cdr:y>
    </cdr:to>
    <cdr:sp macro="" textlink="">
      <cdr:nvSpPr>
        <cdr:cNvPr id="6" name="Speech Bubble: Rectangle with Corners Rounded 5">
          <a:extLst xmlns:a="http://schemas.openxmlformats.org/drawingml/2006/main">
            <a:ext uri="{FF2B5EF4-FFF2-40B4-BE49-F238E27FC236}">
              <a16:creationId xmlns:a16="http://schemas.microsoft.com/office/drawing/2014/main" id="{0B845C69-639D-91E9-B759-DA25AA6507BF}"/>
            </a:ext>
          </a:extLst>
        </cdr:cNvPr>
        <cdr:cNvSpPr/>
      </cdr:nvSpPr>
      <cdr:spPr>
        <a:xfrm xmlns:a="http://schemas.openxmlformats.org/drawingml/2006/main">
          <a:off x="1953027" y="328361"/>
          <a:ext cx="3122522" cy="1035327"/>
        </a:xfrm>
        <a:prstGeom xmlns:a="http://schemas.openxmlformats.org/drawingml/2006/main" prst="wedgeRoundRectCallout">
          <a:avLst>
            <a:gd name="adj1" fmla="val -57727"/>
            <a:gd name="adj2" fmla="val -27734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chemeClr val="tx1"/>
              </a:solidFill>
            </a:rPr>
            <a:t>- Sản</a:t>
          </a:r>
          <a:r>
            <a:rPr lang="en-US" sz="1000" b="1" baseline="0">
              <a:solidFill>
                <a:schemeClr val="tx1"/>
              </a:solidFill>
            </a:rPr>
            <a:t> phẩm chính không đạt </a:t>
          </a:r>
          <a:r>
            <a:rPr lang="en-US" sz="1000" b="0" baseline="0">
              <a:solidFill>
                <a:schemeClr val="tx1"/>
              </a:solidFill>
            </a:rPr>
            <a:t>(2.78/5.94 ngàn tấn): </a:t>
          </a:r>
          <a:r>
            <a:rPr lang="en-US" sz="1000" b="1" baseline="0">
              <a:solidFill>
                <a:schemeClr val="tx1"/>
              </a:solidFill>
            </a:rPr>
            <a:t>-18.7 tỷ</a:t>
          </a:r>
        </a:p>
        <a:p xmlns:a="http://schemas.openxmlformats.org/drawingml/2006/main">
          <a:pPr algn="l"/>
          <a:r>
            <a:rPr lang="en-US" sz="1000" b="1" baseline="0">
              <a:solidFill>
                <a:schemeClr val="tx1"/>
              </a:solidFill>
            </a:rPr>
            <a:t>- Lãi gộp đơn vị </a:t>
          </a:r>
          <a:r>
            <a:rPr lang="en-US" sz="1000" b="0" baseline="0">
              <a:solidFill>
                <a:schemeClr val="tx1"/>
              </a:solidFill>
            </a:rPr>
            <a:t>giảm: -</a:t>
          </a:r>
          <a:r>
            <a:rPr lang="en-US" sz="1000" b="1" baseline="0">
              <a:solidFill>
                <a:schemeClr val="tx1"/>
              </a:solidFill>
            </a:rPr>
            <a:t>8.6 tỷ</a:t>
          </a:r>
        </a:p>
        <a:p xmlns:a="http://schemas.openxmlformats.org/drawingml/2006/main">
          <a:pPr algn="l"/>
          <a:r>
            <a:rPr lang="en-US" sz="1000" b="1" baseline="0">
              <a:solidFill>
                <a:schemeClr val="tx1"/>
              </a:solidFill>
            </a:rPr>
            <a:t>- Các bút toán điều chỉnh </a:t>
          </a:r>
          <a:r>
            <a:rPr lang="en-US" sz="1000" b="0" baseline="0">
              <a:solidFill>
                <a:schemeClr val="tx1"/>
              </a:solidFill>
            </a:rPr>
            <a:t>(thuê xưởng, thuê máy, lương vào IO): +</a:t>
          </a:r>
          <a:r>
            <a:rPr lang="en-US" sz="1000" b="1" baseline="0">
              <a:solidFill>
                <a:schemeClr val="tx1"/>
              </a:solidFill>
            </a:rPr>
            <a:t>20.8 tỷ</a:t>
          </a:r>
        </a:p>
        <a:p xmlns:a="http://schemas.openxmlformats.org/drawingml/2006/main">
          <a:pPr algn="l"/>
          <a:r>
            <a:rPr lang="en-US" sz="1000" b="1" baseline="0">
              <a:solidFill>
                <a:schemeClr val="tx1"/>
              </a:solidFill>
            </a:rPr>
            <a:t>- Tỷ giá tăng: +3.8 tỷ</a:t>
          </a:r>
        </a:p>
      </cdr:txBody>
    </cdr:sp>
  </cdr:relSizeAnchor>
  <cdr:relSizeAnchor xmlns:cdr="http://schemas.openxmlformats.org/drawingml/2006/chartDrawing">
    <cdr:from>
      <cdr:x>0.42833</cdr:x>
      <cdr:y>0.52413</cdr:y>
    </cdr:from>
    <cdr:to>
      <cdr:x>0.58792</cdr:x>
      <cdr:y>0.65974</cdr:y>
    </cdr:to>
    <cdr:sp macro="" textlink="">
      <cdr:nvSpPr>
        <cdr:cNvPr id="9" name="Speech Bubble: Rectangle with Corners Rounded 8">
          <a:extLst xmlns:a="http://schemas.openxmlformats.org/drawingml/2006/main">
            <a:ext uri="{FF2B5EF4-FFF2-40B4-BE49-F238E27FC236}">
              <a16:creationId xmlns:a16="http://schemas.microsoft.com/office/drawing/2014/main" id="{646A1B80-5B50-C88B-5C0A-CC7D89EA95F2}"/>
            </a:ext>
          </a:extLst>
        </cdr:cNvPr>
        <cdr:cNvSpPr/>
      </cdr:nvSpPr>
      <cdr:spPr>
        <a:xfrm xmlns:a="http://schemas.openxmlformats.org/drawingml/2006/main">
          <a:off x="3964490" y="2367551"/>
          <a:ext cx="1477183" cy="612564"/>
        </a:xfrm>
        <a:prstGeom xmlns:a="http://schemas.openxmlformats.org/drawingml/2006/main" prst="wedgeRoundRectCallout">
          <a:avLst>
            <a:gd name="adj1" fmla="val -31287"/>
            <a:gd name="adj2" fmla="val 77657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 baseline="0">
              <a:solidFill>
                <a:sysClr val="windowText" lastClr="000000"/>
              </a:solidFill>
              <a:latin typeface="Aptos Narrow (Body)"/>
            </a:rPr>
            <a:t>Thực tế vay ít hơn do chưa mua lại Tài sản từ TNHH</a:t>
          </a:r>
          <a:endParaRPr lang="en-US" sz="1100" b="0" i="1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0.16453</cdr:x>
      <cdr:y>0.07645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99E6BC0A-FE4B-7BB6-451A-FC19987949A4}"/>
            </a:ext>
          </a:extLst>
        </cdr:cNvPr>
        <cdr:cNvSpPr txBox="1"/>
      </cdr:nvSpPr>
      <cdr:spPr>
        <a:xfrm xmlns:a="http://schemas.openxmlformats.org/drawingml/2006/main">
          <a:off x="0" y="0"/>
          <a:ext cx="1522849" cy="3404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</a:t>
          </a:r>
          <a:r>
            <a:rPr lang="en-US" sz="1100" i="1" kern="1200" baseline="0">
              <a:solidFill>
                <a:srgbClr val="FF33CC"/>
              </a:solidFill>
            </a:rPr>
            <a:t> Dthu</a:t>
          </a:r>
          <a:r>
            <a:rPr lang="en-US" sz="1100" i="1" kern="1200">
              <a:solidFill>
                <a:srgbClr val="FF33CC"/>
              </a:solidFill>
            </a:rPr>
            <a:t>:</a:t>
          </a:r>
          <a:r>
            <a:rPr lang="en-US" sz="1100" i="1" kern="1200" baseline="0">
              <a:solidFill>
                <a:srgbClr val="FF33CC"/>
              </a:solidFill>
            </a:rPr>
            <a:t> 3.6%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0.86416</cdr:x>
      <cdr:y>0.00551</cdr:y>
    </cdr:from>
    <cdr:to>
      <cdr:x>1</cdr:x>
      <cdr:y>0.08196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7E7C0045-AFCD-B27B-13EF-968224E99C4B}"/>
            </a:ext>
          </a:extLst>
        </cdr:cNvPr>
        <cdr:cNvSpPr txBox="1"/>
      </cdr:nvSpPr>
      <cdr:spPr>
        <a:xfrm xmlns:a="http://schemas.openxmlformats.org/drawingml/2006/main">
          <a:off x="7998420" y="24889"/>
          <a:ext cx="1257335" cy="3453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 Dthu :</a:t>
          </a:r>
          <a:r>
            <a:rPr lang="en-US" sz="1100" i="1" kern="1200" baseline="0">
              <a:solidFill>
                <a:srgbClr val="FF33CC"/>
              </a:solidFill>
            </a:rPr>
            <a:t> -3.8%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0.19848</cdr:x>
      <cdr:y>0.40238</cdr:y>
    </cdr:from>
    <cdr:to>
      <cdr:x>0.4111</cdr:x>
      <cdr:y>0.75414</cdr:y>
    </cdr:to>
    <cdr:sp macro="" textlink="">
      <cdr:nvSpPr>
        <cdr:cNvPr id="2" name="Speech Bubble: Rectangle with Corners Rounded 1">
          <a:extLst xmlns:a="http://schemas.openxmlformats.org/drawingml/2006/main">
            <a:ext uri="{FF2B5EF4-FFF2-40B4-BE49-F238E27FC236}">
              <a16:creationId xmlns:a16="http://schemas.microsoft.com/office/drawing/2014/main" id="{A6AA5E28-2FD3-2182-ED4D-BFB450CA4B62}"/>
            </a:ext>
          </a:extLst>
        </cdr:cNvPr>
        <cdr:cNvSpPr/>
      </cdr:nvSpPr>
      <cdr:spPr>
        <a:xfrm xmlns:a="http://schemas.openxmlformats.org/drawingml/2006/main">
          <a:off x="1837082" y="1817586"/>
          <a:ext cx="1967947" cy="1588977"/>
        </a:xfrm>
        <a:prstGeom xmlns:a="http://schemas.openxmlformats.org/drawingml/2006/main" prst="wedgeRoundRectCallout">
          <a:avLst>
            <a:gd name="adj1" fmla="val -25545"/>
            <a:gd name="adj2" fmla="val 65233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 baseline="0">
              <a:solidFill>
                <a:sysClr val="windowText" lastClr="000000"/>
              </a:solidFill>
              <a:latin typeface="Aptos Narrow (Body)"/>
            </a:rPr>
            <a:t>- Cp </a:t>
          </a:r>
          <a:r>
            <a:rPr lang="en-US" sz="1100" b="1" i="0" baseline="0">
              <a:solidFill>
                <a:sysClr val="windowText" lastClr="000000"/>
              </a:solidFill>
              <a:latin typeface="Aptos Narrow (Body)"/>
            </a:rPr>
            <a:t>khiếu nại khách hàng </a:t>
          </a:r>
          <a:r>
            <a:rPr lang="en-US" sz="1100" b="0" i="0" baseline="0">
              <a:solidFill>
                <a:sysClr val="windowText" lastClr="000000"/>
              </a:solidFill>
              <a:latin typeface="Aptos Narrow (Body)"/>
            </a:rPr>
            <a:t>(Sri Thái): </a:t>
          </a:r>
          <a:r>
            <a:rPr lang="en-US" sz="1100" b="1" i="0" baseline="0">
              <a:solidFill>
                <a:sysClr val="windowText" lastClr="000000"/>
              </a:solidFill>
              <a:latin typeface="Aptos Narrow (Body)"/>
            </a:rPr>
            <a:t>0.2 tỷ</a:t>
          </a:r>
          <a:r>
            <a:rPr lang="en-US" sz="1100" b="0" i="0" baseline="0">
              <a:solidFill>
                <a:sysClr val="windowText" lastClr="000000"/>
              </a:solidFill>
              <a:latin typeface="Aptos Narrow (Body)"/>
            </a:rPr>
            <a:t>;</a:t>
          </a:r>
        </a:p>
        <a:p xmlns:a="http://schemas.openxmlformats.org/drawingml/2006/main">
          <a:pPr algn="l"/>
          <a:endParaRPr lang="en-US" sz="1100" b="0" i="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100" b="0" i="0" baseline="0">
              <a:solidFill>
                <a:sysClr val="windowText" lastClr="000000"/>
              </a:solidFill>
              <a:latin typeface="Aptos Narrow (Body)"/>
            </a:rPr>
            <a:t>- Cp</a:t>
          </a:r>
          <a:r>
            <a:rPr lang="en-US" sz="1100" b="1" i="0" baseline="0">
              <a:solidFill>
                <a:sysClr val="windowText" lastClr="000000"/>
              </a:solidFill>
              <a:latin typeface="Aptos Narrow (Body)"/>
            </a:rPr>
            <a:t> lương </a:t>
          </a:r>
          <a:r>
            <a:rPr lang="en-US" sz="1100" b="0" i="0" baseline="0">
              <a:solidFill>
                <a:sysClr val="windowText" lastClr="000000"/>
              </a:solidFill>
              <a:latin typeface="Aptos Narrow (Body)"/>
            </a:rPr>
            <a:t>trả cho sales </a:t>
          </a:r>
          <a:r>
            <a:rPr lang="en-US" sz="1100" b="1" i="0" baseline="0">
              <a:solidFill>
                <a:sysClr val="windowText" lastClr="000000"/>
              </a:solidFill>
              <a:latin typeface="Aptos Narrow (Body)"/>
            </a:rPr>
            <a:t>bên Mỹ </a:t>
          </a:r>
          <a:r>
            <a:rPr lang="en-US" sz="1100" b="0" i="0" baseline="0">
              <a:solidFill>
                <a:sysClr val="windowText" lastClr="000000"/>
              </a:solidFill>
              <a:latin typeface="Aptos Narrow (Body)"/>
            </a:rPr>
            <a:t>T12/25 </a:t>
          </a:r>
          <a:r>
            <a:rPr lang="en-US" sz="1100" b="0" i="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 T02/25: </a:t>
          </a:r>
          <a:r>
            <a:rPr lang="en-US" sz="1100" b="1" i="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0.3 tỷ</a:t>
          </a:r>
        </a:p>
        <a:p xmlns:a="http://schemas.openxmlformats.org/drawingml/2006/main">
          <a:pPr algn="l"/>
          <a:endParaRPr lang="en-US" sz="1100" b="0" i="0" baseline="0">
            <a:solidFill>
              <a:sysClr val="windowText" lastClr="000000"/>
            </a:solidFill>
            <a:latin typeface="Aptos Narrow (Body)"/>
            <a:sym typeface="Wingdings 3" panose="05040102010807070707" pitchFamily="18" charset="2"/>
          </a:endParaRPr>
        </a:p>
        <a:p xmlns:a="http://schemas.openxmlformats.org/drawingml/2006/main">
          <a:pPr algn="l"/>
          <a:r>
            <a:rPr lang="en-US" sz="1100" b="0" i="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- Cp </a:t>
          </a:r>
          <a:r>
            <a:rPr lang="en-US" sz="1100" b="1" i="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khen thưởng </a:t>
          </a:r>
          <a:r>
            <a:rPr lang="en-US" sz="1100" b="0" i="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team sales (0.26/0.08 tỷ): </a:t>
          </a:r>
          <a:r>
            <a:rPr lang="en-US" sz="1100" b="1" i="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0.18 tỷ</a:t>
          </a:r>
          <a:endParaRPr lang="en-US" sz="1100" b="1" i="1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DTR-OWN">
      <a:dk1>
        <a:sysClr val="windowText" lastClr="000000"/>
      </a:dk1>
      <a:lt1>
        <a:sysClr val="window" lastClr="FFFFFF"/>
      </a:lt1>
      <a:dk2>
        <a:srgbClr val="0F4C81"/>
      </a:dk2>
      <a:lt2>
        <a:srgbClr val="727376"/>
      </a:lt2>
      <a:accent1>
        <a:srgbClr val="F87C56"/>
      </a:accent1>
      <a:accent2>
        <a:srgbClr val="119303"/>
      </a:accent2>
      <a:accent3>
        <a:srgbClr val="034194"/>
      </a:accent3>
      <a:accent4>
        <a:srgbClr val="BE3455"/>
      </a:accent4>
      <a:accent5>
        <a:srgbClr val="CCCC00"/>
      </a:accent5>
      <a:accent6>
        <a:srgbClr val="92A8D1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DC92-2B98-47A5-A54E-7D3801748FD8}">
  <sheetPr>
    <tabColor rgb="FF92D050"/>
  </sheetPr>
  <dimension ref="A1"/>
  <sheetViews>
    <sheetView showGridLines="0" zoomScale="190" zoomScaleNormal="190" workbookViewId="0">
      <selection activeCell="B1" sqref="B1:C4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61E1-63FC-4D49-8F85-2A7F7FAA9785}">
  <sheetPr codeName="Sheet1">
    <tabColor theme="3" tint="0.39997558519241921"/>
  </sheetPr>
  <dimension ref="A1:AL69"/>
  <sheetViews>
    <sheetView showGridLines="0" topLeftCell="H30" zoomScaleNormal="100" workbookViewId="0">
      <selection activeCell="M68" sqref="M68"/>
    </sheetView>
  </sheetViews>
  <sheetFormatPr defaultRowHeight="14.4" x14ac:dyDescent="0.3"/>
  <cols>
    <col min="1" max="1" width="20.33203125" customWidth="1"/>
    <col min="2" max="2" width="19.6640625" customWidth="1"/>
    <col min="3" max="3" width="20.5546875" customWidth="1"/>
    <col min="4" max="4" width="10.44140625" customWidth="1"/>
    <col min="5" max="5" width="13.5546875" customWidth="1"/>
    <col min="6" max="6" width="11.5546875" customWidth="1"/>
    <col min="7" max="7" width="8.88671875" customWidth="1"/>
    <col min="8" max="8" width="18.5546875" customWidth="1"/>
    <col min="9" max="9" width="18" bestFit="1" customWidth="1"/>
    <col min="10" max="10" width="15.44140625" bestFit="1" customWidth="1"/>
    <col min="11" max="11" width="18" bestFit="1" customWidth="1"/>
    <col min="12" max="12" width="16.44140625" bestFit="1" customWidth="1"/>
    <col min="13" max="13" width="22.5546875" bestFit="1" customWidth="1"/>
    <col min="14" max="14" width="10.5546875" bestFit="1" customWidth="1"/>
    <col min="15" max="15" width="17.88671875" customWidth="1"/>
    <col min="16" max="17" width="16.88671875" bestFit="1" customWidth="1"/>
    <col min="18" max="18" width="10.88671875" customWidth="1"/>
    <col min="19" max="19" width="10.44140625" bestFit="1" customWidth="1"/>
    <col min="20" max="20" width="12.6640625" customWidth="1"/>
    <col min="21" max="21" width="11.44140625" customWidth="1"/>
    <col min="23" max="23" width="16.109375" bestFit="1" customWidth="1"/>
    <col min="24" max="24" width="15.88671875" bestFit="1" customWidth="1"/>
    <col min="25" max="25" width="15.44140625" bestFit="1" customWidth="1"/>
    <col min="26" max="26" width="16.5546875" bestFit="1" customWidth="1"/>
    <col min="27" max="27" width="17" bestFit="1" customWidth="1"/>
    <col min="28" max="28" width="15.44140625" bestFit="1" customWidth="1"/>
    <col min="29" max="29" width="17.109375" customWidth="1"/>
    <col min="31" max="31" width="17.5546875" bestFit="1" customWidth="1"/>
    <col min="32" max="32" width="18.5546875" bestFit="1" customWidth="1"/>
    <col min="33" max="33" width="13.88671875" bestFit="1" customWidth="1"/>
    <col min="34" max="34" width="18.5546875" bestFit="1" customWidth="1"/>
    <col min="37" max="37" width="15.5546875" bestFit="1" customWidth="1"/>
  </cols>
  <sheetData>
    <row r="1" spans="1:38" x14ac:dyDescent="0.3">
      <c r="A1" s="20" t="s">
        <v>30</v>
      </c>
      <c r="P1" s="242">
        <v>1000</v>
      </c>
      <c r="AE1" t="s">
        <v>29</v>
      </c>
    </row>
    <row r="2" spans="1:38" x14ac:dyDescent="0.3">
      <c r="A2" s="33"/>
      <c r="B2" s="33"/>
      <c r="C2" s="61" t="s">
        <v>28</v>
      </c>
      <c r="D2" s="61" t="s">
        <v>27</v>
      </c>
      <c r="E2" s="61" t="s">
        <v>26</v>
      </c>
      <c r="F2" s="61" t="s">
        <v>25</v>
      </c>
      <c r="G2" s="61" t="s">
        <v>24</v>
      </c>
      <c r="H2" s="19" t="s">
        <v>23</v>
      </c>
      <c r="K2" s="60" t="s">
        <v>22</v>
      </c>
      <c r="M2" s="59" t="s">
        <v>21</v>
      </c>
      <c r="O2" s="33"/>
      <c r="P2" s="58" t="s">
        <v>9</v>
      </c>
      <c r="Q2" s="58" t="s">
        <v>8</v>
      </c>
      <c r="R2" s="33"/>
      <c r="S2" s="33"/>
      <c r="U2" s="57" t="s">
        <v>9</v>
      </c>
      <c r="V2" s="57" t="s">
        <v>8</v>
      </c>
      <c r="W2" s="35"/>
      <c r="X2" s="35"/>
      <c r="Z2" s="56" t="s">
        <v>20</v>
      </c>
      <c r="AA2" s="55" t="s">
        <v>19</v>
      </c>
      <c r="AB2" s="55" t="s">
        <v>18</v>
      </c>
      <c r="AC2" s="55" t="s">
        <v>17</v>
      </c>
      <c r="AE2" s="54" t="s">
        <v>9</v>
      </c>
      <c r="AF2" s="54" t="s">
        <v>8</v>
      </c>
    </row>
    <row r="3" spans="1:38" x14ac:dyDescent="0.3">
      <c r="A3" s="33" t="s">
        <v>129</v>
      </c>
      <c r="B3" s="33"/>
      <c r="C3" s="51">
        <f>H3</f>
        <v>141599491827.82724</v>
      </c>
      <c r="D3" s="51"/>
      <c r="E3" s="53"/>
      <c r="F3" s="52"/>
      <c r="G3" s="51"/>
      <c r="H3" s="1">
        <v>141599491827.82724</v>
      </c>
      <c r="K3" s="44"/>
      <c r="M3" s="43"/>
      <c r="O3" s="33"/>
      <c r="P3" s="33"/>
      <c r="Q3" s="33"/>
      <c r="R3" s="33"/>
      <c r="S3" s="33"/>
      <c r="U3" s="35"/>
      <c r="V3" s="35"/>
      <c r="W3" s="35"/>
      <c r="X3" s="35"/>
      <c r="Z3" s="25"/>
      <c r="AA3" s="25"/>
      <c r="AB3" s="25"/>
      <c r="AC3" s="25"/>
      <c r="AE3" s="36"/>
      <c r="AF3" s="36"/>
    </row>
    <row r="4" spans="1:38" x14ac:dyDescent="0.3">
      <c r="A4" s="33" t="s">
        <v>7</v>
      </c>
      <c r="B4" s="33" t="s">
        <v>16</v>
      </c>
      <c r="C4" s="32"/>
      <c r="D4" s="32">
        <f>C3+E3-F4</f>
        <v>141599491827.82724</v>
      </c>
      <c r="E4" s="31">
        <f t="shared" ref="E4:E16" si="0">IF(H4&gt;0,H4,0)</f>
        <v>20374036546.952736</v>
      </c>
      <c r="F4" s="30">
        <f t="shared" ref="F4:F16" si="1">IF(H4&lt;0,-H4,0)</f>
        <v>0</v>
      </c>
      <c r="G4" s="32"/>
      <c r="H4" s="39">
        <f t="shared" ref="H4:H14" si="2">M4</f>
        <v>20374036546.952736</v>
      </c>
      <c r="K4" s="44">
        <v>19255256395</v>
      </c>
      <c r="M4" s="43">
        <f>AA4</f>
        <v>20374036546.952736</v>
      </c>
      <c r="O4" s="49" t="s">
        <v>15</v>
      </c>
      <c r="P4" s="48">
        <v>3872.970420142407</v>
      </c>
      <c r="Q4" s="48">
        <v>4560.8</v>
      </c>
      <c r="R4" s="48">
        <f t="shared" ref="R4:R13" si="3">Q4-P4</f>
        <v>687.82957985759322</v>
      </c>
      <c r="S4" s="47">
        <f t="shared" ref="S4:S13" si="4">R4/P4</f>
        <v>0.17759742658512276</v>
      </c>
      <c r="T4" s="6"/>
      <c r="U4" s="35"/>
      <c r="V4" s="35"/>
      <c r="W4" s="35"/>
      <c r="X4" s="35"/>
      <c r="Z4" s="46">
        <f>SUM(AA4:AC4)</f>
        <v>18051293527.380432</v>
      </c>
      <c r="AA4" s="45">
        <f>R4*P5*U5</f>
        <v>20374036546.952736</v>
      </c>
      <c r="AB4" s="45">
        <f>R5*Q4*U5</f>
        <v>-849408611.45553124</v>
      </c>
      <c r="AC4" s="45">
        <f>Q4*Q5*W5</f>
        <v>-1473334408.11677</v>
      </c>
      <c r="AE4" s="34">
        <f>P4*P5*U5</f>
        <v>114720336542.64366</v>
      </c>
      <c r="AF4" s="34">
        <f>Q4*Q5*U5</f>
        <v>134244964478.14087</v>
      </c>
      <c r="AH4" s="1">
        <f>Q4*Q5*V5</f>
        <v>132771630070.02409</v>
      </c>
      <c r="AI4" s="18">
        <f>AH4-AF4-AC4</f>
        <v>-5.4836273193359375E-6</v>
      </c>
      <c r="AK4" s="18">
        <f>AF4-AE4</f>
        <v>19524627935.497208</v>
      </c>
      <c r="AL4" s="6">
        <f>AK4/AE4</f>
        <v>0.17019325887559217</v>
      </c>
    </row>
    <row r="5" spans="1:38" x14ac:dyDescent="0.3">
      <c r="A5" s="33"/>
      <c r="B5" s="33" t="s">
        <v>14</v>
      </c>
      <c r="C5" s="32"/>
      <c r="D5" s="32">
        <f t="shared" ref="D5:D15" si="5">D4+E4-F5</f>
        <v>161124119763.32443</v>
      </c>
      <c r="E5" s="31">
        <f t="shared" si="0"/>
        <v>0</v>
      </c>
      <c r="F5" s="30">
        <f t="shared" si="1"/>
        <v>849408611.45553124</v>
      </c>
      <c r="G5" s="32"/>
      <c r="H5" s="39">
        <f t="shared" si="2"/>
        <v>-849408611.45553124</v>
      </c>
      <c r="K5" s="44">
        <v>267884844.26565868</v>
      </c>
      <c r="L5" s="18">
        <f>SUM(K4:K5)-SUM(M4:M5)</f>
        <v>-1486696.2315444946</v>
      </c>
      <c r="M5" s="43">
        <f>AB4</f>
        <v>-849408611.45553124</v>
      </c>
      <c r="O5" s="33" t="s">
        <v>13</v>
      </c>
      <c r="P5" s="42">
        <v>1117.764618335714</v>
      </c>
      <c r="Q5" s="42">
        <v>1110.7366506218775</v>
      </c>
      <c r="R5" s="42">
        <f t="shared" si="3"/>
        <v>-7.0279677138364605</v>
      </c>
      <c r="S5" s="41">
        <f t="shared" si="4"/>
        <v>-6.2875202869640771E-3</v>
      </c>
      <c r="U5" s="40">
        <v>26500</v>
      </c>
      <c r="V5" s="40">
        <v>26209.163304807222</v>
      </c>
      <c r="W5" s="27">
        <f>V5-U5</f>
        <v>-290.83669519277828</v>
      </c>
      <c r="X5" s="26">
        <f>W5/U5</f>
        <v>-1.0974969629916162E-2</v>
      </c>
      <c r="Z5" s="25"/>
      <c r="AA5" s="25"/>
      <c r="AB5" s="25"/>
      <c r="AC5" s="25"/>
      <c r="AE5" s="36"/>
      <c r="AF5" s="36"/>
    </row>
    <row r="6" spans="1:38" x14ac:dyDescent="0.3">
      <c r="A6" s="33" t="s">
        <v>6</v>
      </c>
      <c r="B6" s="33" t="s">
        <v>16</v>
      </c>
      <c r="C6" s="32"/>
      <c r="D6" s="32">
        <f t="shared" si="5"/>
        <v>158824491971.65778</v>
      </c>
      <c r="E6" s="31">
        <f t="shared" si="0"/>
        <v>0</v>
      </c>
      <c r="F6" s="30">
        <f t="shared" si="1"/>
        <v>2299627791.6666665</v>
      </c>
      <c r="G6" s="32"/>
      <c r="H6" s="39">
        <f t="shared" si="2"/>
        <v>-2299627791.6666665</v>
      </c>
      <c r="K6" s="44">
        <v>-3158442250</v>
      </c>
      <c r="M6" s="43">
        <f>AA6</f>
        <v>-2299627791.6666665</v>
      </c>
      <c r="O6" s="49" t="s">
        <v>15</v>
      </c>
      <c r="P6" s="48">
        <v>636</v>
      </c>
      <c r="Q6" s="48">
        <v>562.375</v>
      </c>
      <c r="R6" s="48">
        <f t="shared" si="3"/>
        <v>-73.625</v>
      </c>
      <c r="S6" s="47">
        <f t="shared" si="4"/>
        <v>-0.1157625786163522</v>
      </c>
      <c r="U6" s="35"/>
      <c r="V6" s="35"/>
      <c r="W6" s="35"/>
      <c r="X6" s="35"/>
      <c r="Z6" s="46">
        <f>SUM(AA6:AC6)</f>
        <v>-2493688594</v>
      </c>
      <c r="AA6" s="45">
        <f>R6*P7*U7</f>
        <v>-2299627791.6666665</v>
      </c>
      <c r="AB6" s="45">
        <f>R7*Q6*U7</f>
        <v>-1759706.9759762655</v>
      </c>
      <c r="AC6" s="45">
        <f>Q6*Q7*W7</f>
        <v>-192301095.35735726</v>
      </c>
      <c r="AE6" s="34">
        <f>P6*P7*U7</f>
        <v>19865036000</v>
      </c>
      <c r="AF6" s="34">
        <f>Q6*Q7*U7</f>
        <v>17563648501.357357</v>
      </c>
      <c r="AH6" s="1">
        <f>Q6*Q7*V7</f>
        <v>17371347406</v>
      </c>
      <c r="AI6" s="18">
        <f>AH6-AF6-AC6</f>
        <v>2.384185791015625E-7</v>
      </c>
      <c r="AK6" s="18">
        <f>AF6-AE6</f>
        <v>-2301387498.642643</v>
      </c>
      <c r="AL6" s="6">
        <f>AK6/AE6</f>
        <v>-0.11585116174179814</v>
      </c>
    </row>
    <row r="7" spans="1:38" x14ac:dyDescent="0.3">
      <c r="A7" s="33"/>
      <c r="B7" s="33" t="s">
        <v>14</v>
      </c>
      <c r="C7" s="32"/>
      <c r="D7" s="32">
        <f>D6+E6-F7</f>
        <v>158822732264.68179</v>
      </c>
      <c r="E7" s="31">
        <f t="shared" si="0"/>
        <v>0</v>
      </c>
      <c r="F7" s="30">
        <f t="shared" si="1"/>
        <v>1759706.9759762655</v>
      </c>
      <c r="G7" s="32"/>
      <c r="H7" s="39">
        <f t="shared" si="2"/>
        <v>-1759706.9759762655</v>
      </c>
      <c r="K7" s="44">
        <v>857054751.35735869</v>
      </c>
      <c r="L7" s="18">
        <f>SUM(K6:K7)-SUM(M6:M7)</f>
        <v>0</v>
      </c>
      <c r="M7" s="43">
        <f>AB6</f>
        <v>-1759706.9759762655</v>
      </c>
      <c r="O7" s="33" t="s">
        <v>13</v>
      </c>
      <c r="P7" s="42">
        <v>1178.6540880503144</v>
      </c>
      <c r="Q7" s="42">
        <v>1178.53601018976</v>
      </c>
      <c r="R7" s="42">
        <f t="shared" si="3"/>
        <v>-0.11807786055442193</v>
      </c>
      <c r="S7" s="41">
        <f t="shared" si="4"/>
        <v>-1.0018024944854001E-4</v>
      </c>
      <c r="U7" s="40">
        <v>26500</v>
      </c>
      <c r="V7" s="40">
        <v>26209.856467090187</v>
      </c>
      <c r="W7" s="27">
        <f>V7-U7</f>
        <v>-290.14353290981308</v>
      </c>
      <c r="X7" s="26">
        <f>W7/U7</f>
        <v>-1.0948812562634455E-2</v>
      </c>
      <c r="Z7" s="25"/>
      <c r="AA7" s="25"/>
      <c r="AB7" s="25"/>
      <c r="AC7" s="25"/>
      <c r="AE7" s="36"/>
      <c r="AF7" s="36"/>
    </row>
    <row r="8" spans="1:38" x14ac:dyDescent="0.3">
      <c r="A8" s="33" t="s">
        <v>5</v>
      </c>
      <c r="B8" s="33" t="s">
        <v>131</v>
      </c>
      <c r="C8" s="32"/>
      <c r="D8" s="32">
        <f t="shared" si="5"/>
        <v>158822732264.68179</v>
      </c>
      <c r="E8" s="31">
        <f t="shared" si="0"/>
        <v>3951548369.8277454</v>
      </c>
      <c r="F8" s="30">
        <f t="shared" si="1"/>
        <v>0</v>
      </c>
      <c r="G8" s="32"/>
      <c r="H8" s="39">
        <f t="shared" si="2"/>
        <v>3951548369.8277454</v>
      </c>
      <c r="K8" s="44">
        <v>3951548369.827745</v>
      </c>
      <c r="M8" s="43">
        <f>AA8</f>
        <v>3951548369.8277454</v>
      </c>
      <c r="O8" s="49" t="s">
        <v>15</v>
      </c>
      <c r="P8" s="48">
        <v>0</v>
      </c>
      <c r="Q8" s="48">
        <v>223.72499999999999</v>
      </c>
      <c r="R8" s="48">
        <f t="shared" si="3"/>
        <v>223.72499999999999</v>
      </c>
      <c r="S8" s="47" t="e">
        <f t="shared" si="4"/>
        <v>#DIV/0!</v>
      </c>
      <c r="U8" s="35"/>
      <c r="V8" s="35"/>
      <c r="W8" s="35"/>
      <c r="X8" s="35"/>
      <c r="Z8" s="46">
        <f>SUM(AA8:AC8)</f>
        <v>3951548369.8277454</v>
      </c>
      <c r="AA8" s="263">
        <f>Q8*Q9*V9</f>
        <v>3951548369.8277454</v>
      </c>
      <c r="AB8" s="263"/>
      <c r="AC8" s="263"/>
      <c r="AE8" s="263">
        <f>P8*P9*U9</f>
        <v>0</v>
      </c>
      <c r="AF8" s="263">
        <f>AA8</f>
        <v>3951548369.8277454</v>
      </c>
      <c r="AH8" s="1">
        <f>Q8*Q9*V9</f>
        <v>3951548369.8277454</v>
      </c>
      <c r="AI8" s="18">
        <f>AH8-AF8-AC8</f>
        <v>0</v>
      </c>
      <c r="AK8" s="18">
        <f>AF8-AE8</f>
        <v>3951548369.8277454</v>
      </c>
      <c r="AL8" s="6" t="e">
        <f>AK8/AE8</f>
        <v>#DIV/0!</v>
      </c>
    </row>
    <row r="9" spans="1:38" x14ac:dyDescent="0.3">
      <c r="A9" s="33"/>
      <c r="B9" s="33" t="s">
        <v>131</v>
      </c>
      <c r="C9" s="32"/>
      <c r="D9" s="32">
        <f t="shared" si="5"/>
        <v>162774280634.50955</v>
      </c>
      <c r="E9" s="31">
        <f t="shared" si="0"/>
        <v>0</v>
      </c>
      <c r="F9" s="30">
        <f t="shared" si="1"/>
        <v>0</v>
      </c>
      <c r="G9" s="32"/>
      <c r="H9" s="39">
        <f t="shared" si="2"/>
        <v>0</v>
      </c>
      <c r="K9" s="44" t="s">
        <v>164</v>
      </c>
      <c r="L9" s="18">
        <f>SUM(K8:K9)-SUM(M8:M9)</f>
        <v>0</v>
      </c>
      <c r="M9" s="43">
        <f>AB8</f>
        <v>0</v>
      </c>
      <c r="O9" s="33" t="s">
        <v>13</v>
      </c>
      <c r="P9" s="42">
        <v>0</v>
      </c>
      <c r="Q9" s="42">
        <v>673.90655005074348</v>
      </c>
      <c r="R9" s="42">
        <f t="shared" si="3"/>
        <v>673.90655005074348</v>
      </c>
      <c r="S9" s="41" t="e">
        <f t="shared" si="4"/>
        <v>#DIV/0!</v>
      </c>
      <c r="U9" s="40">
        <v>26500</v>
      </c>
      <c r="V9" s="40">
        <v>26209.160363056937</v>
      </c>
      <c r="W9" s="27">
        <f>V9-U9</f>
        <v>-290.83963694306294</v>
      </c>
      <c r="X9" s="26">
        <f>W9/U9</f>
        <v>-1.0975080639360866E-2</v>
      </c>
      <c r="Z9" s="25"/>
      <c r="AA9" s="25"/>
      <c r="AB9" s="25"/>
      <c r="AC9" s="25"/>
      <c r="AE9" s="36"/>
      <c r="AF9" s="36"/>
    </row>
    <row r="10" spans="1:38" x14ac:dyDescent="0.3">
      <c r="A10" s="33" t="s">
        <v>4</v>
      </c>
      <c r="B10" s="33" t="s">
        <v>16</v>
      </c>
      <c r="C10" s="32"/>
      <c r="D10" s="32">
        <f t="shared" si="5"/>
        <v>161889440113.67621</v>
      </c>
      <c r="E10" s="31">
        <f t="shared" si="0"/>
        <v>0</v>
      </c>
      <c r="F10" s="30">
        <f t="shared" si="1"/>
        <v>884840520.83333325</v>
      </c>
      <c r="G10" s="32"/>
      <c r="H10" s="39">
        <f t="shared" si="2"/>
        <v>-884840520.83333325</v>
      </c>
      <c r="K10" s="44"/>
      <c r="M10" s="43">
        <f>AA10</f>
        <v>-884840520.83333325</v>
      </c>
      <c r="O10" s="49" t="s">
        <v>15</v>
      </c>
      <c r="P10" s="48">
        <v>72</v>
      </c>
      <c r="Q10" s="48">
        <v>23.725000000000001</v>
      </c>
      <c r="R10" s="48">
        <f t="shared" si="3"/>
        <v>-48.274999999999999</v>
      </c>
      <c r="S10" s="47">
        <f t="shared" si="4"/>
        <v>-0.67048611111111112</v>
      </c>
      <c r="T10" s="50"/>
      <c r="U10" s="35"/>
      <c r="V10" s="35"/>
      <c r="W10" s="35"/>
      <c r="X10" s="35"/>
      <c r="Z10" s="46">
        <f>SUM(AA10:AC10)</f>
        <v>-906472299.12677991</v>
      </c>
      <c r="AA10" s="45">
        <f>R10*P11*U11</f>
        <v>-884840520.83333325</v>
      </c>
      <c r="AB10" s="45">
        <f>R11*Q10*U11</f>
        <v>-17046244.349131957</v>
      </c>
      <c r="AC10" s="45">
        <f>Q10*Q11*W11</f>
        <v>-4585533.9443147182</v>
      </c>
      <c r="AE10" s="34">
        <f>P10*P11*U11</f>
        <v>1319700000</v>
      </c>
      <c r="AF10" s="34">
        <f>Q10*Q11*U11</f>
        <v>417813234.81753474</v>
      </c>
      <c r="AH10" s="1">
        <f>Q10*Q11*V11</f>
        <v>413227700.87322003</v>
      </c>
      <c r="AI10" s="18">
        <f>AH10-AF10-AC10</f>
        <v>0</v>
      </c>
      <c r="AK10" s="18">
        <f>AF10-AE10</f>
        <v>-901886765.18246531</v>
      </c>
      <c r="AL10" s="6">
        <f>AK10/AE10</f>
        <v>-0.6834028682143406</v>
      </c>
    </row>
    <row r="11" spans="1:38" x14ac:dyDescent="0.3">
      <c r="A11" s="33"/>
      <c r="B11" s="33" t="s">
        <v>14</v>
      </c>
      <c r="C11" s="32"/>
      <c r="D11" s="32">
        <f t="shared" si="5"/>
        <v>161872393869.32709</v>
      </c>
      <c r="E11" s="31">
        <f t="shared" si="0"/>
        <v>0</v>
      </c>
      <c r="F11" s="30">
        <f t="shared" si="1"/>
        <v>17046244.349131957</v>
      </c>
      <c r="G11" s="32"/>
      <c r="H11" s="39">
        <f t="shared" si="2"/>
        <v>-17046244.349131957</v>
      </c>
      <c r="K11" s="44"/>
      <c r="L11" s="18">
        <f>SUM(K10:K11)-SUM(M10:M11)</f>
        <v>901886765.1824652</v>
      </c>
      <c r="M11" s="43">
        <f>AB10</f>
        <v>-17046244.349131957</v>
      </c>
      <c r="O11" s="33" t="s">
        <v>13</v>
      </c>
      <c r="P11" s="42">
        <v>691.66666666666663</v>
      </c>
      <c r="Q11" s="42">
        <v>664.55372657221653</v>
      </c>
      <c r="R11" s="42">
        <f t="shared" si="3"/>
        <v>-27.112940094450096</v>
      </c>
      <c r="S11" s="41">
        <f t="shared" si="4"/>
        <v>-3.9199431461855561E-2</v>
      </c>
      <c r="U11" s="40">
        <v>26500</v>
      </c>
      <c r="V11" s="40">
        <v>26209.160363056933</v>
      </c>
      <c r="W11" s="27">
        <f>V11-U11</f>
        <v>-290.83963694306658</v>
      </c>
      <c r="X11" s="26">
        <f>W11/U11</f>
        <v>-1.0975080639361003E-2</v>
      </c>
      <c r="Z11" s="25"/>
      <c r="AA11" s="25"/>
      <c r="AB11" s="25"/>
      <c r="AC11" s="25"/>
      <c r="AE11" s="36"/>
      <c r="AF11" s="36"/>
      <c r="AH11" s="1"/>
      <c r="AI11" s="18"/>
    </row>
    <row r="12" spans="1:38" x14ac:dyDescent="0.3">
      <c r="A12" s="33" t="s">
        <v>3</v>
      </c>
      <c r="B12" s="33" t="s">
        <v>16</v>
      </c>
      <c r="C12" s="32"/>
      <c r="D12" s="32">
        <f t="shared" si="5"/>
        <v>161872393869.32709</v>
      </c>
      <c r="E12" s="31">
        <f t="shared" si="0"/>
        <v>4544617311.528573</v>
      </c>
      <c r="F12" s="30">
        <f t="shared" si="1"/>
        <v>0</v>
      </c>
      <c r="G12" s="32"/>
      <c r="H12" s="39">
        <f t="shared" si="2"/>
        <v>4544617311.528573</v>
      </c>
      <c r="K12" s="44"/>
      <c r="M12" s="43">
        <f>AA12</f>
        <v>4544617311.528573</v>
      </c>
      <c r="O12" s="49" t="s">
        <v>15</v>
      </c>
      <c r="P12" s="48">
        <v>86.586983333333322</v>
      </c>
      <c r="Q12" s="48">
        <v>363.5</v>
      </c>
      <c r="R12" s="48">
        <f t="shared" si="3"/>
        <v>276.91301666666669</v>
      </c>
      <c r="S12" s="47">
        <f t="shared" si="4"/>
        <v>3.1980905905987802</v>
      </c>
      <c r="U12" s="35"/>
      <c r="V12" s="35"/>
      <c r="W12" s="35"/>
      <c r="X12" s="35"/>
      <c r="Z12" s="46">
        <f>SUM(AA12:AC12)</f>
        <v>4585160380.1264458</v>
      </c>
      <c r="AA12" s="45">
        <f>R12*P13*U13</f>
        <v>4544617311.528573</v>
      </c>
      <c r="AB12" s="45">
        <f>R13*Q12*U13</f>
        <v>107662442.28078195</v>
      </c>
      <c r="AC12" s="45">
        <f>Q12*Q13*W13</f>
        <v>-67119373.682908803</v>
      </c>
      <c r="AE12" s="34">
        <f>P12*P13*U13</f>
        <v>1421040831.3285713</v>
      </c>
      <c r="AF12" s="34">
        <f>Q12*Q13*U13</f>
        <v>6073320585.1379251</v>
      </c>
      <c r="AH12" s="1">
        <f>Q12*Q13*V13</f>
        <v>6006201211.4550161</v>
      </c>
      <c r="AI12" s="18">
        <f>AH12-AF12-AC12</f>
        <v>-2.0861625671386719E-7</v>
      </c>
      <c r="AK12" s="18">
        <f>AF12-AE12</f>
        <v>4652279753.8093538</v>
      </c>
      <c r="AL12" s="6">
        <f>AK12/AE12</f>
        <v>3.2738536791091399</v>
      </c>
    </row>
    <row r="13" spans="1:38" x14ac:dyDescent="0.3">
      <c r="A13" s="33"/>
      <c r="B13" s="33" t="s">
        <v>14</v>
      </c>
      <c r="C13" s="32"/>
      <c r="D13" s="32">
        <f t="shared" si="5"/>
        <v>166417011180.85565</v>
      </c>
      <c r="E13" s="31">
        <f t="shared" si="0"/>
        <v>107662442.28078195</v>
      </c>
      <c r="F13" s="30">
        <f t="shared" si="1"/>
        <v>0</v>
      </c>
      <c r="G13" s="32"/>
      <c r="H13" s="39">
        <f t="shared" si="2"/>
        <v>107662442.28078195</v>
      </c>
      <c r="K13" s="44"/>
      <c r="L13" s="18">
        <f>SUM(K12:K13)-SUM(M12:M13)</f>
        <v>-4652279753.8093548</v>
      </c>
      <c r="M13" s="43">
        <f>AB12</f>
        <v>107662442.28078195</v>
      </c>
      <c r="O13" s="33" t="s">
        <v>13</v>
      </c>
      <c r="P13" s="42">
        <v>619.30997304582218</v>
      </c>
      <c r="Q13" s="42">
        <v>630.48668190682054</v>
      </c>
      <c r="R13" s="42">
        <f t="shared" si="3"/>
        <v>11.17670886099836</v>
      </c>
      <c r="S13" s="41">
        <f t="shared" si="4"/>
        <v>1.8047035164039583E-2</v>
      </c>
      <c r="U13" s="40">
        <v>26500</v>
      </c>
      <c r="V13" s="40">
        <v>26207.134939171552</v>
      </c>
      <c r="W13" s="27">
        <f>V13-U13</f>
        <v>-292.86506082844789</v>
      </c>
      <c r="X13" s="26">
        <f>W13/U13</f>
        <v>-1.1051511729375392E-2</v>
      </c>
      <c r="Z13" s="25"/>
      <c r="AA13" s="25"/>
      <c r="AB13" s="25"/>
      <c r="AC13" s="25"/>
      <c r="AE13" s="36"/>
      <c r="AF13" s="36"/>
    </row>
    <row r="14" spans="1:38" x14ac:dyDescent="0.3">
      <c r="A14" s="33" t="s">
        <v>12</v>
      </c>
      <c r="B14" s="33"/>
      <c r="C14" s="32"/>
      <c r="D14" s="32">
        <f t="shared" si="5"/>
        <v>164743483394.74512</v>
      </c>
      <c r="E14" s="31">
        <f t="shared" si="0"/>
        <v>0</v>
      </c>
      <c r="F14" s="30">
        <f t="shared" si="1"/>
        <v>1781190228.391324</v>
      </c>
      <c r="G14" s="32"/>
      <c r="H14" s="39">
        <f t="shared" si="2"/>
        <v>-1781190228.391324</v>
      </c>
      <c r="K14" s="38">
        <v>-1731384316.2512119</v>
      </c>
      <c r="L14" s="18">
        <f>M14-K14</f>
        <v>-5956094.8501389027</v>
      </c>
      <c r="M14" s="37">
        <f>AC4+AC6+AC8+AC10+AC12</f>
        <v>-1737340411.1013508</v>
      </c>
      <c r="U14" s="35"/>
      <c r="V14" s="35"/>
      <c r="W14" s="35"/>
      <c r="X14" s="35"/>
      <c r="Z14" s="25"/>
      <c r="AA14" s="25"/>
      <c r="AB14" s="25"/>
      <c r="AC14" s="25"/>
      <c r="AE14" s="36"/>
      <c r="AF14" s="36"/>
    </row>
    <row r="15" spans="1:38" x14ac:dyDescent="0.3">
      <c r="A15" s="33" t="s">
        <v>1</v>
      </c>
      <c r="B15" s="33"/>
      <c r="C15" s="32"/>
      <c r="D15" s="32">
        <f t="shared" si="5"/>
        <v>164743483394.74512</v>
      </c>
      <c r="E15" s="31">
        <f t="shared" si="0"/>
        <v>7560749002.1099243</v>
      </c>
      <c r="F15" s="30">
        <f t="shared" si="1"/>
        <v>0</v>
      </c>
      <c r="G15" s="32"/>
      <c r="H15" s="18">
        <f>H17-SUM(H3:H14,H16)</f>
        <v>7560749002.1099243</v>
      </c>
      <c r="U15" s="35"/>
      <c r="V15" s="35"/>
      <c r="W15" s="35"/>
      <c r="X15" s="35"/>
      <c r="Z15" s="25"/>
      <c r="AA15" s="25"/>
      <c r="AB15" s="25"/>
      <c r="AC15" s="25"/>
      <c r="AE15" s="34">
        <f>AE17-SUM(AE3:AE14)</f>
        <v>4273378453.855011</v>
      </c>
      <c r="AF15" s="34">
        <f>AF17-SUM(AF3:AF14)</f>
        <v>12835717588.109894</v>
      </c>
    </row>
    <row r="16" spans="1:38" x14ac:dyDescent="0.3">
      <c r="A16" s="33" t="s">
        <v>115</v>
      </c>
      <c r="B16" s="33" t="s">
        <v>114</v>
      </c>
      <c r="C16" s="32"/>
      <c r="D16" s="32">
        <f>D15+E15-F16</f>
        <v>172304232396.85504</v>
      </c>
      <c r="E16" s="31">
        <f t="shared" si="0"/>
        <v>1001590132.144989</v>
      </c>
      <c r="F16" s="30">
        <f t="shared" si="1"/>
        <v>0</v>
      </c>
      <c r="G16" s="32"/>
      <c r="H16" s="18">
        <f>G20-C20</f>
        <v>1001590132.144989</v>
      </c>
      <c r="U16" s="35"/>
      <c r="V16" s="35"/>
      <c r="W16" s="35"/>
      <c r="X16" s="35"/>
      <c r="Z16" s="25"/>
      <c r="AA16" s="25"/>
      <c r="AB16" s="25"/>
      <c r="AC16" s="25"/>
      <c r="AE16" s="34"/>
      <c r="AF16" s="34"/>
    </row>
    <row r="17" spans="1:34" x14ac:dyDescent="0.3">
      <c r="A17" s="33" t="s">
        <v>130</v>
      </c>
      <c r="B17" s="33"/>
      <c r="C17" s="32"/>
      <c r="D17" s="32"/>
      <c r="E17" s="31"/>
      <c r="F17" s="30"/>
      <c r="G17" s="97">
        <f>D16+E16</f>
        <v>173305822529.00003</v>
      </c>
      <c r="H17" s="1">
        <v>173305822529.00003</v>
      </c>
      <c r="I17" s="18">
        <f>H17-H3</f>
        <v>31706330701.172791</v>
      </c>
      <c r="J17" s="6">
        <f>H17/H3-1</f>
        <v>0.22391556842396687</v>
      </c>
      <c r="K17" s="6"/>
      <c r="U17" s="28">
        <v>26500</v>
      </c>
      <c r="V17" s="28">
        <v>26209.162244895542</v>
      </c>
      <c r="W17" s="27">
        <f>V17-U17</f>
        <v>-290.83775510445776</v>
      </c>
      <c r="X17" s="26">
        <f>W17/U17</f>
        <v>-1.0975009626583312E-2</v>
      </c>
      <c r="Z17" s="25"/>
      <c r="AA17" s="25"/>
      <c r="AB17" s="25"/>
      <c r="AC17" s="25"/>
      <c r="AE17" s="24">
        <f>C3</f>
        <v>141599491827.82724</v>
      </c>
      <c r="AF17" s="23">
        <f>G17-H14</f>
        <v>175087012757.39136</v>
      </c>
      <c r="AG17" s="18"/>
      <c r="AH17" s="1">
        <f>G17-AF17</f>
        <v>-1781190228.3913269</v>
      </c>
    </row>
    <row r="18" spans="1:34" s="21" customFormat="1" x14ac:dyDescent="0.3">
      <c r="A18" s="21" t="s">
        <v>11</v>
      </c>
      <c r="G18" s="22">
        <f>G17-H17</f>
        <v>0</v>
      </c>
    </row>
    <row r="19" spans="1:34" x14ac:dyDescent="0.3">
      <c r="O19" s="20" t="s">
        <v>10</v>
      </c>
      <c r="P19" s="19" t="s">
        <v>9</v>
      </c>
      <c r="Q19" s="19" t="s">
        <v>8</v>
      </c>
    </row>
    <row r="20" spans="1:34" x14ac:dyDescent="0.3">
      <c r="A20" s="65" t="s">
        <v>107</v>
      </c>
      <c r="B20" s="65"/>
      <c r="C20" s="213">
        <f>C3-C21</f>
        <v>4127628453.8549805</v>
      </c>
      <c r="D20" s="201"/>
      <c r="E20" s="201"/>
      <c r="F20" s="201"/>
      <c r="G20" s="214">
        <f>H17-G21</f>
        <v>5129218585.9999695</v>
      </c>
      <c r="O20" t="s">
        <v>7</v>
      </c>
      <c r="P20" s="17">
        <f>P4*P5*U5/10^9</f>
        <v>114.72033654264366</v>
      </c>
      <c r="Q20" s="17">
        <f>Q4*Q5*V5/10^9</f>
        <v>132.77163007002409</v>
      </c>
      <c r="R20" s="7">
        <f t="shared" ref="R20:R27" si="6">Q20-P20</f>
        <v>18.051293527380423</v>
      </c>
      <c r="S20" s="16">
        <f t="shared" ref="S20:S27" si="7">IFERROR(R20/P20,0)</f>
        <v>0.15735042339829977</v>
      </c>
      <c r="U20">
        <f>Q20/Q27</f>
        <v>0.7661117678132644</v>
      </c>
    </row>
    <row r="21" spans="1:34" x14ac:dyDescent="0.3">
      <c r="A21" s="65" t="s">
        <v>108</v>
      </c>
      <c r="B21" s="65"/>
      <c r="C21" s="202">
        <v>137471863373.97226</v>
      </c>
      <c r="D21" s="201"/>
      <c r="E21" s="201"/>
      <c r="F21" s="201"/>
      <c r="G21" s="202">
        <v>168176603943.00006</v>
      </c>
      <c r="O21" t="s">
        <v>6</v>
      </c>
      <c r="P21" s="17">
        <f>P6*P7*U7/10^9</f>
        <v>19.865036</v>
      </c>
      <c r="Q21" s="17">
        <f>Q6*Q7*V7/10^9</f>
        <v>17.371347406000002</v>
      </c>
      <c r="R21" s="7">
        <f t="shared" si="6"/>
        <v>-2.4936885939999982</v>
      </c>
      <c r="S21" s="16">
        <f t="shared" si="7"/>
        <v>-0.12553154164935812</v>
      </c>
    </row>
    <row r="22" spans="1:34" x14ac:dyDescent="0.3">
      <c r="O22" t="s">
        <v>5</v>
      </c>
      <c r="P22" s="17">
        <f>P8*P9*U9/10^9</f>
        <v>0</v>
      </c>
      <c r="Q22" s="17">
        <f>Q8*Q9*V9/10^9</f>
        <v>3.9515483698277456</v>
      </c>
      <c r="R22" s="7">
        <f t="shared" si="6"/>
        <v>3.9515483698277456</v>
      </c>
      <c r="S22" s="16">
        <f t="shared" si="7"/>
        <v>0</v>
      </c>
    </row>
    <row r="23" spans="1:34" x14ac:dyDescent="0.3">
      <c r="A23" s="1"/>
      <c r="C23" s="1"/>
      <c r="O23" t="s">
        <v>4</v>
      </c>
      <c r="P23" s="17">
        <f>P10*P11*U11/10^9</f>
        <v>1.3197000000000001</v>
      </c>
      <c r="Q23" s="17">
        <f>Q10*Q11*V11/10^9</f>
        <v>0.41322770087322003</v>
      </c>
      <c r="R23" s="7">
        <f t="shared" si="6"/>
        <v>-0.90647229912678007</v>
      </c>
      <c r="S23" s="16">
        <f t="shared" si="7"/>
        <v>-0.68687754726587857</v>
      </c>
    </row>
    <row r="24" spans="1:34" x14ac:dyDescent="0.3">
      <c r="A24" s="1"/>
      <c r="C24" s="1"/>
      <c r="O24" t="s">
        <v>3</v>
      </c>
      <c r="P24" s="17">
        <f>P12*P13*U13/10^9</f>
        <v>1.4210408313285714</v>
      </c>
      <c r="Q24" s="17">
        <f>Q12*Q13*V13/10^9</f>
        <v>6.0062012114550161</v>
      </c>
      <c r="R24" s="7">
        <f t="shared" si="6"/>
        <v>4.5851603801264442</v>
      </c>
      <c r="S24" s="16">
        <f t="shared" si="7"/>
        <v>3.2266211350448302</v>
      </c>
    </row>
    <row r="25" spans="1:34" x14ac:dyDescent="0.3">
      <c r="C25" s="1"/>
      <c r="O25" t="s">
        <v>1</v>
      </c>
      <c r="P25" s="17">
        <f>C3/10^9-SUM(P20:P24,P26)</f>
        <v>0.14575000000002092</v>
      </c>
      <c r="Q25" s="17">
        <f>G17/10^9-SUM(Q20:Q24,Q26)</f>
        <v>7.6626491848199692</v>
      </c>
      <c r="R25" s="7">
        <f t="shared" si="6"/>
        <v>7.5168991848199482</v>
      </c>
      <c r="S25" s="16">
        <f t="shared" si="7"/>
        <v>51.573922365824146</v>
      </c>
    </row>
    <row r="26" spans="1:34" ht="15" thickBot="1" x14ac:dyDescent="0.35">
      <c r="C26" s="1"/>
      <c r="O26" t="s">
        <v>107</v>
      </c>
      <c r="P26" s="17">
        <f>C20/10^9</f>
        <v>4.1276284538549808</v>
      </c>
      <c r="Q26" s="17">
        <f>G20/10^9</f>
        <v>5.1292185859999693</v>
      </c>
      <c r="R26" s="7">
        <f t="shared" ref="R26" si="8">Q26-P26</f>
        <v>1.0015901321449885</v>
      </c>
      <c r="S26" s="16">
        <f t="shared" ref="S26" si="9">IFERROR(R26/P26,0)</f>
        <v>0.24265510894265632</v>
      </c>
    </row>
    <row r="27" spans="1:34" ht="15" thickBot="1" x14ac:dyDescent="0.35">
      <c r="G27" t="s">
        <v>19</v>
      </c>
      <c r="H27" s="18">
        <f>H4+H6+H8+H10+H12</f>
        <v>25685733915.809055</v>
      </c>
      <c r="O27" s="15" t="s">
        <v>0</v>
      </c>
      <c r="P27" s="14">
        <f>SUM(P20:P26)</f>
        <v>141.59949182782725</v>
      </c>
      <c r="Q27" s="14">
        <f>SUM(Q20:Q26)</f>
        <v>173.30582252900004</v>
      </c>
      <c r="R27" s="3">
        <f t="shared" si="6"/>
        <v>31.706330701172789</v>
      </c>
      <c r="S27" s="13">
        <f t="shared" si="7"/>
        <v>0.22391556842396687</v>
      </c>
    </row>
    <row r="28" spans="1:34" x14ac:dyDescent="0.3">
      <c r="G28" t="s">
        <v>18</v>
      </c>
      <c r="H28" s="18">
        <f>H5+H7+H9+H11+H13</f>
        <v>-760552120.49985743</v>
      </c>
    </row>
    <row r="30" spans="1:34" x14ac:dyDescent="0.3">
      <c r="O30" s="12" t="s">
        <v>10</v>
      </c>
      <c r="P30" s="11" t="s">
        <v>9</v>
      </c>
      <c r="Q30" s="11" t="s">
        <v>8</v>
      </c>
      <c r="R30" s="182" t="s">
        <v>96</v>
      </c>
    </row>
    <row r="31" spans="1:34" x14ac:dyDescent="0.3">
      <c r="O31" s="9" t="s">
        <v>7</v>
      </c>
      <c r="P31" s="8">
        <f>P4*P5*U5/10^9</f>
        <v>114.72033654264366</v>
      </c>
      <c r="Q31" s="8">
        <f>Q4*Q5*U5/10^9</f>
        <v>134.24496447814087</v>
      </c>
      <c r="R31" s="7">
        <f t="shared" ref="R31:R39" si="10">Q31-P31</f>
        <v>19.524627935497207</v>
      </c>
      <c r="S31" s="6">
        <f t="shared" ref="S31:S39" si="11">IFERROR(R31/P31,0)</f>
        <v>0.17019325887559214</v>
      </c>
    </row>
    <row r="32" spans="1:34" x14ac:dyDescent="0.3">
      <c r="O32" s="9" t="s">
        <v>6</v>
      </c>
      <c r="P32" s="8">
        <f>P6*P7*U7/10^9</f>
        <v>19.865036</v>
      </c>
      <c r="Q32" s="8">
        <f>Q6*Q7*U7/10^9</f>
        <v>17.563648501357356</v>
      </c>
      <c r="R32" s="7">
        <f t="shared" si="10"/>
        <v>-2.3013874986426437</v>
      </c>
      <c r="S32" s="6">
        <f t="shared" si="11"/>
        <v>-0.11585116174179819</v>
      </c>
    </row>
    <row r="33" spans="15:20" x14ac:dyDescent="0.3">
      <c r="O33" s="9" t="s">
        <v>5</v>
      </c>
      <c r="P33" s="8">
        <f>P8*P9*U9/10^9</f>
        <v>0</v>
      </c>
      <c r="Q33" s="8">
        <f>Q8*Q9*U9/10^9</f>
        <v>3.9953981871177189</v>
      </c>
      <c r="R33" s="7">
        <f t="shared" si="10"/>
        <v>3.9953981871177189</v>
      </c>
      <c r="S33" s="6">
        <f t="shared" si="11"/>
        <v>0</v>
      </c>
    </row>
    <row r="34" spans="15:20" x14ac:dyDescent="0.3">
      <c r="O34" s="9" t="s">
        <v>4</v>
      </c>
      <c r="P34" s="8">
        <f>P10*P11*U11/10^9</f>
        <v>1.3197000000000001</v>
      </c>
      <c r="Q34" s="8">
        <f>Q10*Q11*U11/10^9</f>
        <v>0.41781323481753474</v>
      </c>
      <c r="R34" s="7">
        <f t="shared" si="10"/>
        <v>-0.90188676518246536</v>
      </c>
      <c r="S34" s="6">
        <f t="shared" si="11"/>
        <v>-0.6834028682143406</v>
      </c>
    </row>
    <row r="35" spans="15:20" x14ac:dyDescent="0.3">
      <c r="O35" s="9" t="s">
        <v>3</v>
      </c>
      <c r="P35" s="8">
        <f>P12*P13*U13/10^9</f>
        <v>1.4210408313285714</v>
      </c>
      <c r="Q35" s="8">
        <f>Q12*Q13*U13/10^9</f>
        <v>6.0733205851379255</v>
      </c>
      <c r="R35" s="7">
        <f t="shared" si="10"/>
        <v>4.6522797538093545</v>
      </c>
      <c r="S35" s="6">
        <f t="shared" si="11"/>
        <v>3.2738536791091404</v>
      </c>
    </row>
    <row r="36" spans="15:20" x14ac:dyDescent="0.3">
      <c r="O36" s="9" t="s">
        <v>2</v>
      </c>
      <c r="P36" s="10"/>
      <c r="Q36" s="188">
        <f>(AC4+AC6+AC8+AC10+AC12)/10^9</f>
        <v>-1.7373404111013508</v>
      </c>
      <c r="R36" s="7">
        <f t="shared" si="10"/>
        <v>-1.7373404111013508</v>
      </c>
      <c r="S36" s="6">
        <f t="shared" si="11"/>
        <v>0</v>
      </c>
    </row>
    <row r="37" spans="15:20" x14ac:dyDescent="0.3">
      <c r="O37" s="9" t="s">
        <v>1</v>
      </c>
      <c r="P37" s="8">
        <f>C3/10^9-SUM(P31:P36,P38)</f>
        <v>0.14575000000002092</v>
      </c>
      <c r="Q37" s="8">
        <f>G17/10^9-SUM(Q31:Q36,Q38)</f>
        <v>7.6187993675299595</v>
      </c>
      <c r="R37" s="7">
        <f t="shared" si="10"/>
        <v>7.4730493675299385</v>
      </c>
      <c r="S37" s="6">
        <f t="shared" si="11"/>
        <v>51.273065986475928</v>
      </c>
    </row>
    <row r="38" spans="15:20" ht="15" thickBot="1" x14ac:dyDescent="0.35">
      <c r="O38" s="9" t="s">
        <v>107</v>
      </c>
      <c r="P38" s="8">
        <f>C20/10^9</f>
        <v>4.1276284538549808</v>
      </c>
      <c r="Q38" s="8">
        <f>G20/10^9</f>
        <v>5.1292185859999693</v>
      </c>
      <c r="R38" s="7">
        <f t="shared" ref="R38" si="12">Q38-P38</f>
        <v>1.0015901321449885</v>
      </c>
      <c r="S38" s="6">
        <f t="shared" ref="S38" si="13">IFERROR(R38/P38,0)</f>
        <v>0.24265510894265632</v>
      </c>
    </row>
    <row r="39" spans="15:20" ht="15" thickBot="1" x14ac:dyDescent="0.35">
      <c r="O39" s="5" t="s">
        <v>0</v>
      </c>
      <c r="P39" s="4">
        <f>SUM(P31:P38)</f>
        <v>141.59949182782725</v>
      </c>
      <c r="Q39" s="4">
        <f>SUM(Q31:Q38)</f>
        <v>173.30582252900004</v>
      </c>
      <c r="R39" s="3">
        <f t="shared" si="10"/>
        <v>31.706330701172789</v>
      </c>
      <c r="S39" s="2">
        <f t="shared" si="11"/>
        <v>0.22391556842396687</v>
      </c>
    </row>
    <row r="42" spans="15:20" x14ac:dyDescent="0.3">
      <c r="O42" s="172" t="s">
        <v>95</v>
      </c>
      <c r="P42" s="173" t="s">
        <v>9</v>
      </c>
      <c r="Q42" s="173" t="s">
        <v>8</v>
      </c>
      <c r="R42" s="187" t="s">
        <v>97</v>
      </c>
      <c r="S42" s="187" t="s">
        <v>98</v>
      </c>
      <c r="T42" s="187" t="s">
        <v>99</v>
      </c>
    </row>
    <row r="43" spans="15:20" x14ac:dyDescent="0.3">
      <c r="O43" s="174" t="s">
        <v>7</v>
      </c>
      <c r="P43" s="180">
        <f>P4/10^3</f>
        <v>3.8729704201424071</v>
      </c>
      <c r="Q43" s="180">
        <f>Q4/10^3</f>
        <v>4.5608000000000004</v>
      </c>
      <c r="R43" s="175">
        <f t="shared" ref="R43:R48" si="14">Q43-P43</f>
        <v>0.6878295798575933</v>
      </c>
      <c r="S43" s="176">
        <f t="shared" ref="S43:S48" si="15">IFERROR(R43/P43,0)</f>
        <v>0.17759742658512279</v>
      </c>
      <c r="T43" s="176">
        <f>Q43/P43</f>
        <v>1.1775974265851228</v>
      </c>
    </row>
    <row r="44" spans="15:20" x14ac:dyDescent="0.3">
      <c r="O44" s="174" t="s">
        <v>6</v>
      </c>
      <c r="P44" s="180">
        <f>P6/10^3</f>
        <v>0.63600000000000001</v>
      </c>
      <c r="Q44" s="180">
        <f>Q6/10^3</f>
        <v>0.56237499999999996</v>
      </c>
      <c r="R44" s="175">
        <f t="shared" si="14"/>
        <v>-7.3625000000000052E-2</v>
      </c>
      <c r="S44" s="176">
        <f t="shared" si="15"/>
        <v>-0.11576257861635228</v>
      </c>
      <c r="T44" s="176">
        <f t="shared" ref="T44:T48" si="16">Q44/P44</f>
        <v>0.88423742138364769</v>
      </c>
    </row>
    <row r="45" spans="15:20" x14ac:dyDescent="0.3">
      <c r="O45" s="174" t="s">
        <v>5</v>
      </c>
      <c r="P45" s="180">
        <f>P8/10^3</f>
        <v>0</v>
      </c>
      <c r="Q45" s="180">
        <f>Q8/10^3</f>
        <v>0.22372500000000001</v>
      </c>
      <c r="R45" s="175">
        <f t="shared" si="14"/>
        <v>0.22372500000000001</v>
      </c>
      <c r="S45" s="176">
        <f t="shared" si="15"/>
        <v>0</v>
      </c>
      <c r="T45" s="176" t="e">
        <f t="shared" si="16"/>
        <v>#DIV/0!</v>
      </c>
    </row>
    <row r="46" spans="15:20" x14ac:dyDescent="0.3">
      <c r="O46" s="174" t="s">
        <v>4</v>
      </c>
      <c r="P46" s="180">
        <f>P10/10^3</f>
        <v>7.1999999999999995E-2</v>
      </c>
      <c r="Q46" s="180">
        <f>Q10/10^3</f>
        <v>2.3725000000000003E-2</v>
      </c>
      <c r="R46" s="175">
        <f t="shared" si="14"/>
        <v>-4.8274999999999992E-2</v>
      </c>
      <c r="S46" s="176">
        <f t="shared" si="15"/>
        <v>-0.67048611111111101</v>
      </c>
      <c r="T46" s="176">
        <f t="shared" si="16"/>
        <v>0.32951388888888894</v>
      </c>
    </row>
    <row r="47" spans="15:20" ht="15" thickBot="1" x14ac:dyDescent="0.35">
      <c r="O47" s="174" t="s">
        <v>3</v>
      </c>
      <c r="P47" s="175">
        <f>P12/10^3</f>
        <v>8.6586983333333326E-2</v>
      </c>
      <c r="Q47" s="175">
        <f>Q12/10^3</f>
        <v>0.36349999999999999</v>
      </c>
      <c r="R47" s="175">
        <f t="shared" si="14"/>
        <v>0.27691301666666668</v>
      </c>
      <c r="S47" s="176">
        <f t="shared" si="15"/>
        <v>3.1980905905987798</v>
      </c>
      <c r="T47" s="176">
        <f t="shared" si="16"/>
        <v>4.1980905905987793</v>
      </c>
    </row>
    <row r="48" spans="15:20" ht="15" thickBot="1" x14ac:dyDescent="0.35">
      <c r="O48" s="177" t="s">
        <v>0</v>
      </c>
      <c r="P48" s="181">
        <f>SUM(P43:P47)</f>
        <v>4.6675574034757403</v>
      </c>
      <c r="Q48" s="181">
        <f>SUM(Q43:Q47)</f>
        <v>5.7341250000000006</v>
      </c>
      <c r="R48" s="178">
        <f t="shared" si="14"/>
        <v>1.0665675965242603</v>
      </c>
      <c r="S48" s="179">
        <f t="shared" si="15"/>
        <v>0.22850658370693647</v>
      </c>
      <c r="T48" s="179">
        <f t="shared" si="16"/>
        <v>1.2285065837069364</v>
      </c>
    </row>
    <row r="67" spans="16:17" x14ac:dyDescent="0.3">
      <c r="P67" s="1"/>
      <c r="Q67" s="1"/>
    </row>
    <row r="68" spans="16:17" x14ac:dyDescent="0.3">
      <c r="P68" s="1"/>
      <c r="Q68" s="1"/>
    </row>
    <row r="69" spans="16:17" x14ac:dyDescent="0.3">
      <c r="P69" s="1"/>
      <c r="Q69" s="1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BBE2-02CD-4EC5-9D7B-FF834FAFA4F6}">
  <sheetPr codeName="Sheet2">
    <tabColor theme="3" tint="0.39997558519241921"/>
  </sheetPr>
  <dimension ref="A2:V108"/>
  <sheetViews>
    <sheetView showGridLines="0" zoomScale="115" zoomScaleNormal="115" workbookViewId="0">
      <pane ySplit="3" topLeftCell="A104" activePane="bottomLeft" state="frozen"/>
      <selection activeCell="I28" sqref="I28"/>
      <selection pane="bottomLeft" activeCell="C134" sqref="C134"/>
    </sheetView>
  </sheetViews>
  <sheetFormatPr defaultRowHeight="14.4" outlineLevelRow="1" x14ac:dyDescent="0.3"/>
  <cols>
    <col min="1" max="1" width="14" customWidth="1"/>
    <col min="2" max="3" width="19.109375" bestFit="1" customWidth="1"/>
    <col min="4" max="5" width="18.6640625" bestFit="1" customWidth="1"/>
    <col min="6" max="6" width="14.109375" bestFit="1" customWidth="1"/>
    <col min="7" max="7" width="15.33203125" bestFit="1" customWidth="1"/>
    <col min="8" max="8" width="18.6640625" bestFit="1" customWidth="1"/>
    <col min="9" max="9" width="17.88671875" customWidth="1"/>
    <col min="10" max="10" width="16.88671875" bestFit="1" customWidth="1"/>
    <col min="11" max="11" width="18" bestFit="1" customWidth="1"/>
    <col min="12" max="12" width="17.5546875" customWidth="1"/>
    <col min="13" max="13" width="16.88671875" bestFit="1" customWidth="1"/>
    <col min="14" max="14" width="17.6640625" bestFit="1" customWidth="1"/>
    <col min="15" max="15" width="18.6640625" bestFit="1" customWidth="1"/>
    <col min="16" max="16" width="32.88671875" customWidth="1"/>
    <col min="17" max="17" width="18.44140625" bestFit="1" customWidth="1"/>
    <col min="18" max="18" width="18.6640625" bestFit="1" customWidth="1"/>
    <col min="19" max="19" width="16" bestFit="1" customWidth="1"/>
    <col min="21" max="22" width="16.109375" bestFit="1" customWidth="1"/>
  </cols>
  <sheetData>
    <row r="2" spans="1:22" x14ac:dyDescent="0.3">
      <c r="A2" s="20" t="s">
        <v>49</v>
      </c>
      <c r="K2" s="92" t="s">
        <v>48</v>
      </c>
      <c r="L2" s="91"/>
      <c r="M2" s="91"/>
      <c r="N2" s="91"/>
      <c r="O2" s="91"/>
      <c r="P2" s="91"/>
    </row>
    <row r="3" spans="1:22" x14ac:dyDescent="0.3">
      <c r="A3" s="90"/>
      <c r="B3" s="89" t="s">
        <v>9</v>
      </c>
      <c r="C3" s="89" t="s">
        <v>8</v>
      </c>
      <c r="D3" s="89" t="s">
        <v>47</v>
      </c>
      <c r="F3" t="s">
        <v>46</v>
      </c>
      <c r="G3" t="s">
        <v>45</v>
      </c>
      <c r="H3" t="s">
        <v>44</v>
      </c>
      <c r="I3" t="s">
        <v>43</v>
      </c>
      <c r="K3" s="89" t="s">
        <v>16</v>
      </c>
      <c r="L3" s="89" t="s">
        <v>42</v>
      </c>
      <c r="M3" s="89" t="s">
        <v>14</v>
      </c>
      <c r="N3" s="89" t="s">
        <v>12</v>
      </c>
      <c r="O3" s="89" t="s">
        <v>1</v>
      </c>
      <c r="P3" s="89" t="s">
        <v>107</v>
      </c>
      <c r="U3" t="s">
        <v>41</v>
      </c>
      <c r="V3" t="s">
        <v>40</v>
      </c>
    </row>
    <row r="4" spans="1:22" s="83" customFormat="1" x14ac:dyDescent="0.3">
      <c r="A4" s="83" t="s">
        <v>39</v>
      </c>
      <c r="B4" s="84">
        <f>SUM(B5:B9)</f>
        <v>4667557.40347574</v>
      </c>
      <c r="C4" s="84">
        <f>SUM(C5:C9)</f>
        <v>5734125</v>
      </c>
      <c r="D4" s="88">
        <f t="shared" ref="D4:D10" si="0">C4-B4</f>
        <v>1066567.59652426</v>
      </c>
      <c r="E4" s="87">
        <f>D4/B4</f>
        <v>0.22850658370693641</v>
      </c>
      <c r="F4" s="86"/>
      <c r="H4" s="84">
        <f>SUM(H5:H9)</f>
        <v>5734125.0000000009</v>
      </c>
      <c r="I4" s="84"/>
    </row>
    <row r="5" spans="1:22" s="80" customFormat="1" outlineLevel="1" x14ac:dyDescent="0.3">
      <c r="A5" s="80" t="s">
        <v>7</v>
      </c>
      <c r="B5" s="82">
        <f>'BĐ-Dthu EXW'!P43*10^6</f>
        <v>3872970.4201424071</v>
      </c>
      <c r="C5" s="82">
        <f>'BĐ-Dthu EXW'!Q43*10^6</f>
        <v>4560800</v>
      </c>
      <c r="D5" s="81">
        <f t="shared" si="0"/>
        <v>687829.57985759294</v>
      </c>
      <c r="E5" s="85">
        <f t="shared" ref="E5:E9" si="1">D5/B5</f>
        <v>0.1775974265851227</v>
      </c>
      <c r="F5" s="85">
        <f t="shared" ref="F5:G9" si="2">B5/B$4</f>
        <v>0.82976385405744846</v>
      </c>
      <c r="G5" s="85">
        <f t="shared" si="2"/>
        <v>0.79537854511368344</v>
      </c>
      <c r="H5" s="82">
        <f>F5*C$4</f>
        <v>4757969.6596471667</v>
      </c>
      <c r="I5" s="82"/>
      <c r="K5" s="81">
        <f>I11-B17</f>
        <v>26214352185.069519</v>
      </c>
      <c r="L5" s="81">
        <f>C5*B11-I11</f>
        <v>-5840315638.1167908</v>
      </c>
      <c r="M5" s="82">
        <f>D30*C5/10^3*$B$36</f>
        <v>-849408611.45553124</v>
      </c>
      <c r="N5" s="82">
        <f>IFERROR(C17-C17/C37*B37,0)</f>
        <v>-1473334408.1167603</v>
      </c>
      <c r="Q5" s="82">
        <f t="shared" ref="Q5:Q9" si="3">SUM(K5:P5)</f>
        <v>18051293527.380436</v>
      </c>
      <c r="R5" s="81">
        <f>SUM(K5:L5)</f>
        <v>20374036546.952728</v>
      </c>
      <c r="S5" s="81">
        <v>-24223451262.483887</v>
      </c>
      <c r="U5" s="33" t="str">
        <f>_xlfn.TEXTJOIN(" | ",FALSE,TEXT(B5/10^3,"#,###"),TEXT(F5,"0.0%"))</f>
        <v>3,873 | 83.0%</v>
      </c>
      <c r="V5" s="33" t="str">
        <f t="shared" ref="U5:V9" si="4">_xlfn.TEXTJOIN(" | ",FALSE,TEXT(C5/10^3,"#,###"),TEXT(G5,"0.0%"))</f>
        <v>4,561 | 79.5%</v>
      </c>
    </row>
    <row r="6" spans="1:22" s="80" customFormat="1" outlineLevel="1" x14ac:dyDescent="0.3">
      <c r="A6" s="80" t="s">
        <v>6</v>
      </c>
      <c r="B6" s="82">
        <f>'BĐ-Dthu EXW'!P44*10^6</f>
        <v>636000</v>
      </c>
      <c r="C6" s="82">
        <f>'BĐ-Dthu EXW'!Q44*10^6</f>
        <v>562375</v>
      </c>
      <c r="D6" s="81">
        <f t="shared" si="0"/>
        <v>-73625</v>
      </c>
      <c r="E6" s="85">
        <f t="shared" si="1"/>
        <v>-0.1157625786163522</v>
      </c>
      <c r="F6" s="85">
        <f t="shared" si="2"/>
        <v>0.13625970609946794</v>
      </c>
      <c r="G6" s="85">
        <f t="shared" si="2"/>
        <v>9.8075120441218147E-2</v>
      </c>
      <c r="H6" s="82">
        <f>F6*C$4</f>
        <v>781330.18723761162</v>
      </c>
      <c r="I6" s="82"/>
      <c r="K6" s="81">
        <f>I12-B18</f>
        <v>4539291511.5753059</v>
      </c>
      <c r="L6" s="81">
        <f>C6*B12-I12</f>
        <v>-6838919303.2419739</v>
      </c>
      <c r="M6" s="82">
        <f>D31*C6/10^3*$B$36</f>
        <v>-1759706.9759762655</v>
      </c>
      <c r="N6" s="82">
        <f t="shared" ref="N6:N9" si="5">IFERROR(C18-C18/C38*B38,0)</f>
        <v>-192301095.35735703</v>
      </c>
      <c r="Q6" s="82">
        <f t="shared" si="3"/>
        <v>-2493688594.0000014</v>
      </c>
      <c r="R6" s="81">
        <f>SUM(K6:L6)</f>
        <v>-2299627791.6666679</v>
      </c>
      <c r="S6" s="81">
        <v>-16262314794.816412</v>
      </c>
      <c r="U6" s="33" t="str">
        <f t="shared" si="4"/>
        <v>636 | 13.6%</v>
      </c>
      <c r="V6" s="33" t="str">
        <f t="shared" si="4"/>
        <v>562 | 9.8%</v>
      </c>
    </row>
    <row r="7" spans="1:22" s="80" customFormat="1" outlineLevel="1" x14ac:dyDescent="0.3">
      <c r="A7" s="80" t="s">
        <v>5</v>
      </c>
      <c r="B7" s="82">
        <f>'BĐ-Dthu EXW'!P45*10^6</f>
        <v>0</v>
      </c>
      <c r="C7" s="82">
        <f>'BĐ-Dthu EXW'!Q45*10^6</f>
        <v>223725</v>
      </c>
      <c r="D7" s="81">
        <f t="shared" si="0"/>
        <v>223725</v>
      </c>
      <c r="E7" s="85" t="e">
        <f t="shared" si="1"/>
        <v>#DIV/0!</v>
      </c>
      <c r="F7" s="85">
        <f t="shared" si="2"/>
        <v>0</v>
      </c>
      <c r="G7" s="85">
        <f t="shared" si="2"/>
        <v>3.9016414884572623E-2</v>
      </c>
      <c r="H7" s="82">
        <f>F7*C$4</f>
        <v>0</v>
      </c>
      <c r="I7" s="82"/>
      <c r="K7" s="264">
        <f>C19</f>
        <v>3951548369.8277454</v>
      </c>
      <c r="L7" s="264"/>
      <c r="M7" s="265"/>
      <c r="N7" s="265"/>
      <c r="O7" s="266"/>
      <c r="P7" s="266"/>
      <c r="Q7" s="82">
        <f t="shared" si="3"/>
        <v>3951548369.8277454</v>
      </c>
      <c r="R7" s="81">
        <f>SUM(K7:L7)</f>
        <v>3951548369.8277454</v>
      </c>
      <c r="S7" s="81">
        <v>-1630400124.7731397</v>
      </c>
      <c r="U7" s="33" t="str">
        <f t="shared" si="4"/>
        <v xml:space="preserve"> | 0.0%</v>
      </c>
      <c r="V7" s="33" t="str">
        <f t="shared" si="4"/>
        <v>224 | 3.9%</v>
      </c>
    </row>
    <row r="8" spans="1:22" s="80" customFormat="1" outlineLevel="1" x14ac:dyDescent="0.3">
      <c r="A8" s="80" t="s">
        <v>4</v>
      </c>
      <c r="B8" s="82">
        <f>'BĐ-Dthu EXW'!P46*10^6</f>
        <v>72000</v>
      </c>
      <c r="C8" s="82">
        <f>'BĐ-Dthu EXW'!Q46*10^6</f>
        <v>23725.000000000004</v>
      </c>
      <c r="D8" s="81">
        <f t="shared" si="0"/>
        <v>-48275</v>
      </c>
      <c r="E8" s="85">
        <f t="shared" si="1"/>
        <v>-0.67048611111111112</v>
      </c>
      <c r="F8" s="85">
        <f t="shared" si="2"/>
        <v>1.5425627105600144E-2</v>
      </c>
      <c r="G8" s="85">
        <f t="shared" si="2"/>
        <v>4.1375100821834203E-3</v>
      </c>
      <c r="H8" s="82">
        <f>F8*C$4</f>
        <v>88452.474026899421</v>
      </c>
      <c r="I8" s="82"/>
      <c r="K8" s="81">
        <f>I14-B20</f>
        <v>301560138.51804399</v>
      </c>
      <c r="L8" s="81">
        <f>C8*B14-I14</f>
        <v>-1186400659.351377</v>
      </c>
      <c r="M8" s="82">
        <f>D33*C8/10^3*$B$36</f>
        <v>-17046244.349131957</v>
      </c>
      <c r="N8" s="82">
        <f t="shared" si="5"/>
        <v>-4585533.9443147182</v>
      </c>
      <c r="Q8" s="82">
        <f t="shared" si="3"/>
        <v>-906472299.12677968</v>
      </c>
      <c r="R8" s="81">
        <f>SUM(K8:L8)</f>
        <v>-884840520.83333302</v>
      </c>
      <c r="S8" s="81">
        <v>-1121680143.4345424</v>
      </c>
      <c r="U8" s="33" t="str">
        <f t="shared" si="4"/>
        <v>72 | 1.5%</v>
      </c>
      <c r="V8" s="33" t="str">
        <f t="shared" si="4"/>
        <v>24 | 0.4%</v>
      </c>
    </row>
    <row r="9" spans="1:22" s="80" customFormat="1" outlineLevel="1" x14ac:dyDescent="0.3">
      <c r="A9" s="80" t="s">
        <v>3</v>
      </c>
      <c r="B9" s="82">
        <f>'BĐ-Dthu EXW'!P47*10^6</f>
        <v>86586.983333333323</v>
      </c>
      <c r="C9" s="82">
        <f>'BĐ-Dthu EXW'!Q47*10^6</f>
        <v>363500</v>
      </c>
      <c r="D9" s="81">
        <f t="shared" si="0"/>
        <v>276913.01666666666</v>
      </c>
      <c r="E9" s="85">
        <f t="shared" si="1"/>
        <v>3.1980905905987798</v>
      </c>
      <c r="F9" s="85">
        <f t="shared" si="2"/>
        <v>1.8550812737483532E-2</v>
      </c>
      <c r="G9" s="85">
        <f t="shared" si="2"/>
        <v>6.3392409478342376E-2</v>
      </c>
      <c r="H9" s="82">
        <f>F9*C$4</f>
        <v>106372.67908832277</v>
      </c>
      <c r="I9" s="82"/>
      <c r="K9" s="81">
        <f>I15-B21</f>
        <v>324717185.6749568</v>
      </c>
      <c r="L9" s="81">
        <f>C9*B15-I15</f>
        <v>4219900125.8536153</v>
      </c>
      <c r="M9" s="82">
        <f>D34*C9/10^3*$B$36</f>
        <v>107662442.28078195</v>
      </c>
      <c r="N9" s="82">
        <f t="shared" si="5"/>
        <v>-67119373.682909012</v>
      </c>
      <c r="Q9" s="82">
        <f t="shared" si="3"/>
        <v>4585160380.1264448</v>
      </c>
      <c r="R9" s="81">
        <f>SUM(K9:L9)</f>
        <v>4544617311.5285721</v>
      </c>
      <c r="S9" s="81">
        <v>12864499999.999998</v>
      </c>
      <c r="U9" s="33" t="str">
        <f t="shared" si="4"/>
        <v>87 | 1.9%</v>
      </c>
      <c r="V9" s="33" t="str">
        <f t="shared" si="4"/>
        <v>364 | 6.3%</v>
      </c>
    </row>
    <row r="10" spans="1:22" s="83" customFormat="1" x14ac:dyDescent="0.3">
      <c r="A10" s="83" t="s">
        <v>38</v>
      </c>
      <c r="B10" s="84">
        <v>30553.284880668703</v>
      </c>
      <c r="C10" s="84">
        <v>28801.443116591079</v>
      </c>
      <c r="D10" s="84">
        <f t="shared" si="0"/>
        <v>-1751.8417640776242</v>
      </c>
      <c r="I10" s="84">
        <f>SUM(I11:I15)</f>
        <v>168706034394.81009</v>
      </c>
    </row>
    <row r="11" spans="1:22" s="80" customFormat="1" outlineLevel="1" x14ac:dyDescent="0.3">
      <c r="A11" s="80" t="s">
        <v>7</v>
      </c>
      <c r="B11" s="184">
        <f>B30*B37/10^3</f>
        <v>29620.762385896422</v>
      </c>
      <c r="C11" s="184">
        <f t="shared" ref="C11:C15" si="6">C30*C37/10^3</f>
        <v>29111.478264783389</v>
      </c>
      <c r="D11" s="81"/>
      <c r="I11" s="82">
        <f>H5*B11</f>
        <v>140934688727.7132</v>
      </c>
      <c r="K11" s="81"/>
    </row>
    <row r="12" spans="1:22" s="80" customFormat="1" outlineLevel="1" x14ac:dyDescent="0.3">
      <c r="A12" s="80" t="s">
        <v>6</v>
      </c>
      <c r="B12" s="184">
        <f t="shared" ref="B12" si="7">B31*B38/10^3</f>
        <v>31234.333333333332</v>
      </c>
      <c r="C12" s="184">
        <f t="shared" si="6"/>
        <v>30889.259668370745</v>
      </c>
      <c r="D12" s="81"/>
      <c r="I12" s="82">
        <f>H6*B12</f>
        <v>24404327511.575306</v>
      </c>
      <c r="K12" s="81"/>
    </row>
    <row r="13" spans="1:22" s="80" customFormat="1" outlineLevel="1" x14ac:dyDescent="0.3">
      <c r="A13" s="80" t="s">
        <v>5</v>
      </c>
      <c r="B13" s="184">
        <f t="shared" ref="B13" si="8">B32*B39/10^3</f>
        <v>0</v>
      </c>
      <c r="C13" s="184">
        <f t="shared" si="6"/>
        <v>17662.524839994392</v>
      </c>
      <c r="D13" s="81"/>
      <c r="I13" s="82">
        <f>H7*B13</f>
        <v>0</v>
      </c>
      <c r="K13" s="81"/>
    </row>
    <row r="14" spans="1:22" s="80" customFormat="1" outlineLevel="1" x14ac:dyDescent="0.3">
      <c r="A14" s="80" t="s">
        <v>4</v>
      </c>
      <c r="B14" s="184">
        <f t="shared" ref="B14" si="9">B33*B40/10^3</f>
        <v>18329.166666666664</v>
      </c>
      <c r="C14" s="184">
        <f t="shared" si="6"/>
        <v>17417.395189598315</v>
      </c>
      <c r="D14" s="81"/>
      <c r="I14" s="82">
        <f>H8*B14</f>
        <v>1621260138.5180438</v>
      </c>
      <c r="K14" s="81"/>
    </row>
    <row r="15" spans="1:22" s="80" customFormat="1" outlineLevel="1" x14ac:dyDescent="0.3">
      <c r="A15" s="80" t="s">
        <v>3</v>
      </c>
      <c r="B15" s="184">
        <f t="shared" ref="B15" si="10">B34*B41/10^3</f>
        <v>16411.714285714286</v>
      </c>
      <c r="C15" s="184">
        <f t="shared" si="6"/>
        <v>16523.249550082579</v>
      </c>
      <c r="D15" s="81"/>
      <c r="I15" s="82">
        <f>H9*B15</f>
        <v>1745758017.0035281</v>
      </c>
      <c r="K15" s="81"/>
    </row>
    <row r="16" spans="1:22" x14ac:dyDescent="0.3">
      <c r="A16" s="50" t="s">
        <v>37</v>
      </c>
      <c r="B16" s="185">
        <f>SUM(B17:B21)</f>
        <v>137326113373.97224</v>
      </c>
      <c r="C16" s="185">
        <f>SUM(C17:C21)</f>
        <v>160513954758.18008</v>
      </c>
      <c r="D16" s="1">
        <f>C16-B16</f>
        <v>23187841384.20784</v>
      </c>
    </row>
    <row r="17" spans="1:17" s="79" customFormat="1" x14ac:dyDescent="0.3">
      <c r="A17" s="79" t="s">
        <v>7</v>
      </c>
      <c r="B17" s="186">
        <f t="shared" ref="B17:C21" si="11">B5*B11</f>
        <v>114720336542.64368</v>
      </c>
      <c r="C17" s="186">
        <f t="shared" si="11"/>
        <v>132771630070.02408</v>
      </c>
      <c r="E17" s="210">
        <f>C17-B17</f>
        <v>18051293527.380402</v>
      </c>
      <c r="F17" s="211">
        <f>E17/B17</f>
        <v>0.15735042339829958</v>
      </c>
    </row>
    <row r="18" spans="1:17" s="79" customFormat="1" x14ac:dyDescent="0.3">
      <c r="A18" s="79" t="s">
        <v>6</v>
      </c>
      <c r="B18" s="186">
        <f t="shared" si="11"/>
        <v>19865036000</v>
      </c>
      <c r="C18" s="186">
        <f t="shared" si="11"/>
        <v>17371347405.999996</v>
      </c>
      <c r="E18" s="210">
        <f t="shared" ref="E18:E21" si="12">C18-B18</f>
        <v>-2493688594.0000038</v>
      </c>
      <c r="F18" s="211">
        <f t="shared" ref="F18:F21" si="13">E18/B18</f>
        <v>-0.1255315416493584</v>
      </c>
    </row>
    <row r="19" spans="1:17" s="79" customFormat="1" x14ac:dyDescent="0.3">
      <c r="A19" s="79" t="s">
        <v>5</v>
      </c>
      <c r="B19" s="186">
        <f t="shared" si="11"/>
        <v>0</v>
      </c>
      <c r="C19" s="186">
        <f t="shared" si="11"/>
        <v>3951548369.8277454</v>
      </c>
      <c r="E19" s="210">
        <f t="shared" si="12"/>
        <v>3951548369.8277454</v>
      </c>
      <c r="F19" s="211" t="e">
        <f t="shared" si="13"/>
        <v>#DIV/0!</v>
      </c>
    </row>
    <row r="20" spans="1:17" s="79" customFormat="1" x14ac:dyDescent="0.3">
      <c r="A20" s="79" t="s">
        <v>4</v>
      </c>
      <c r="B20" s="186">
        <f t="shared" si="11"/>
        <v>1319699999.9999998</v>
      </c>
      <c r="C20" s="186">
        <f t="shared" si="11"/>
        <v>413227700.87322009</v>
      </c>
      <c r="E20" s="210">
        <f t="shared" si="12"/>
        <v>-906472299.12677968</v>
      </c>
      <c r="F20" s="211">
        <f t="shared" si="13"/>
        <v>-0.68687754726587846</v>
      </c>
    </row>
    <row r="21" spans="1:17" s="79" customFormat="1" x14ac:dyDescent="0.3">
      <c r="A21" s="79" t="s">
        <v>3</v>
      </c>
      <c r="B21" s="186">
        <f t="shared" si="11"/>
        <v>1421040831.3285713</v>
      </c>
      <c r="C21" s="186">
        <f t="shared" si="11"/>
        <v>6006201211.4550171</v>
      </c>
      <c r="E21" s="210">
        <f t="shared" si="12"/>
        <v>4585160380.1264458</v>
      </c>
      <c r="F21" s="211">
        <f t="shared" si="13"/>
        <v>3.2266211350448315</v>
      </c>
    </row>
    <row r="22" spans="1:17" s="50" customFormat="1" x14ac:dyDescent="0.3">
      <c r="A22" s="50" t="s">
        <v>36</v>
      </c>
      <c r="B22" s="221"/>
      <c r="C22" s="221">
        <v>190015000</v>
      </c>
      <c r="D22" s="76">
        <f>C22-B22</f>
        <v>190015000</v>
      </c>
      <c r="O22" s="75">
        <f>D22</f>
        <v>190015000</v>
      </c>
      <c r="P22" s="75"/>
      <c r="Q22" s="76">
        <f t="shared" ref="Q22:Q24" si="14">SUM(K22:P22)</f>
        <v>190015000</v>
      </c>
    </row>
    <row r="23" spans="1:17" s="50" customFormat="1" x14ac:dyDescent="0.3">
      <c r="A23" s="50" t="s">
        <v>35</v>
      </c>
      <c r="B23" s="222">
        <v>145750000</v>
      </c>
      <c r="C23" s="221">
        <v>7716407756.2549372</v>
      </c>
      <c r="D23" s="76">
        <f>C23-B23</f>
        <v>7570657756.2549372</v>
      </c>
      <c r="O23" s="75">
        <f>D23</f>
        <v>7570657756.2549372</v>
      </c>
      <c r="P23" s="75"/>
      <c r="Q23" s="76">
        <f t="shared" si="14"/>
        <v>7570657756.2549372</v>
      </c>
    </row>
    <row r="24" spans="1:17" s="50" customFormat="1" x14ac:dyDescent="0.3">
      <c r="A24" s="50" t="s">
        <v>1</v>
      </c>
      <c r="B24" s="159"/>
      <c r="C24" s="221">
        <v>-243773571.43496704</v>
      </c>
      <c r="D24" s="76">
        <f>C24-B24</f>
        <v>-243773571.43496704</v>
      </c>
      <c r="O24" s="75">
        <f>D24</f>
        <v>-243773571.43496704</v>
      </c>
      <c r="P24" s="75"/>
      <c r="Q24" s="76">
        <f t="shared" si="14"/>
        <v>-243773571.43496704</v>
      </c>
    </row>
    <row r="25" spans="1:17" s="50" customFormat="1" x14ac:dyDescent="0.3">
      <c r="A25" s="50" t="s">
        <v>107</v>
      </c>
      <c r="B25" s="76">
        <f>'BĐ-Dthu EXW'!C20</f>
        <v>4127628453.8549805</v>
      </c>
      <c r="C25" s="185">
        <f>'BĐ-Dthu EXW'!G20</f>
        <v>5129218585.9999695</v>
      </c>
      <c r="D25" s="76">
        <f>C25-B25</f>
        <v>1001590132.144989</v>
      </c>
      <c r="O25" s="75"/>
      <c r="P25" s="75">
        <f>D25</f>
        <v>1001590132.144989</v>
      </c>
      <c r="Q25" s="76"/>
    </row>
    <row r="26" spans="1:17" x14ac:dyDescent="0.3">
      <c r="A26" s="78" t="s">
        <v>109</v>
      </c>
      <c r="B26" s="77">
        <f>B16+B22+B23+B24+B25</f>
        <v>141599491827.82721</v>
      </c>
      <c r="C26" s="77">
        <f>C16+C22+C23+C24+C25</f>
        <v>173305822529.00003</v>
      </c>
      <c r="D26" s="76">
        <f>C26-B26</f>
        <v>31706330701.172821</v>
      </c>
      <c r="E26" s="1"/>
      <c r="K26" s="23">
        <f>SUM(K4:K25)</f>
        <v>35331469390.665573</v>
      </c>
      <c r="L26" s="23">
        <f t="shared" ref="L26:P26" si="15">SUM(L4:L25)</f>
        <v>-9645735474.8565273</v>
      </c>
      <c r="M26" s="23">
        <f t="shared" si="15"/>
        <v>-760552120.49985743</v>
      </c>
      <c r="N26" s="23">
        <f t="shared" si="15"/>
        <v>-1737340411.101341</v>
      </c>
      <c r="O26" s="23">
        <f t="shared" si="15"/>
        <v>7516899184.8199701</v>
      </c>
      <c r="P26" s="23">
        <f t="shared" si="15"/>
        <v>1001590132.144989</v>
      </c>
      <c r="Q26" s="75">
        <f>SUM(K26:P26)</f>
        <v>31706330701.172802</v>
      </c>
    </row>
    <row r="27" spans="1:17" x14ac:dyDescent="0.3">
      <c r="A27" s="130" t="s">
        <v>88</v>
      </c>
      <c r="B27" s="74">
        <f>B26-'BĐ-Dthu EXW'!C3</f>
        <v>0</v>
      </c>
      <c r="C27" s="74">
        <f>C26-'BĐ-Dthu EXW'!G17</f>
        <v>0</v>
      </c>
      <c r="D27" s="13">
        <f>D26/B26</f>
        <v>0.22391556842396715</v>
      </c>
      <c r="P27" s="21" t="s">
        <v>11</v>
      </c>
      <c r="Q27" s="74">
        <f>Q26-D26</f>
        <v>0</v>
      </c>
    </row>
    <row r="29" spans="1:17" x14ac:dyDescent="0.3">
      <c r="A29" s="73" t="s">
        <v>34</v>
      </c>
      <c r="B29" s="72" t="s">
        <v>9</v>
      </c>
      <c r="C29" s="72" t="s">
        <v>8</v>
      </c>
      <c r="D29" s="71"/>
    </row>
    <row r="30" spans="1:17" x14ac:dyDescent="0.3">
      <c r="A30" s="70" t="s">
        <v>7</v>
      </c>
      <c r="B30" s="69">
        <f>'BĐ-Dthu EXW'!P5</f>
        <v>1117.764618335714</v>
      </c>
      <c r="C30" s="69">
        <f>'BĐ-Dthu EXW'!Q5</f>
        <v>1110.7366506218775</v>
      </c>
      <c r="D30" s="69">
        <f>C30-B30</f>
        <v>-7.0279677138364605</v>
      </c>
      <c r="E30" s="95">
        <f>IFERROR(D30/B30,0)</f>
        <v>-6.2875202869640771E-3</v>
      </c>
      <c r="L30" s="18"/>
      <c r="Q30" s="1">
        <v>-52808442002</v>
      </c>
    </row>
    <row r="31" spans="1:17" x14ac:dyDescent="0.3">
      <c r="A31" s="70" t="s">
        <v>6</v>
      </c>
      <c r="B31" s="69">
        <f>'BĐ-Dthu EXW'!P7</f>
        <v>1178.6540880503144</v>
      </c>
      <c r="C31" s="69">
        <f>'BĐ-Dthu EXW'!Q7</f>
        <v>1178.53601018976</v>
      </c>
      <c r="D31" s="69">
        <f>C31-B31</f>
        <v>-0.11807786055442193</v>
      </c>
      <c r="E31" s="95">
        <f t="shared" ref="E31:E36" si="16">IFERROR(D31/B31,0)</f>
        <v>-1.0018024944854001E-4</v>
      </c>
      <c r="Q31" s="18">
        <f>Q30-Q26</f>
        <v>-84514772703.172806</v>
      </c>
    </row>
    <row r="32" spans="1:17" x14ac:dyDescent="0.3">
      <c r="A32" s="70" t="s">
        <v>5</v>
      </c>
      <c r="B32" s="69">
        <f>'BĐ-Dthu EXW'!P9</f>
        <v>0</v>
      </c>
      <c r="C32" s="69">
        <f>'BĐ-Dthu EXW'!Q9</f>
        <v>673.90655005074348</v>
      </c>
      <c r="D32" s="69">
        <f>C32-B32</f>
        <v>673.90655005074348</v>
      </c>
      <c r="E32" s="95">
        <f t="shared" si="16"/>
        <v>0</v>
      </c>
      <c r="O32" s="18"/>
      <c r="P32" s="18"/>
    </row>
    <row r="33" spans="1:17" x14ac:dyDescent="0.3">
      <c r="A33" s="70" t="s">
        <v>4</v>
      </c>
      <c r="B33" s="69">
        <f>'BĐ-Dthu EXW'!P11</f>
        <v>691.66666666666663</v>
      </c>
      <c r="C33" s="69">
        <f>'BĐ-Dthu EXW'!Q11</f>
        <v>664.55372657221653</v>
      </c>
      <c r="D33" s="69">
        <f>C33-B33</f>
        <v>-27.112940094450096</v>
      </c>
      <c r="E33" s="95">
        <f t="shared" si="16"/>
        <v>-3.9199431461855561E-2</v>
      </c>
      <c r="O33" s="1"/>
      <c r="P33" s="1"/>
    </row>
    <row r="34" spans="1:17" x14ac:dyDescent="0.3">
      <c r="A34" s="70" t="s">
        <v>3</v>
      </c>
      <c r="B34" s="69">
        <f>'BĐ-Dthu EXW'!P13</f>
        <v>619.30997304582218</v>
      </c>
      <c r="C34" s="69">
        <f>'BĐ-Dthu EXW'!Q13</f>
        <v>630.48668190682054</v>
      </c>
      <c r="D34" s="69">
        <f>C34-B34</f>
        <v>11.17670886099836</v>
      </c>
      <c r="E34" s="95">
        <f t="shared" si="16"/>
        <v>1.8047035164039583E-2</v>
      </c>
    </row>
    <row r="36" spans="1:17" x14ac:dyDescent="0.3">
      <c r="A36" s="68" t="s">
        <v>33</v>
      </c>
      <c r="B36" s="67">
        <v>26500</v>
      </c>
      <c r="C36" s="67">
        <f>'BĐ-Dthu EXW'!V17</f>
        <v>26209.162244895542</v>
      </c>
      <c r="D36" s="183">
        <f>C36-B36</f>
        <v>-290.83775510445776</v>
      </c>
      <c r="E36" s="6">
        <f t="shared" si="16"/>
        <v>-1.0975009626583312E-2</v>
      </c>
      <c r="N36" s="18"/>
      <c r="O36" s="18"/>
      <c r="P36" s="18"/>
      <c r="Q36" s="66"/>
    </row>
    <row r="37" spans="1:17" x14ac:dyDescent="0.3">
      <c r="A37" s="65" t="s">
        <v>7</v>
      </c>
      <c r="B37" s="44">
        <v>26500</v>
      </c>
      <c r="C37" s="44">
        <f>'BĐ-Dthu EXW'!V5</f>
        <v>26209.163304807222</v>
      </c>
      <c r="D37" s="65"/>
    </row>
    <row r="38" spans="1:17" x14ac:dyDescent="0.3">
      <c r="A38" s="65" t="s">
        <v>6</v>
      </c>
      <c r="B38" s="44">
        <v>26500</v>
      </c>
      <c r="C38" s="44">
        <f>'BĐ-Dthu EXW'!V7</f>
        <v>26209.856467090187</v>
      </c>
      <c r="D38" s="65"/>
    </row>
    <row r="39" spans="1:17" x14ac:dyDescent="0.3">
      <c r="A39" s="65" t="s">
        <v>5</v>
      </c>
      <c r="B39" s="44">
        <v>26500</v>
      </c>
      <c r="C39" s="44">
        <f>'BĐ-Dthu EXW'!V9</f>
        <v>26209.160363056937</v>
      </c>
      <c r="D39" s="65"/>
    </row>
    <row r="40" spans="1:17" x14ac:dyDescent="0.3">
      <c r="A40" s="65" t="s">
        <v>4</v>
      </c>
      <c r="B40" s="44">
        <v>26500</v>
      </c>
      <c r="C40" s="44">
        <f>'BĐ-Dthu EXW'!V11</f>
        <v>26209.160363056933</v>
      </c>
      <c r="D40" s="65"/>
    </row>
    <row r="41" spans="1:17" x14ac:dyDescent="0.3">
      <c r="A41" s="65" t="s">
        <v>3</v>
      </c>
      <c r="B41" s="44">
        <v>26500</v>
      </c>
      <c r="C41" s="44">
        <f>'BĐ-Dthu EXW'!V13</f>
        <v>26207.134939171552</v>
      </c>
      <c r="D41" s="65"/>
    </row>
    <row r="42" spans="1:17" x14ac:dyDescent="0.3">
      <c r="C42" s="18"/>
    </row>
    <row r="44" spans="1:17" outlineLevel="1" x14ac:dyDescent="0.3">
      <c r="A44" s="49" t="s">
        <v>32</v>
      </c>
      <c r="B44" s="33"/>
      <c r="C44" s="33"/>
      <c r="D44" s="33"/>
      <c r="E44" s="33"/>
      <c r="F44" s="33"/>
      <c r="G44" s="33"/>
    </row>
    <row r="45" spans="1:17" outlineLevel="1" x14ac:dyDescent="0.3">
      <c r="A45" s="49"/>
      <c r="B45" s="49"/>
      <c r="C45" s="49" t="s">
        <v>28</v>
      </c>
      <c r="D45" s="49" t="s">
        <v>27</v>
      </c>
      <c r="E45" s="49" t="s">
        <v>26</v>
      </c>
      <c r="F45" s="49" t="s">
        <v>25</v>
      </c>
      <c r="G45" s="49" t="s">
        <v>24</v>
      </c>
    </row>
    <row r="46" spans="1:17" outlineLevel="1" x14ac:dyDescent="0.3">
      <c r="A46" s="49" t="str">
        <f>'BĐ-Dthu EXW'!$A$3</f>
        <v>KH T03</v>
      </c>
      <c r="B46" s="49"/>
      <c r="C46" s="51">
        <f>B26</f>
        <v>141599491827.82721</v>
      </c>
      <c r="D46" s="51"/>
      <c r="E46" s="53"/>
      <c r="F46" s="52"/>
      <c r="G46" s="51"/>
    </row>
    <row r="47" spans="1:17" outlineLevel="1" x14ac:dyDescent="0.3">
      <c r="A47" s="33" t="s">
        <v>7</v>
      </c>
      <c r="B47" s="33" t="s">
        <v>16</v>
      </c>
      <c r="C47" s="32"/>
      <c r="D47" s="32">
        <f>C46-F47</f>
        <v>141599491827.82721</v>
      </c>
      <c r="E47" s="31">
        <f t="shared" ref="E47:E63" si="17">IF(H47&gt;0,H47,0)</f>
        <v>26214352185.069519</v>
      </c>
      <c r="F47" s="30">
        <f t="shared" ref="F47:F63" si="18">IF(H47&lt;0,-H47,0)</f>
        <v>0</v>
      </c>
      <c r="G47" s="32"/>
      <c r="H47" s="63" cm="1">
        <f t="array" ref="H47:H49">TRANSPOSE(K5:M5)</f>
        <v>26214352185.069519</v>
      </c>
    </row>
    <row r="48" spans="1:17" outlineLevel="1" x14ac:dyDescent="0.3">
      <c r="A48" s="33"/>
      <c r="B48" s="33" t="s">
        <v>31</v>
      </c>
      <c r="C48" s="32"/>
      <c r="D48" s="32">
        <f t="shared" ref="D48:D64" si="19">D47+E47-F48</f>
        <v>161973528374.77994</v>
      </c>
      <c r="E48" s="31">
        <f t="shared" si="17"/>
        <v>0</v>
      </c>
      <c r="F48" s="30">
        <f t="shared" si="18"/>
        <v>5840315638.1167908</v>
      </c>
      <c r="G48" s="32"/>
      <c r="H48" s="63">
        <v>-5840315638.1167908</v>
      </c>
    </row>
    <row r="49" spans="1:9" outlineLevel="1" x14ac:dyDescent="0.3">
      <c r="A49" s="33"/>
      <c r="B49" s="33" t="s">
        <v>14</v>
      </c>
      <c r="C49" s="32"/>
      <c r="D49" s="32">
        <f t="shared" si="19"/>
        <v>161124119763.3244</v>
      </c>
      <c r="E49" s="31">
        <f t="shared" si="17"/>
        <v>0</v>
      </c>
      <c r="F49" s="30">
        <f t="shared" si="18"/>
        <v>849408611.45553124</v>
      </c>
      <c r="G49" s="32"/>
      <c r="H49" s="63">
        <v>-849408611.45553124</v>
      </c>
    </row>
    <row r="50" spans="1:9" outlineLevel="1" x14ac:dyDescent="0.3">
      <c r="A50" s="33" t="s">
        <v>6</v>
      </c>
      <c r="B50" s="33" t="s">
        <v>16</v>
      </c>
      <c r="C50" s="32"/>
      <c r="D50" s="32">
        <f t="shared" si="19"/>
        <v>161124119763.3244</v>
      </c>
      <c r="E50" s="31">
        <f t="shared" si="17"/>
        <v>4539291511.5753059</v>
      </c>
      <c r="F50" s="30">
        <f t="shared" si="18"/>
        <v>0</v>
      </c>
      <c r="G50" s="32"/>
      <c r="H50" s="63" cm="1">
        <f t="array" ref="H50:H52">TRANSPOSE(K6:M6)</f>
        <v>4539291511.5753059</v>
      </c>
    </row>
    <row r="51" spans="1:9" outlineLevel="1" x14ac:dyDescent="0.3">
      <c r="A51" s="33"/>
      <c r="B51" s="33" t="s">
        <v>31</v>
      </c>
      <c r="C51" s="32"/>
      <c r="D51" s="32">
        <f t="shared" si="19"/>
        <v>158824491971.65775</v>
      </c>
      <c r="E51" s="31">
        <f t="shared" si="17"/>
        <v>0</v>
      </c>
      <c r="F51" s="30">
        <f t="shared" si="18"/>
        <v>6838919303.2419739</v>
      </c>
      <c r="G51" s="32"/>
      <c r="H51" s="63">
        <v>-6838919303.2419739</v>
      </c>
    </row>
    <row r="52" spans="1:9" outlineLevel="1" x14ac:dyDescent="0.3">
      <c r="A52" s="33"/>
      <c r="B52" s="33" t="s">
        <v>14</v>
      </c>
      <c r="C52" s="32"/>
      <c r="D52" s="32">
        <f t="shared" si="19"/>
        <v>158822732264.68176</v>
      </c>
      <c r="E52" s="31">
        <f t="shared" si="17"/>
        <v>0</v>
      </c>
      <c r="F52" s="30">
        <f t="shared" si="18"/>
        <v>1759706.9759762655</v>
      </c>
      <c r="G52" s="32"/>
      <c r="H52" s="63">
        <v>-1759706.9759762655</v>
      </c>
    </row>
    <row r="53" spans="1:9" outlineLevel="1" x14ac:dyDescent="0.3">
      <c r="A53" s="33" t="s">
        <v>5</v>
      </c>
      <c r="B53" s="33" t="s">
        <v>16</v>
      </c>
      <c r="C53" s="32"/>
      <c r="D53" s="32">
        <f t="shared" si="19"/>
        <v>158822732264.68176</v>
      </c>
      <c r="E53" s="31">
        <f t="shared" si="17"/>
        <v>3951548369.8277454</v>
      </c>
      <c r="F53" s="30">
        <f t="shared" si="18"/>
        <v>0</v>
      </c>
      <c r="G53" s="32"/>
      <c r="H53" s="263" cm="1">
        <f t="array" ref="H53:H55">TRANSPOSE(K7:M7)</f>
        <v>3951548369.8277454</v>
      </c>
      <c r="I53" s="108"/>
    </row>
    <row r="54" spans="1:9" outlineLevel="1" x14ac:dyDescent="0.3">
      <c r="A54" s="33"/>
      <c r="B54" s="33" t="s">
        <v>31</v>
      </c>
      <c r="C54" s="32"/>
      <c r="D54" s="32">
        <f t="shared" si="19"/>
        <v>162774280634.50952</v>
      </c>
      <c r="E54" s="31">
        <f t="shared" si="17"/>
        <v>0</v>
      </c>
      <c r="F54" s="30">
        <f t="shared" si="18"/>
        <v>0</v>
      </c>
      <c r="G54" s="32"/>
      <c r="H54" s="263">
        <v>0</v>
      </c>
    </row>
    <row r="55" spans="1:9" outlineLevel="1" x14ac:dyDescent="0.3">
      <c r="A55" s="33"/>
      <c r="B55" s="33" t="s">
        <v>14</v>
      </c>
      <c r="C55" s="32"/>
      <c r="D55" s="32">
        <f t="shared" si="19"/>
        <v>162774280634.50952</v>
      </c>
      <c r="E55" s="31">
        <f t="shared" si="17"/>
        <v>0</v>
      </c>
      <c r="F55" s="30">
        <f t="shared" si="18"/>
        <v>0</v>
      </c>
      <c r="G55" s="32"/>
      <c r="H55" s="263">
        <v>0</v>
      </c>
    </row>
    <row r="56" spans="1:9" outlineLevel="1" x14ac:dyDescent="0.3">
      <c r="A56" s="33" t="s">
        <v>4</v>
      </c>
      <c r="B56" s="33" t="s">
        <v>16</v>
      </c>
      <c r="C56" s="32"/>
      <c r="D56" s="32">
        <f t="shared" si="19"/>
        <v>162774280634.50952</v>
      </c>
      <c r="E56" s="31">
        <f t="shared" si="17"/>
        <v>301560138.51804399</v>
      </c>
      <c r="F56" s="30">
        <f t="shared" si="18"/>
        <v>0</v>
      </c>
      <c r="G56" s="32"/>
      <c r="H56" s="63" cm="1">
        <f t="array" ref="H56:H58">TRANSPOSE(K8:M8)</f>
        <v>301560138.51804399</v>
      </c>
    </row>
    <row r="57" spans="1:9" outlineLevel="1" x14ac:dyDescent="0.3">
      <c r="A57" s="33"/>
      <c r="B57" s="33" t="s">
        <v>31</v>
      </c>
      <c r="C57" s="32"/>
      <c r="D57" s="32">
        <f t="shared" si="19"/>
        <v>161889440113.67618</v>
      </c>
      <c r="E57" s="31">
        <f t="shared" si="17"/>
        <v>0</v>
      </c>
      <c r="F57" s="30">
        <f t="shared" si="18"/>
        <v>1186400659.351377</v>
      </c>
      <c r="G57" s="32"/>
      <c r="H57" s="63">
        <v>-1186400659.351377</v>
      </c>
    </row>
    <row r="58" spans="1:9" outlineLevel="1" x14ac:dyDescent="0.3">
      <c r="A58" s="33"/>
      <c r="B58" s="33" t="s">
        <v>14</v>
      </c>
      <c r="C58" s="32"/>
      <c r="D58" s="32">
        <f t="shared" si="19"/>
        <v>161872393869.32706</v>
      </c>
      <c r="E58" s="31">
        <f t="shared" si="17"/>
        <v>0</v>
      </c>
      <c r="F58" s="30">
        <f t="shared" si="18"/>
        <v>17046244.349131957</v>
      </c>
      <c r="G58" s="32"/>
      <c r="H58" s="63">
        <v>-17046244.349131957</v>
      </c>
    </row>
    <row r="59" spans="1:9" outlineLevel="1" x14ac:dyDescent="0.3">
      <c r="A59" s="33" t="s">
        <v>3</v>
      </c>
      <c r="B59" s="33" t="s">
        <v>16</v>
      </c>
      <c r="C59" s="32"/>
      <c r="D59" s="32">
        <f t="shared" si="19"/>
        <v>161872393869.32706</v>
      </c>
      <c r="E59" s="31">
        <f t="shared" si="17"/>
        <v>324717185.6749568</v>
      </c>
      <c r="F59" s="30">
        <f t="shared" si="18"/>
        <v>0</v>
      </c>
      <c r="G59" s="32"/>
      <c r="H59" s="63" cm="1">
        <f t="array" ref="H59:H61">TRANSPOSE(K9:M9)</f>
        <v>324717185.6749568</v>
      </c>
    </row>
    <row r="60" spans="1:9" outlineLevel="1" x14ac:dyDescent="0.3">
      <c r="A60" s="33"/>
      <c r="B60" s="33" t="s">
        <v>31</v>
      </c>
      <c r="C60" s="32"/>
      <c r="D60" s="32">
        <f t="shared" si="19"/>
        <v>162197111055.00201</v>
      </c>
      <c r="E60" s="31">
        <f t="shared" si="17"/>
        <v>4219900125.8536153</v>
      </c>
      <c r="F60" s="30">
        <f t="shared" si="18"/>
        <v>0</v>
      </c>
      <c r="G60" s="32"/>
      <c r="H60" s="63">
        <v>4219900125.8536153</v>
      </c>
    </row>
    <row r="61" spans="1:9" outlineLevel="1" x14ac:dyDescent="0.3">
      <c r="A61" s="33"/>
      <c r="B61" s="33" t="s">
        <v>14</v>
      </c>
      <c r="C61" s="32"/>
      <c r="D61" s="32">
        <f t="shared" si="19"/>
        <v>166417011180.85562</v>
      </c>
      <c r="E61" s="31">
        <f t="shared" si="17"/>
        <v>107662442.28078195</v>
      </c>
      <c r="F61" s="30">
        <f t="shared" si="18"/>
        <v>0</v>
      </c>
      <c r="G61" s="32"/>
      <c r="H61" s="63">
        <v>107662442.28078195</v>
      </c>
    </row>
    <row r="62" spans="1:9" outlineLevel="1" x14ac:dyDescent="0.3">
      <c r="A62" s="33" t="s">
        <v>12</v>
      </c>
      <c r="B62" s="33"/>
      <c r="C62" s="32"/>
      <c r="D62" s="212">
        <f>D61+E61-F62</f>
        <v>164787333212.03506</v>
      </c>
      <c r="E62" s="31">
        <f t="shared" si="17"/>
        <v>0</v>
      </c>
      <c r="F62" s="30">
        <f t="shared" si="18"/>
        <v>1737340411.101341</v>
      </c>
      <c r="G62" s="32"/>
      <c r="H62" s="64">
        <f>N26</f>
        <v>-1737340411.101341</v>
      </c>
    </row>
    <row r="63" spans="1:9" outlineLevel="1" x14ac:dyDescent="0.3">
      <c r="A63" s="33" t="s">
        <v>1</v>
      </c>
      <c r="B63" s="33"/>
      <c r="C63" s="32"/>
      <c r="D63" s="32">
        <f t="shared" si="19"/>
        <v>164787333212.03506</v>
      </c>
      <c r="E63" s="31">
        <f t="shared" si="17"/>
        <v>7516899184.8199701</v>
      </c>
      <c r="F63" s="30">
        <f t="shared" si="18"/>
        <v>0</v>
      </c>
      <c r="G63" s="32"/>
      <c r="H63" s="64">
        <f>O26</f>
        <v>7516899184.8199701</v>
      </c>
    </row>
    <row r="64" spans="1:9" outlineLevel="1" x14ac:dyDescent="0.3">
      <c r="A64" s="33" t="s">
        <v>107</v>
      </c>
      <c r="B64" s="33"/>
      <c r="C64" s="32"/>
      <c r="D64" s="32">
        <f t="shared" si="19"/>
        <v>172304232396.85504</v>
      </c>
      <c r="E64" s="31">
        <f t="shared" ref="E64" si="20">IF(H64&gt;0,H64,0)</f>
        <v>1001590132.144989</v>
      </c>
      <c r="F64" s="30">
        <f t="shared" ref="F64" si="21">IF(H64&lt;0,-H64,0)</f>
        <v>0</v>
      </c>
      <c r="G64" s="32"/>
      <c r="H64" s="64">
        <f>P26</f>
        <v>1001590132.144989</v>
      </c>
    </row>
    <row r="65" spans="1:7" outlineLevel="1" x14ac:dyDescent="0.3">
      <c r="A65" s="49" t="str">
        <f>'BĐ-Dthu EXW'!$A$17</f>
        <v>TT T03</v>
      </c>
      <c r="B65" s="49"/>
      <c r="C65" s="29"/>
      <c r="D65" s="29"/>
      <c r="E65" s="31"/>
      <c r="F65" s="30"/>
      <c r="G65" s="29">
        <f>D64+E64</f>
        <v>173305822529.00003</v>
      </c>
    </row>
    <row r="66" spans="1:7" s="21" customFormat="1" outlineLevel="1" x14ac:dyDescent="0.3">
      <c r="A66" s="21" t="s">
        <v>11</v>
      </c>
      <c r="G66" s="62">
        <f>G65-C26</f>
        <v>0</v>
      </c>
    </row>
    <row r="67" spans="1:7" outlineLevel="1" x14ac:dyDescent="0.3"/>
    <row r="68" spans="1:7" outlineLevel="1" x14ac:dyDescent="0.3"/>
    <row r="69" spans="1:7" outlineLevel="1" x14ac:dyDescent="0.3"/>
    <row r="70" spans="1:7" outlineLevel="1" x14ac:dyDescent="0.3"/>
    <row r="71" spans="1:7" outlineLevel="1" x14ac:dyDescent="0.3"/>
    <row r="72" spans="1:7" outlineLevel="1" x14ac:dyDescent="0.3"/>
    <row r="73" spans="1:7" outlineLevel="1" x14ac:dyDescent="0.3"/>
    <row r="74" spans="1:7" outlineLevel="1" x14ac:dyDescent="0.3"/>
    <row r="75" spans="1:7" outlineLevel="1" x14ac:dyDescent="0.3"/>
    <row r="76" spans="1:7" outlineLevel="1" x14ac:dyDescent="0.3"/>
    <row r="77" spans="1:7" outlineLevel="1" x14ac:dyDescent="0.3"/>
    <row r="78" spans="1:7" outlineLevel="1" x14ac:dyDescent="0.3"/>
    <row r="79" spans="1:7" outlineLevel="1" x14ac:dyDescent="0.3"/>
    <row r="80" spans="1:7" outlineLevel="1" x14ac:dyDescent="0.3"/>
    <row r="81" outlineLevel="1" x14ac:dyDescent="0.3"/>
    <row r="82" outlineLevel="1" x14ac:dyDescent="0.3"/>
    <row r="83" outlineLevel="1" x14ac:dyDescent="0.3"/>
    <row r="84" outlineLevel="1" x14ac:dyDescent="0.3"/>
    <row r="85" outlineLevel="1" x14ac:dyDescent="0.3"/>
    <row r="86" outlineLevel="1" x14ac:dyDescent="0.3"/>
    <row r="87" outlineLevel="1" x14ac:dyDescent="0.3"/>
    <row r="88" outlineLevel="1" x14ac:dyDescent="0.3"/>
    <row r="89" outlineLevel="1" x14ac:dyDescent="0.3"/>
    <row r="90" outlineLevel="1" x14ac:dyDescent="0.3"/>
    <row r="91" outlineLevel="1" x14ac:dyDescent="0.3"/>
    <row r="92" outlineLevel="1" x14ac:dyDescent="0.3"/>
    <row r="93" outlineLevel="1" x14ac:dyDescent="0.3"/>
    <row r="94" outlineLevel="1" x14ac:dyDescent="0.3"/>
    <row r="95" outlineLevel="1" x14ac:dyDescent="0.3"/>
    <row r="96" outlineLevel="1" x14ac:dyDescent="0.3"/>
    <row r="97" spans="1:9" outlineLevel="1" x14ac:dyDescent="0.3"/>
    <row r="98" spans="1:9" x14ac:dyDescent="0.3">
      <c r="A98" s="49" t="s">
        <v>32</v>
      </c>
      <c r="B98" s="33"/>
      <c r="C98" s="33"/>
      <c r="D98" s="33"/>
      <c r="E98" s="33"/>
      <c r="F98" s="33"/>
      <c r="G98" s="33"/>
    </row>
    <row r="99" spans="1:9" x14ac:dyDescent="0.3">
      <c r="A99" s="49"/>
      <c r="B99" s="49"/>
      <c r="C99" s="49" t="s">
        <v>28</v>
      </c>
      <c r="D99" s="49" t="s">
        <v>27</v>
      </c>
      <c r="E99" s="49" t="s">
        <v>26</v>
      </c>
      <c r="F99" s="49" t="s">
        <v>25</v>
      </c>
      <c r="G99" s="49" t="s">
        <v>24</v>
      </c>
    </row>
    <row r="100" spans="1:9" x14ac:dyDescent="0.3">
      <c r="A100" s="49"/>
      <c r="B100" s="49" t="str">
        <f>A46</f>
        <v>KH T03</v>
      </c>
      <c r="C100" s="51">
        <f>B26</f>
        <v>141599491827.82721</v>
      </c>
      <c r="D100" s="51"/>
      <c r="E100" s="53"/>
      <c r="F100" s="52"/>
      <c r="G100" s="51"/>
    </row>
    <row r="101" spans="1:9" x14ac:dyDescent="0.3">
      <c r="A101" s="33"/>
      <c r="B101" s="33" t="s">
        <v>16</v>
      </c>
      <c r="C101" s="32"/>
      <c r="D101" s="32">
        <f>C100-F101</f>
        <v>141599491827.82721</v>
      </c>
      <c r="E101" s="31">
        <f>IF(H101&gt;0,H101,0)</f>
        <v>35331469390.665573</v>
      </c>
      <c r="F101" s="30">
        <f>IF(H101&lt;0,-H101,0)</f>
        <v>0</v>
      </c>
      <c r="G101" s="32"/>
      <c r="H101" s="63">
        <f>SUMIFS($H$47:$H$63,$B$47:$B$63,$B101)</f>
        <v>35331469390.665573</v>
      </c>
    </row>
    <row r="102" spans="1:9" x14ac:dyDescent="0.3">
      <c r="A102" s="33"/>
      <c r="B102" s="33" t="s">
        <v>31</v>
      </c>
      <c r="C102" s="32"/>
      <c r="D102" s="32">
        <f>D101+E101-F102</f>
        <v>167285225743.63626</v>
      </c>
      <c r="E102" s="31">
        <f>IF(H102&gt;0,H102,0)</f>
        <v>0</v>
      </c>
      <c r="F102" s="30">
        <f>IF(H102&lt;0,-H102,0)</f>
        <v>9645735474.8565273</v>
      </c>
      <c r="G102" s="32"/>
      <c r="H102" s="63">
        <f>SUMIFS($H$47:$H$63,$B$47:$B$63,$B102)</f>
        <v>-9645735474.8565273</v>
      </c>
    </row>
    <row r="103" spans="1:9" x14ac:dyDescent="0.3">
      <c r="A103" s="33"/>
      <c r="B103" s="33" t="s">
        <v>14</v>
      </c>
      <c r="C103" s="32"/>
      <c r="D103" s="32">
        <f>D102+E102-F103</f>
        <v>166524673623.13641</v>
      </c>
      <c r="E103" s="31">
        <f>IF(H103&gt;0,H103,0)</f>
        <v>0</v>
      </c>
      <c r="F103" s="30">
        <f>IF(H103&lt;0,-H103,0)</f>
        <v>760552120.49985743</v>
      </c>
      <c r="G103" s="32"/>
      <c r="H103" s="63">
        <f>SUMIFS($H$47:$H$63,$B$47:$B$63,$B103)</f>
        <v>-760552120.49985743</v>
      </c>
    </row>
    <row r="104" spans="1:9" x14ac:dyDescent="0.3">
      <c r="A104" s="33"/>
      <c r="B104" s="33" t="s">
        <v>12</v>
      </c>
      <c r="C104" s="32"/>
      <c r="D104" s="32">
        <f>D103+E103-F104</f>
        <v>164787333212.03506</v>
      </c>
      <c r="E104" s="31">
        <f>IF(H104&gt;0,H104,0)</f>
        <v>0</v>
      </c>
      <c r="F104" s="30">
        <f>IF(H104&lt;0,-H104,0)</f>
        <v>1737340411.101341</v>
      </c>
      <c r="G104" s="32"/>
      <c r="H104" s="64">
        <f>H62</f>
        <v>-1737340411.101341</v>
      </c>
    </row>
    <row r="105" spans="1:9" x14ac:dyDescent="0.3">
      <c r="A105" s="33"/>
      <c r="B105" s="33" t="s">
        <v>1</v>
      </c>
      <c r="C105" s="32"/>
      <c r="D105" s="32">
        <f>D104+E104-F105</f>
        <v>164787333212.03506</v>
      </c>
      <c r="E105" s="31">
        <f>IF(H105&gt;0,H105,0)</f>
        <v>8518489316.9649591</v>
      </c>
      <c r="F105" s="30">
        <f>IF(H105&lt;0,-H105,0)</f>
        <v>0</v>
      </c>
      <c r="G105" s="32"/>
      <c r="H105" s="63">
        <f>H63+H64</f>
        <v>8518489316.9649591</v>
      </c>
      <c r="I105" s="113" t="s">
        <v>110</v>
      </c>
    </row>
    <row r="106" spans="1:9" x14ac:dyDescent="0.3">
      <c r="A106" s="49"/>
      <c r="B106" s="49" t="str">
        <f>A65</f>
        <v>TT T03</v>
      </c>
      <c r="C106" s="29"/>
      <c r="D106" s="29"/>
      <c r="E106" s="31"/>
      <c r="F106" s="30"/>
      <c r="G106" s="29">
        <f>D105+E105</f>
        <v>173305822529.00003</v>
      </c>
    </row>
    <row r="107" spans="1:9" x14ac:dyDescent="0.3">
      <c r="A107" s="21" t="s">
        <v>11</v>
      </c>
      <c r="B107" s="21"/>
      <c r="C107" s="21"/>
      <c r="D107" s="21"/>
      <c r="E107" s="21"/>
      <c r="F107" s="21"/>
      <c r="G107" s="62">
        <f>G106-C26</f>
        <v>0</v>
      </c>
    </row>
    <row r="108" spans="1:9" x14ac:dyDescent="0.3">
      <c r="G108" s="262">
        <f>G106-C100</f>
        <v>31706330701.172821</v>
      </c>
      <c r="H108" s="6">
        <f>G108/C100</f>
        <v>0.22391556842396715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78757-BCAA-47AD-A9C8-B203994DD73D}">
  <sheetPr codeName="Sheet3"/>
  <dimension ref="A1"/>
  <sheetViews>
    <sheetView workbookViewId="0">
      <selection activeCell="F36" sqref="F36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DD7D-A76D-48ED-BCAE-0F6C212B246D}">
  <sheetPr codeName="Sheet4">
    <tabColor rgb="FFC00000"/>
  </sheetPr>
  <dimension ref="A1:AS98"/>
  <sheetViews>
    <sheetView showGridLines="0" topLeftCell="A80" zoomScale="115" zoomScaleNormal="115" workbookViewId="0">
      <pane xSplit="2" topLeftCell="M1" activePane="topRight" state="frozen"/>
      <selection activeCell="A49" sqref="A49"/>
      <selection pane="topRight" activeCell="R123" sqref="R123"/>
    </sheetView>
  </sheetViews>
  <sheetFormatPr defaultRowHeight="14.4" x14ac:dyDescent="0.3"/>
  <cols>
    <col min="1" max="1" width="11.5546875" bestFit="1" customWidth="1"/>
    <col min="2" max="2" width="18.5546875" bestFit="1" customWidth="1"/>
    <col min="3" max="3" width="18.109375" customWidth="1"/>
    <col min="4" max="4" width="10.44140625" customWidth="1"/>
    <col min="5" max="5" width="14.33203125" bestFit="1" customWidth="1"/>
    <col min="6" max="6" width="18.44140625" bestFit="1" customWidth="1"/>
    <col min="7" max="7" width="17.88671875" customWidth="1"/>
    <col min="8" max="9" width="18.5546875" bestFit="1" customWidth="1"/>
    <col min="10" max="10" width="19.109375" bestFit="1" customWidth="1"/>
    <col min="11" max="11" width="16.44140625" bestFit="1" customWidth="1"/>
    <col min="12" max="12" width="14.44140625" bestFit="1" customWidth="1"/>
    <col min="13" max="13" width="22.5546875" bestFit="1" customWidth="1"/>
    <col min="14" max="14" width="10.5546875" bestFit="1" customWidth="1"/>
    <col min="15" max="15" width="17.5546875" customWidth="1"/>
    <col min="16" max="16" width="13.88671875" customWidth="1"/>
    <col min="17" max="17" width="12.5546875" bestFit="1" customWidth="1"/>
    <col min="18" max="18" width="10.109375" customWidth="1"/>
    <col min="19" max="19" width="10.44140625" bestFit="1" customWidth="1"/>
    <col min="21" max="21" width="11.44140625" customWidth="1"/>
    <col min="23" max="23" width="16.109375" bestFit="1" customWidth="1"/>
    <col min="24" max="24" width="15.88671875" bestFit="1" customWidth="1"/>
    <col min="25" max="25" width="15.44140625" bestFit="1" customWidth="1"/>
    <col min="26" max="26" width="16.5546875" bestFit="1" customWidth="1"/>
    <col min="27" max="27" width="16.44140625" bestFit="1" customWidth="1"/>
    <col min="28" max="28" width="16" bestFit="1" customWidth="1"/>
    <col min="29" max="29" width="15.44140625" customWidth="1"/>
    <col min="30" max="30" width="16" bestFit="1" customWidth="1"/>
    <col min="31" max="31" width="17" bestFit="1" customWidth="1"/>
    <col min="34" max="35" width="18.109375" bestFit="1" customWidth="1"/>
    <col min="36" max="37" width="18.109375" customWidth="1"/>
    <col min="38" max="38" width="16.109375" bestFit="1" customWidth="1"/>
    <col min="39" max="39" width="15.44140625" bestFit="1" customWidth="1"/>
    <col min="40" max="40" width="14.44140625" bestFit="1" customWidth="1"/>
    <col min="41" max="41" width="25.44140625" bestFit="1" customWidth="1"/>
    <col min="42" max="42" width="17.5546875" bestFit="1" customWidth="1"/>
  </cols>
  <sheetData>
    <row r="1" spans="1:45" x14ac:dyDescent="0.3">
      <c r="A1" s="20" t="s">
        <v>30</v>
      </c>
      <c r="AH1" s="102" t="s">
        <v>66</v>
      </c>
      <c r="AI1" s="102"/>
      <c r="AJ1" s="102"/>
      <c r="AK1" s="102"/>
      <c r="AO1" s="50" t="s">
        <v>65</v>
      </c>
      <c r="AR1" t="s">
        <v>64</v>
      </c>
    </row>
    <row r="2" spans="1:45" x14ac:dyDescent="0.3">
      <c r="A2" s="33"/>
      <c r="B2" s="33"/>
      <c r="C2" s="61" t="s">
        <v>28</v>
      </c>
      <c r="D2" s="61" t="s">
        <v>27</v>
      </c>
      <c r="E2" s="61" t="s">
        <v>26</v>
      </c>
      <c r="F2" s="61" t="s">
        <v>25</v>
      </c>
      <c r="G2" s="61" t="s">
        <v>24</v>
      </c>
      <c r="H2" s="19" t="s">
        <v>23</v>
      </c>
      <c r="K2" s="60"/>
      <c r="M2" s="59" t="s">
        <v>21</v>
      </c>
      <c r="O2" s="33"/>
      <c r="P2" s="58" t="s">
        <v>9</v>
      </c>
      <c r="Q2" s="58" t="s">
        <v>8</v>
      </c>
      <c r="R2" s="33"/>
      <c r="S2" s="33"/>
      <c r="U2" s="57" t="s">
        <v>9</v>
      </c>
      <c r="V2" s="57" t="s">
        <v>8</v>
      </c>
      <c r="W2" s="35"/>
      <c r="X2" s="35"/>
      <c r="Z2" s="56" t="s">
        <v>20</v>
      </c>
      <c r="AA2" s="55" t="s">
        <v>19</v>
      </c>
      <c r="AB2" s="55" t="s">
        <v>18</v>
      </c>
      <c r="AC2" s="55" t="s">
        <v>63</v>
      </c>
      <c r="AD2" s="55" t="s">
        <v>17</v>
      </c>
      <c r="AE2" s="19" t="s">
        <v>51</v>
      </c>
      <c r="AH2" s="54" t="s">
        <v>9</v>
      </c>
      <c r="AI2" s="54" t="s">
        <v>8</v>
      </c>
      <c r="AJ2" s="129" t="s">
        <v>62</v>
      </c>
      <c r="AK2" s="54" t="s">
        <v>61</v>
      </c>
      <c r="AO2" s="50" t="s">
        <v>9</v>
      </c>
      <c r="AP2" s="50" t="s">
        <v>8</v>
      </c>
    </row>
    <row r="3" spans="1:45" x14ac:dyDescent="0.3">
      <c r="A3" s="33" t="str">
        <f>'BĐ-Dthu EXW'!A3</f>
        <v>KH T03</v>
      </c>
      <c r="B3" s="33"/>
      <c r="C3" s="103">
        <f>H3</f>
        <v>21385803501.236702</v>
      </c>
      <c r="D3" s="51"/>
      <c r="E3" s="53"/>
      <c r="F3" s="52"/>
      <c r="G3" s="51"/>
      <c r="H3" s="76">
        <v>21385803501.236702</v>
      </c>
      <c r="K3" s="44"/>
      <c r="M3" s="43"/>
      <c r="O3" s="33"/>
      <c r="P3" s="33"/>
      <c r="Q3" s="33"/>
      <c r="R3" s="33"/>
      <c r="S3" s="33"/>
      <c r="U3" s="35"/>
      <c r="V3" s="35"/>
      <c r="W3" s="35"/>
      <c r="X3" s="35"/>
      <c r="Z3" s="25"/>
      <c r="AA3" s="25"/>
      <c r="AB3" s="25"/>
      <c r="AC3" s="25"/>
      <c r="AD3" s="25"/>
      <c r="AH3" s="36"/>
      <c r="AI3" s="36"/>
      <c r="AJ3" s="36"/>
      <c r="AK3" s="36"/>
    </row>
    <row r="4" spans="1:45" x14ac:dyDescent="0.3">
      <c r="A4" s="33" t="s">
        <v>7</v>
      </c>
      <c r="B4" s="33" t="s">
        <v>16</v>
      </c>
      <c r="C4" s="32"/>
      <c r="D4" s="32">
        <f>C3+E3-F4</f>
        <v>21385803501.236702</v>
      </c>
      <c r="E4" s="31">
        <f t="shared" ref="E4:E21" si="0">IF(H4&gt;0,H4,0)</f>
        <v>2552801639.4406633</v>
      </c>
      <c r="F4" s="30">
        <f t="shared" ref="F4:F21" si="1">IF(H4&lt;0,-H4,0)</f>
        <v>0</v>
      </c>
      <c r="G4" s="32"/>
      <c r="H4" s="39">
        <f t="shared" ref="H4:H18" si="2">M4</f>
        <v>2552801639.4406633</v>
      </c>
      <c r="K4" s="44"/>
      <c r="M4" s="43" cm="1">
        <f t="array" ref="M4:M6">TRANSPOSE(AA4:AC4)</f>
        <v>2552801639.4406633</v>
      </c>
      <c r="O4" s="49" t="s">
        <v>15</v>
      </c>
      <c r="P4" s="48">
        <f>'BĐ-Dthu EXW'!P4</f>
        <v>3872.970420142407</v>
      </c>
      <c r="Q4" s="48">
        <f>'BĐ-Dthu EXW'!Q4</f>
        <v>4560.8</v>
      </c>
      <c r="R4" s="48">
        <f t="shared" ref="R4:R18" si="3">Q4-P4</f>
        <v>687.82957985759322</v>
      </c>
      <c r="S4" s="47">
        <f t="shared" ref="S4:S18" si="4">R4/P4</f>
        <v>0.17759742658512276</v>
      </c>
      <c r="T4" s="6"/>
      <c r="U4" s="35"/>
      <c r="V4" s="35"/>
      <c r="W4" s="35"/>
      <c r="X4" s="35"/>
      <c r="Z4" s="46">
        <f>SUM(AA4:AD4)</f>
        <v>-3022062027.7809544</v>
      </c>
      <c r="AA4" s="45">
        <f>R4*(P5*U5-P6*10^3)</f>
        <v>2552801639.4406633</v>
      </c>
      <c r="AB4" s="45">
        <f>R5*Q4*U5</f>
        <v>-849408611.45553124</v>
      </c>
      <c r="AC4" s="45">
        <f>-R6*Q4*10^3</f>
        <v>-3252120647.6493163</v>
      </c>
      <c r="AD4" s="45">
        <f>Q4*Q5*W5</f>
        <v>-1473334408.11677</v>
      </c>
      <c r="AE4" s="1">
        <v>-16821239489.123674</v>
      </c>
      <c r="AF4" s="18">
        <f>Z4-AE4</f>
        <v>13799177461.34272</v>
      </c>
      <c r="AH4" s="34">
        <f>P4*(P5*U5-P6*10^3)</f>
        <v>14374091384.804502</v>
      </c>
      <c r="AI4" s="34">
        <f>Q4*(Q5*U5-Q6*10^3)</f>
        <v>12825363765.140312</v>
      </c>
      <c r="AJ4" s="34">
        <f>AI4-AH4</f>
        <v>-1548727619.6641903</v>
      </c>
      <c r="AK4" s="112">
        <f>AJ4/AH4</f>
        <v>-0.10774438385033644</v>
      </c>
      <c r="AL4" s="18"/>
      <c r="AM4" s="1">
        <f>Q4*(Q5*V5-Q6*10^3)</f>
        <v>11352029357.023533</v>
      </c>
      <c r="AN4" s="18">
        <f>AM4-AI4-AD4</f>
        <v>-9.2983245849609375E-6</v>
      </c>
      <c r="AO4" s="1">
        <f>'BĐ-Dthu EXW'!AE4</f>
        <v>114720336542.64366</v>
      </c>
      <c r="AP4" s="1">
        <f>'BĐ-Dthu EXW'!AF4</f>
        <v>134244964478.14087</v>
      </c>
      <c r="AR4" s="6">
        <f>AH4/AO4</f>
        <v>0.12529680279887767</v>
      </c>
      <c r="AS4" s="6">
        <f>AI4/AP4</f>
        <v>9.5537019321336764E-2</v>
      </c>
    </row>
    <row r="5" spans="1:45" x14ac:dyDescent="0.3">
      <c r="A5" s="33"/>
      <c r="B5" s="33" t="s">
        <v>14</v>
      </c>
      <c r="C5" s="32"/>
      <c r="D5" s="32">
        <f t="shared" ref="D5:D21" si="5">D4+E4-F5</f>
        <v>23089196529.221832</v>
      </c>
      <c r="E5" s="31">
        <f t="shared" si="0"/>
        <v>0</v>
      </c>
      <c r="F5" s="30">
        <f t="shared" si="1"/>
        <v>849408611.45553124</v>
      </c>
      <c r="G5" s="32"/>
      <c r="H5" s="39">
        <f>M5</f>
        <v>-849408611.45553124</v>
      </c>
      <c r="I5" s="93">
        <f>H5*(1-13.11%)</f>
        <v>-738051142.49371111</v>
      </c>
      <c r="K5" s="44"/>
      <c r="L5" s="18"/>
      <c r="M5" s="43">
        <v>-849408611.45553124</v>
      </c>
      <c r="O5" s="33" t="s">
        <v>13</v>
      </c>
      <c r="P5" s="42">
        <f>'BĐ-Dthu EXW'!P5</f>
        <v>1117.764618335714</v>
      </c>
      <c r="Q5" s="42">
        <f>'BĐ-Dthu EXW'!Q5</f>
        <v>1110.7366506218775</v>
      </c>
      <c r="R5" s="42">
        <f t="shared" si="3"/>
        <v>-7.0279677138364605</v>
      </c>
      <c r="S5" s="41">
        <f t="shared" si="4"/>
        <v>-6.2875202869640771E-3</v>
      </c>
      <c r="U5" s="40">
        <v>26500</v>
      </c>
      <c r="V5" s="40">
        <f>'BĐ-Dthu EXW'!V5</f>
        <v>26209.163304807222</v>
      </c>
      <c r="W5" s="27">
        <f>V5-U5</f>
        <v>-290.83669519277828</v>
      </c>
      <c r="X5" s="26">
        <f>W5/U5</f>
        <v>-1.0974969629916162E-2</v>
      </c>
      <c r="Z5" s="25"/>
      <c r="AA5" s="25"/>
      <c r="AB5" s="25"/>
      <c r="AC5" s="25"/>
      <c r="AD5" s="25"/>
      <c r="AH5" s="36"/>
      <c r="AI5" s="36"/>
      <c r="AJ5" s="36"/>
      <c r="AK5" s="36"/>
    </row>
    <row r="6" spans="1:45" x14ac:dyDescent="0.3">
      <c r="A6" s="33"/>
      <c r="B6" s="33" t="s">
        <v>60</v>
      </c>
      <c r="C6" s="32"/>
      <c r="D6" s="32">
        <f t="shared" si="5"/>
        <v>19837075881.572517</v>
      </c>
      <c r="E6" s="31">
        <f t="shared" si="0"/>
        <v>0</v>
      </c>
      <c r="F6" s="30">
        <f t="shared" si="1"/>
        <v>3252120647.6493163</v>
      </c>
      <c r="G6" s="32"/>
      <c r="H6" s="39">
        <f t="shared" si="2"/>
        <v>-3252120647.6493163</v>
      </c>
      <c r="I6" s="93">
        <f>H6*(1-13.11%)</f>
        <v>-2825767630.7424908</v>
      </c>
      <c r="K6" s="44"/>
      <c r="L6" s="18"/>
      <c r="M6" s="43">
        <v>-3252120647.6493163</v>
      </c>
      <c r="O6" s="33" t="s">
        <v>59</v>
      </c>
      <c r="P6" s="114">
        <v>25909.375562478344</v>
      </c>
      <c r="Q6" s="114">
        <v>26622.434816918205</v>
      </c>
      <c r="R6" s="114">
        <f t="shared" si="3"/>
        <v>713.05925443986052</v>
      </c>
      <c r="S6" s="41">
        <f t="shared" si="4"/>
        <v>2.7521282893151026E-2</v>
      </c>
      <c r="U6" s="40"/>
      <c r="V6" s="40"/>
      <c r="W6" s="27"/>
      <c r="X6" s="26"/>
      <c r="Z6" s="25"/>
      <c r="AA6" s="25"/>
      <c r="AB6" s="25"/>
      <c r="AC6" s="25"/>
      <c r="AD6" s="25"/>
      <c r="AH6" s="36"/>
      <c r="AI6" s="36"/>
      <c r="AJ6" s="36"/>
      <c r="AK6" s="36"/>
    </row>
    <row r="7" spans="1:45" x14ac:dyDescent="0.3">
      <c r="A7" s="128" t="s">
        <v>6</v>
      </c>
      <c r="B7" s="128" t="s">
        <v>16</v>
      </c>
      <c r="C7" s="125"/>
      <c r="D7" s="125">
        <f t="shared" si="5"/>
        <v>19326196584.273064</v>
      </c>
      <c r="E7" s="127">
        <f t="shared" si="0"/>
        <v>0</v>
      </c>
      <c r="F7" s="126">
        <f t="shared" si="1"/>
        <v>510879297.2994532</v>
      </c>
      <c r="G7" s="125"/>
      <c r="H7" s="124">
        <f t="shared" si="2"/>
        <v>-510879297.2994532</v>
      </c>
      <c r="K7" s="44"/>
      <c r="M7" s="43" cm="1">
        <f t="array" ref="M7:M9">TRANSPOSE(AA7:AC7)</f>
        <v>-510879297.2994532</v>
      </c>
      <c r="O7" s="49" t="s">
        <v>15</v>
      </c>
      <c r="P7" s="48">
        <f>'BĐ-Dthu EXW'!P6</f>
        <v>636</v>
      </c>
      <c r="Q7" s="48">
        <f>'BĐ-Dthu EXW'!Q6</f>
        <v>562.375</v>
      </c>
      <c r="R7" s="48">
        <f t="shared" si="3"/>
        <v>-73.625</v>
      </c>
      <c r="S7" s="47">
        <f t="shared" si="4"/>
        <v>-0.1157625786163522</v>
      </c>
      <c r="U7" s="35"/>
      <c r="V7" s="35"/>
      <c r="W7" s="35"/>
      <c r="X7" s="35"/>
      <c r="Z7" s="46">
        <f>SUM(AA7:AD7)</f>
        <v>-2203287687.1283717</v>
      </c>
      <c r="AA7" s="45">
        <f>R7*(P8*U8-P9*10^3)</f>
        <v>-510879297.2994532</v>
      </c>
      <c r="AB7" s="45">
        <f>R8*Q7*U8</f>
        <v>-1759706.9759762655</v>
      </c>
      <c r="AC7" s="45">
        <f>-R9*Q7*10^3</f>
        <v>-1498347587.495585</v>
      </c>
      <c r="AD7" s="45">
        <f>Q7*Q8*W8</f>
        <v>-192301095.35735726</v>
      </c>
      <c r="AE7" s="1">
        <v>-4157818960.5794315</v>
      </c>
      <c r="AF7" s="18">
        <f>Z7-AE7</f>
        <v>1954531273.4510598</v>
      </c>
      <c r="AH7" s="34">
        <f>P7*(P8*U8-P9*10^3)</f>
        <v>4413164456.1283836</v>
      </c>
      <c r="AI7" s="34">
        <f>Q7*(Q8*U8-Q9*10^3)</f>
        <v>2402177864.3573689</v>
      </c>
      <c r="AJ7" s="34">
        <f>AI7-AH7</f>
        <v>-2010986591.7710147</v>
      </c>
      <c r="AK7" s="112">
        <f>AJ7/AH7</f>
        <v>-0.45567905111227808</v>
      </c>
      <c r="AL7" s="18"/>
      <c r="AM7" s="1">
        <f>Q7*(Q8*V8-Q9*10^3)</f>
        <v>2209876769.0000114</v>
      </c>
      <c r="AN7" s="18">
        <f>AM7-AI7-AD7</f>
        <v>-2.384185791015625E-7</v>
      </c>
      <c r="AO7" s="1">
        <f>'BĐ-Dthu EXW'!AE6</f>
        <v>19865036000</v>
      </c>
      <c r="AP7" s="1">
        <f>'BĐ-Dthu EXW'!AF6</f>
        <v>17563648501.357357</v>
      </c>
      <c r="AR7" s="6">
        <f>AH7/AO7</f>
        <v>0.22215738527372333</v>
      </c>
      <c r="AS7" s="6">
        <f>AI7/AP7</f>
        <v>0.13676986670347699</v>
      </c>
    </row>
    <row r="8" spans="1:45" x14ac:dyDescent="0.3">
      <c r="A8" s="33"/>
      <c r="B8" s="33" t="s">
        <v>14</v>
      </c>
      <c r="C8" s="121"/>
      <c r="D8" s="121">
        <f t="shared" si="5"/>
        <v>19324436877.297089</v>
      </c>
      <c r="E8" s="123">
        <f t="shared" si="0"/>
        <v>0</v>
      </c>
      <c r="F8" s="122">
        <f t="shared" si="1"/>
        <v>1759706.9759762655</v>
      </c>
      <c r="G8" s="121"/>
      <c r="H8" s="120">
        <f t="shared" si="2"/>
        <v>-1759706.9759762655</v>
      </c>
      <c r="K8" s="44"/>
      <c r="L8" s="18"/>
      <c r="M8" s="43">
        <v>-1759706.9759762655</v>
      </c>
      <c r="O8" s="33" t="s">
        <v>13</v>
      </c>
      <c r="P8" s="42">
        <f>'BĐ-Dthu EXW'!P7</f>
        <v>1178.6540880503144</v>
      </c>
      <c r="Q8" s="42">
        <f>'BĐ-Dthu EXW'!Q7</f>
        <v>1178.53601018976</v>
      </c>
      <c r="R8" s="42">
        <f t="shared" si="3"/>
        <v>-0.11807786055442193</v>
      </c>
      <c r="S8" s="41">
        <f t="shared" si="4"/>
        <v>-1.0018024944854001E-4</v>
      </c>
      <c r="U8" s="40">
        <v>26500</v>
      </c>
      <c r="V8" s="40">
        <f>'BĐ-Dthu EXW'!V7</f>
        <v>26209.856467090187</v>
      </c>
      <c r="W8" s="27">
        <f>V8-U8</f>
        <v>-290.14353290981308</v>
      </c>
      <c r="X8" s="26">
        <f>W8/U8</f>
        <v>-1.0948812562634455E-2</v>
      </c>
      <c r="Z8" s="25"/>
      <c r="AA8" s="25"/>
      <c r="AB8" s="25"/>
      <c r="AC8" s="25"/>
      <c r="AD8" s="25"/>
      <c r="AH8" s="36"/>
      <c r="AI8" s="36"/>
      <c r="AJ8" s="36"/>
      <c r="AK8" s="36"/>
    </row>
    <row r="9" spans="1:45" x14ac:dyDescent="0.3">
      <c r="A9" s="119"/>
      <c r="B9" s="119" t="s">
        <v>60</v>
      </c>
      <c r="C9" s="116"/>
      <c r="D9" s="116">
        <f t="shared" si="5"/>
        <v>17826089289.801502</v>
      </c>
      <c r="E9" s="118">
        <f t="shared" si="0"/>
        <v>0</v>
      </c>
      <c r="F9" s="117">
        <f t="shared" si="1"/>
        <v>1498347587.495585</v>
      </c>
      <c r="G9" s="116"/>
      <c r="H9" s="115">
        <f t="shared" si="2"/>
        <v>-1498347587.495585</v>
      </c>
      <c r="K9" s="44"/>
      <c r="L9" s="18"/>
      <c r="M9" s="43">
        <v>-1498347587.495585</v>
      </c>
      <c r="O9" s="33" t="s">
        <v>59</v>
      </c>
      <c r="P9" s="114">
        <v>24295.395509232101</v>
      </c>
      <c r="Q9" s="114">
        <v>26959.716625027762</v>
      </c>
      <c r="R9" s="114">
        <f t="shared" si="3"/>
        <v>2664.3211157956612</v>
      </c>
      <c r="S9" s="41">
        <f t="shared" si="4"/>
        <v>0.10966362390697593</v>
      </c>
      <c r="U9" s="40"/>
      <c r="V9" s="40"/>
      <c r="W9" s="27"/>
      <c r="X9" s="26"/>
      <c r="Z9" s="25"/>
      <c r="AA9" s="25"/>
      <c r="AB9" s="25"/>
      <c r="AC9" s="25"/>
      <c r="AD9" s="25"/>
      <c r="AH9" s="36"/>
      <c r="AI9" s="36"/>
      <c r="AJ9" s="36"/>
      <c r="AK9" s="36"/>
    </row>
    <row r="10" spans="1:45" x14ac:dyDescent="0.3">
      <c r="A10" s="33" t="s">
        <v>5</v>
      </c>
      <c r="B10" s="33" t="s">
        <v>16</v>
      </c>
      <c r="C10" s="32"/>
      <c r="D10" s="32">
        <f t="shared" si="5"/>
        <v>14552735512.629246</v>
      </c>
      <c r="E10" s="31">
        <f t="shared" si="0"/>
        <v>0</v>
      </c>
      <c r="F10" s="30">
        <f t="shared" si="1"/>
        <v>3273353777.172256</v>
      </c>
      <c r="G10" s="32"/>
      <c r="H10" s="39">
        <f t="shared" si="2"/>
        <v>-3273353777.172256</v>
      </c>
      <c r="K10" s="44"/>
      <c r="M10" s="43" cm="1">
        <f t="array" ref="M10:M12">TRANSPOSE(AA10:AC10)</f>
        <v>-3273353777.172256</v>
      </c>
      <c r="O10" s="49" t="s">
        <v>15</v>
      </c>
      <c r="P10" s="48">
        <f>'BĐ-Dthu EXW'!P8</f>
        <v>0</v>
      </c>
      <c r="Q10" s="48">
        <f>'BĐ-Dthu EXW'!Q8</f>
        <v>223.72499999999999</v>
      </c>
      <c r="R10" s="48">
        <f t="shared" si="3"/>
        <v>223.72499999999999</v>
      </c>
      <c r="S10" s="47" t="e">
        <f t="shared" si="4"/>
        <v>#DIV/0!</v>
      </c>
      <c r="U10" s="35"/>
      <c r="V10" s="35"/>
      <c r="W10" s="35"/>
      <c r="X10" s="35"/>
      <c r="Z10" s="46">
        <f>SUM(AA10:AD10)</f>
        <v>-3273353777.172256</v>
      </c>
      <c r="AA10" s="263">
        <f>Q10*(Q11*V11/10^3-Q12)*10^3</f>
        <v>-3273353777.172256</v>
      </c>
      <c r="AB10" s="263"/>
      <c r="AC10" s="263"/>
      <c r="AD10" s="263"/>
      <c r="AE10" s="1">
        <v>-1772064774.3478427</v>
      </c>
      <c r="AF10" s="18">
        <f>Z10-AE10</f>
        <v>-1501289002.8244133</v>
      </c>
      <c r="AH10" s="263"/>
      <c r="AI10" s="263"/>
      <c r="AJ10" s="34">
        <f>AI10-AH10</f>
        <v>0</v>
      </c>
      <c r="AK10" s="112" t="e">
        <f>AJ10/AH10</f>
        <v>#DIV/0!</v>
      </c>
      <c r="AL10" s="18"/>
      <c r="AM10" s="1">
        <f>Q10*(Q11*V11-Q12*10^3)</f>
        <v>-3273353777.172255</v>
      </c>
      <c r="AN10" s="18">
        <f>AM10-AI10-AD10</f>
        <v>-3273353777.172255</v>
      </c>
      <c r="AO10" s="1">
        <f>'BĐ-Dthu EXW'!AE8</f>
        <v>0</v>
      </c>
      <c r="AP10" s="1">
        <f>'BĐ-Dthu EXW'!AF8</f>
        <v>3951548369.8277454</v>
      </c>
      <c r="AR10" s="6" t="e">
        <f>AH10/AO10</f>
        <v>#DIV/0!</v>
      </c>
      <c r="AS10" s="6">
        <f>AI10/AP10</f>
        <v>0</v>
      </c>
    </row>
    <row r="11" spans="1:45" x14ac:dyDescent="0.3">
      <c r="A11" s="33"/>
      <c r="B11" s="33" t="s">
        <v>14</v>
      </c>
      <c r="C11" s="32"/>
      <c r="D11" s="32">
        <f t="shared" si="5"/>
        <v>14552735512.629246</v>
      </c>
      <c r="E11" s="31">
        <f t="shared" si="0"/>
        <v>0</v>
      </c>
      <c r="F11" s="30">
        <f t="shared" si="1"/>
        <v>0</v>
      </c>
      <c r="G11" s="32"/>
      <c r="H11" s="39">
        <f t="shared" si="2"/>
        <v>0</v>
      </c>
      <c r="K11" s="44"/>
      <c r="L11" s="18"/>
      <c r="M11" s="43">
        <v>0</v>
      </c>
      <c r="O11" s="33" t="s">
        <v>13</v>
      </c>
      <c r="P11" s="42">
        <f>'BĐ-Dthu EXW'!P9</f>
        <v>0</v>
      </c>
      <c r="Q11" s="42">
        <f>'BĐ-Dthu EXW'!Q9</f>
        <v>673.90655005074348</v>
      </c>
      <c r="R11" s="42">
        <f t="shared" si="3"/>
        <v>673.90655005074348</v>
      </c>
      <c r="S11" s="41" t="e">
        <f t="shared" si="4"/>
        <v>#DIV/0!</v>
      </c>
      <c r="U11" s="40">
        <v>26500</v>
      </c>
      <c r="V11" s="40">
        <f>'BĐ-Dthu EXW'!V9</f>
        <v>26209.160363056937</v>
      </c>
      <c r="W11" s="27">
        <f>V11-U11</f>
        <v>-290.83963694306294</v>
      </c>
      <c r="X11" s="26">
        <f>W11/U11</f>
        <v>-1.0975080639360866E-2</v>
      </c>
      <c r="Z11" s="25"/>
      <c r="AA11" s="25"/>
      <c r="AB11" s="25"/>
      <c r="AC11" s="25"/>
      <c r="AD11" s="25"/>
      <c r="AH11" s="36"/>
      <c r="AI11" s="36"/>
      <c r="AJ11" s="36"/>
      <c r="AK11" s="36"/>
    </row>
    <row r="12" spans="1:45" x14ac:dyDescent="0.3">
      <c r="A12" s="33"/>
      <c r="B12" s="33" t="s">
        <v>60</v>
      </c>
      <c r="C12" s="32"/>
      <c r="D12" s="32">
        <f t="shared" si="5"/>
        <v>14552735512.629246</v>
      </c>
      <c r="E12" s="31">
        <f t="shared" si="0"/>
        <v>0</v>
      </c>
      <c r="F12" s="30">
        <f t="shared" si="1"/>
        <v>0</v>
      </c>
      <c r="G12" s="32"/>
      <c r="H12" s="39">
        <f t="shared" si="2"/>
        <v>0</v>
      </c>
      <c r="K12" s="44"/>
      <c r="L12" s="18"/>
      <c r="M12" s="43">
        <v>0</v>
      </c>
      <c r="O12" s="33" t="s">
        <v>59</v>
      </c>
      <c r="P12" s="114"/>
      <c r="Q12" s="114">
        <v>32293.673693150078</v>
      </c>
      <c r="R12" s="114">
        <f t="shared" si="3"/>
        <v>32293.673693150078</v>
      </c>
      <c r="S12" s="41" t="e">
        <f t="shared" si="4"/>
        <v>#DIV/0!</v>
      </c>
      <c r="U12" s="40"/>
      <c r="V12" s="40"/>
      <c r="W12" s="27"/>
      <c r="X12" s="26"/>
      <c r="Z12" s="25"/>
      <c r="AA12" s="25"/>
      <c r="AB12" s="25"/>
      <c r="AC12" s="25"/>
      <c r="AD12" s="25"/>
      <c r="AH12" s="36"/>
      <c r="AI12" s="36"/>
      <c r="AJ12" s="36"/>
      <c r="AK12" s="36"/>
    </row>
    <row r="13" spans="1:45" x14ac:dyDescent="0.3">
      <c r="A13" s="128" t="s">
        <v>4</v>
      </c>
      <c r="B13" s="128" t="s">
        <v>16</v>
      </c>
      <c r="C13" s="125"/>
      <c r="D13" s="125">
        <f t="shared" si="5"/>
        <v>14552735512.629246</v>
      </c>
      <c r="E13" s="127">
        <f t="shared" si="0"/>
        <v>206596876.54665509</v>
      </c>
      <c r="F13" s="126">
        <f t="shared" si="1"/>
        <v>0</v>
      </c>
      <c r="G13" s="125"/>
      <c r="H13" s="124">
        <f t="shared" si="2"/>
        <v>206596876.54665509</v>
      </c>
      <c r="K13" s="44"/>
      <c r="M13" s="43" cm="1">
        <f t="array" ref="M13:M15">TRANSPOSE(AA13:AC13)</f>
        <v>206596876.54665509</v>
      </c>
      <c r="O13" s="49" t="s">
        <v>15</v>
      </c>
      <c r="P13" s="48">
        <f>'BĐ-Dthu EXW'!P10</f>
        <v>72</v>
      </c>
      <c r="Q13" s="48">
        <f>'BĐ-Dthu EXW'!Q10</f>
        <v>23.725000000000001</v>
      </c>
      <c r="R13" s="48">
        <f t="shared" si="3"/>
        <v>-48.274999999999999</v>
      </c>
      <c r="S13" s="47">
        <f t="shared" si="4"/>
        <v>-0.67048611111111112</v>
      </c>
      <c r="T13" s="50"/>
      <c r="U13" s="35"/>
      <c r="V13" s="35"/>
      <c r="W13" s="35"/>
      <c r="X13" s="35"/>
      <c r="Z13" s="46">
        <f>SUM(AA13:AD13)</f>
        <v>222396832.64399511</v>
      </c>
      <c r="AA13" s="45">
        <f>R13*(P14*U14-P15*10^3)</f>
        <v>206596876.54665509</v>
      </c>
      <c r="AB13" s="45">
        <f>R14*Q13*U14</f>
        <v>-17046244.349131957</v>
      </c>
      <c r="AC13" s="45">
        <f>-R15*Q13*10^3</f>
        <v>37431734.390786693</v>
      </c>
      <c r="AD13" s="45">
        <f>Q13*Q14*W14</f>
        <v>-4585533.9443147182</v>
      </c>
      <c r="AE13" s="1">
        <v>147827649.78780273</v>
      </c>
      <c r="AF13" s="18">
        <f>Z13-AE13</f>
        <v>74569182.85619238</v>
      </c>
      <c r="AH13" s="34">
        <f>P13*(P14*U14-P15*10^3)</f>
        <v>-308129986.77077508</v>
      </c>
      <c r="AI13" s="34">
        <f>Q13*(Q14*U14-Q15*10^3)</f>
        <v>-81147620.182465211</v>
      </c>
      <c r="AJ13" s="34">
        <f>AI13-AH13</f>
        <v>226982366.58830988</v>
      </c>
      <c r="AK13" s="112">
        <f>AJ13/AH13</f>
        <v>-0.73664484579090073</v>
      </c>
      <c r="AL13" s="18"/>
      <c r="AM13" s="1">
        <f>Q13*(Q14*V14-Q15*10^3)</f>
        <v>-85733154.126779884</v>
      </c>
      <c r="AN13" s="18">
        <f>AM13-AI13-AD13</f>
        <v>4.4703483581542969E-8</v>
      </c>
      <c r="AO13" s="1">
        <f>'BĐ-Dthu EXW'!AE10</f>
        <v>1319700000</v>
      </c>
      <c r="AP13" s="1">
        <f>'BĐ-Dthu EXW'!AF10</f>
        <v>417813234.81753474</v>
      </c>
      <c r="AR13" s="6">
        <f>AH13/AO13</f>
        <v>-0.2334848729035198</v>
      </c>
      <c r="AS13" s="6">
        <f>AI13/AP13</f>
        <v>-0.19421984135544099</v>
      </c>
    </row>
    <row r="14" spans="1:45" x14ac:dyDescent="0.3">
      <c r="A14" s="33"/>
      <c r="B14" s="33" t="s">
        <v>14</v>
      </c>
      <c r="C14" s="121"/>
      <c r="D14" s="121">
        <f t="shared" si="5"/>
        <v>14742286144.826769</v>
      </c>
      <c r="E14" s="123">
        <f t="shared" si="0"/>
        <v>0</v>
      </c>
      <c r="F14" s="122">
        <f t="shared" si="1"/>
        <v>17046244.349131957</v>
      </c>
      <c r="G14" s="121"/>
      <c r="H14" s="120">
        <f t="shared" si="2"/>
        <v>-17046244.349131957</v>
      </c>
      <c r="K14" s="44"/>
      <c r="L14" s="18"/>
      <c r="M14" s="43">
        <v>-17046244.349131957</v>
      </c>
      <c r="O14" s="33" t="s">
        <v>13</v>
      </c>
      <c r="P14" s="42">
        <f>'BĐ-Dthu EXW'!P11</f>
        <v>691.66666666666663</v>
      </c>
      <c r="Q14" s="42">
        <f>'BĐ-Dthu EXW'!Q11</f>
        <v>664.55372657221653</v>
      </c>
      <c r="R14" s="42">
        <f t="shared" si="3"/>
        <v>-27.112940094450096</v>
      </c>
      <c r="S14" s="41">
        <f t="shared" si="4"/>
        <v>-3.9199431461855561E-2</v>
      </c>
      <c r="U14" s="40">
        <v>26500</v>
      </c>
      <c r="V14" s="40">
        <f>'BĐ-Dthu EXW'!V11</f>
        <v>26209.160363056933</v>
      </c>
      <c r="W14" s="27">
        <f>V14-U14</f>
        <v>-290.83963694306658</v>
      </c>
      <c r="X14" s="26">
        <f>W14/U14</f>
        <v>-1.0975080639361003E-2</v>
      </c>
      <c r="Z14" s="25"/>
      <c r="AA14" s="25"/>
      <c r="AB14" s="25"/>
      <c r="AC14" s="25"/>
      <c r="AD14" s="25"/>
      <c r="AH14" s="36"/>
      <c r="AI14" s="36"/>
      <c r="AJ14" s="36"/>
      <c r="AK14" s="36"/>
    </row>
    <row r="15" spans="1:45" x14ac:dyDescent="0.3">
      <c r="A15" s="119"/>
      <c r="B15" s="119" t="s">
        <v>60</v>
      </c>
      <c r="C15" s="116"/>
      <c r="D15" s="116">
        <f t="shared" si="5"/>
        <v>14742286144.826769</v>
      </c>
      <c r="E15" s="118">
        <f t="shared" si="0"/>
        <v>37431734.390786693</v>
      </c>
      <c r="F15" s="117">
        <f t="shared" si="1"/>
        <v>0</v>
      </c>
      <c r="G15" s="116"/>
      <c r="H15" s="115">
        <f t="shared" si="2"/>
        <v>37431734.390786693</v>
      </c>
      <c r="K15" s="44"/>
      <c r="L15" s="18"/>
      <c r="M15" s="43">
        <v>37431734.390786693</v>
      </c>
      <c r="O15" s="33" t="s">
        <v>59</v>
      </c>
      <c r="P15" s="114">
        <v>22608.749816260763</v>
      </c>
      <c r="Q15" s="114">
        <v>21031.016016859849</v>
      </c>
      <c r="R15" s="114">
        <f t="shared" si="3"/>
        <v>-1577.733799400914</v>
      </c>
      <c r="S15" s="41">
        <f t="shared" si="4"/>
        <v>-6.9784212405507251E-2</v>
      </c>
      <c r="U15" s="40"/>
      <c r="V15" s="40"/>
      <c r="W15" s="27"/>
      <c r="X15" s="26"/>
      <c r="Z15" s="25"/>
      <c r="AA15" s="25"/>
      <c r="AB15" s="25"/>
      <c r="AC15" s="25"/>
      <c r="AD15" s="25"/>
      <c r="AH15" s="36"/>
      <c r="AI15" s="36"/>
      <c r="AJ15" s="36"/>
      <c r="AK15" s="36"/>
    </row>
    <row r="16" spans="1:45" x14ac:dyDescent="0.3">
      <c r="A16" s="128" t="s">
        <v>3</v>
      </c>
      <c r="B16" s="128" t="s">
        <v>16</v>
      </c>
      <c r="C16" s="125"/>
      <c r="D16" s="125">
        <f t="shared" si="5"/>
        <v>12053460287.593973</v>
      </c>
      <c r="E16" s="127">
        <f t="shared" si="0"/>
        <v>0</v>
      </c>
      <c r="F16" s="126">
        <f t="shared" si="1"/>
        <v>2726257591.6235833</v>
      </c>
      <c r="G16" s="125"/>
      <c r="H16" s="124">
        <f t="shared" si="2"/>
        <v>-2726257591.6235833</v>
      </c>
      <c r="K16" s="44"/>
      <c r="M16" s="43" cm="1">
        <f t="array" ref="M16:M18">TRANSPOSE(AA16:AC16)</f>
        <v>-2726257591.6235833</v>
      </c>
      <c r="O16" s="49" t="s">
        <v>15</v>
      </c>
      <c r="P16" s="48">
        <f>'BĐ-Dthu EXW'!P12</f>
        <v>86.586983333333322</v>
      </c>
      <c r="Q16" s="48">
        <f>'BĐ-Dthu EXW'!Q12</f>
        <v>363.5</v>
      </c>
      <c r="R16" s="48">
        <f t="shared" si="3"/>
        <v>276.91301666666669</v>
      </c>
      <c r="S16" s="47">
        <f t="shared" si="4"/>
        <v>3.1980905905987802</v>
      </c>
      <c r="U16" s="35"/>
      <c r="V16" s="35"/>
      <c r="W16" s="35"/>
      <c r="X16" s="35"/>
      <c r="Z16" s="46">
        <f>SUM(AA16:AD16)</f>
        <v>-3399572956.9529338</v>
      </c>
      <c r="AA16" s="45">
        <f>R16*(P17*U17-P18*10^3)</f>
        <v>-2726257591.6235833</v>
      </c>
      <c r="AB16" s="45">
        <f>R17*Q16*U17</f>
        <v>107662442.28078195</v>
      </c>
      <c r="AC16" s="45">
        <f>-R18*Q16*10^3</f>
        <v>-713858433.92722332</v>
      </c>
      <c r="AD16" s="45">
        <f>Q16*Q17*W17</f>
        <v>-67119373.682908803</v>
      </c>
      <c r="AE16" s="1">
        <v>-850552288.30301845</v>
      </c>
      <c r="AF16" s="18">
        <f>Z16-AE16</f>
        <v>-2549020668.6499152</v>
      </c>
      <c r="AH16" s="34">
        <f>P16*(P17*U17-P18*10^3)</f>
        <v>-852464154.59205127</v>
      </c>
      <c r="AI16" s="34">
        <f>Q16*(Q17*U17-Q18*10^3)</f>
        <v>-4184917737.8620758</v>
      </c>
      <c r="AJ16" s="34">
        <f>AI16-AH16</f>
        <v>-3332453583.2700243</v>
      </c>
      <c r="AK16" s="112">
        <f>AJ16/AH16</f>
        <v>3.9092008330423909</v>
      </c>
      <c r="AL16" s="18"/>
      <c r="AM16" s="1">
        <f>Q16*(Q17*V17-Q18*10^3)</f>
        <v>-4252037111.5449848</v>
      </c>
      <c r="AN16" s="18">
        <f>AM16-AI16-AD16</f>
        <v>-2.0861625671386719E-7</v>
      </c>
      <c r="AO16" s="1">
        <f>'BĐ-Dthu EXW'!AE12</f>
        <v>1421040831.3285713</v>
      </c>
      <c r="AP16" s="1">
        <f>'BĐ-Dthu EXW'!AF12</f>
        <v>6073320585.1379251</v>
      </c>
      <c r="AR16" s="6">
        <f>AH16/AO16</f>
        <v>-0.59988716425203514</v>
      </c>
      <c r="AS16" s="6">
        <f>AI16/AP16</f>
        <v>-0.68906583790472442</v>
      </c>
    </row>
    <row r="17" spans="1:45" x14ac:dyDescent="0.3">
      <c r="A17" s="33"/>
      <c r="B17" s="33" t="s">
        <v>14</v>
      </c>
      <c r="C17" s="121"/>
      <c r="D17" s="121">
        <f t="shared" si="5"/>
        <v>12053460287.593973</v>
      </c>
      <c r="E17" s="123">
        <f t="shared" si="0"/>
        <v>107662442.28078195</v>
      </c>
      <c r="F17" s="122">
        <f t="shared" si="1"/>
        <v>0</v>
      </c>
      <c r="G17" s="121"/>
      <c r="H17" s="120">
        <f t="shared" si="2"/>
        <v>107662442.28078195</v>
      </c>
      <c r="K17" s="44"/>
      <c r="L17" s="18"/>
      <c r="M17" s="43">
        <v>107662442.28078195</v>
      </c>
      <c r="O17" s="33" t="s">
        <v>13</v>
      </c>
      <c r="P17" s="42">
        <f>'BĐ-Dthu EXW'!P13</f>
        <v>619.30997304582218</v>
      </c>
      <c r="Q17" s="42">
        <f>'BĐ-Dthu EXW'!Q13</f>
        <v>630.48668190682054</v>
      </c>
      <c r="R17" s="42">
        <f t="shared" si="3"/>
        <v>11.17670886099836</v>
      </c>
      <c r="S17" s="41">
        <f t="shared" si="4"/>
        <v>1.8047035164039583E-2</v>
      </c>
      <c r="U17" s="40">
        <v>26500</v>
      </c>
      <c r="V17" s="40">
        <f>'BĐ-Dthu EXW'!V13</f>
        <v>26207.134939171552</v>
      </c>
      <c r="W17" s="27">
        <f>V17-U17</f>
        <v>-292.86506082844789</v>
      </c>
      <c r="X17" s="26">
        <f>W17/U17</f>
        <v>-1.1051511729375392E-2</v>
      </c>
      <c r="Z17" s="25"/>
      <c r="AA17" s="25"/>
      <c r="AB17" s="25"/>
      <c r="AC17" s="25"/>
      <c r="AD17" s="25"/>
      <c r="AH17" s="36"/>
      <c r="AI17" s="36"/>
      <c r="AJ17" s="36"/>
      <c r="AK17" s="36"/>
    </row>
    <row r="18" spans="1:45" x14ac:dyDescent="0.3">
      <c r="A18" s="119"/>
      <c r="B18" s="119" t="s">
        <v>60</v>
      </c>
      <c r="C18" s="116"/>
      <c r="D18" s="116">
        <f t="shared" si="5"/>
        <v>11447264295.947533</v>
      </c>
      <c r="E18" s="118">
        <f t="shared" si="0"/>
        <v>0</v>
      </c>
      <c r="F18" s="117">
        <f t="shared" si="1"/>
        <v>713858433.92722332</v>
      </c>
      <c r="G18" s="116"/>
      <c r="H18" s="115">
        <f t="shared" si="2"/>
        <v>-713858433.92722332</v>
      </c>
      <c r="K18" s="44"/>
      <c r="L18" s="18"/>
      <c r="M18" s="43">
        <v>-713858433.92722332</v>
      </c>
      <c r="O18" s="33" t="s">
        <v>59</v>
      </c>
      <c r="P18" s="114">
        <v>26256.891029086048</v>
      </c>
      <c r="Q18" s="114">
        <v>28220.738165061903</v>
      </c>
      <c r="R18" s="114">
        <f t="shared" si="3"/>
        <v>1963.8471359758551</v>
      </c>
      <c r="S18" s="41">
        <f t="shared" si="4"/>
        <v>7.4793589758985757E-2</v>
      </c>
      <c r="U18" s="40"/>
      <c r="V18" s="40"/>
      <c r="W18" s="27"/>
      <c r="X18" s="26"/>
      <c r="Z18" s="25"/>
      <c r="AA18" s="25"/>
      <c r="AB18" s="25"/>
      <c r="AC18" s="25"/>
      <c r="AD18" s="25"/>
      <c r="AH18" s="36"/>
      <c r="AI18" s="36"/>
      <c r="AJ18" s="36"/>
      <c r="AK18" s="36"/>
    </row>
    <row r="19" spans="1:45" x14ac:dyDescent="0.3">
      <c r="A19" s="33" t="s">
        <v>12</v>
      </c>
      <c r="B19" s="33"/>
      <c r="C19" s="32"/>
      <c r="D19" s="32">
        <f t="shared" si="5"/>
        <v>9709923884.8461819</v>
      </c>
      <c r="E19" s="31">
        <f t="shared" si="0"/>
        <v>0</v>
      </c>
      <c r="F19" s="30">
        <f t="shared" si="1"/>
        <v>1737340411.1013508</v>
      </c>
      <c r="G19" s="32"/>
      <c r="H19" s="39">
        <f>M19</f>
        <v>-1737340411.1013508</v>
      </c>
      <c r="K19" s="38"/>
      <c r="M19" s="37">
        <f>AD4+AD7+AD10+AD13+AD16</f>
        <v>-1737340411.1013508</v>
      </c>
      <c r="U19" s="35"/>
      <c r="V19" s="35"/>
      <c r="W19" s="35"/>
      <c r="X19" s="35"/>
      <c r="Z19" s="25"/>
      <c r="AA19" s="25"/>
      <c r="AB19" s="25"/>
      <c r="AC19" s="25"/>
      <c r="AD19" s="25"/>
      <c r="AH19" s="36"/>
      <c r="AI19" s="36"/>
      <c r="AJ19" s="36"/>
      <c r="AK19" s="36"/>
    </row>
    <row r="20" spans="1:45" x14ac:dyDescent="0.3">
      <c r="A20" s="33" t="s">
        <v>1</v>
      </c>
      <c r="B20" s="33"/>
      <c r="C20" s="32"/>
      <c r="D20" s="32">
        <f t="shared" si="5"/>
        <v>6459492531.855011</v>
      </c>
      <c r="E20" s="31">
        <f t="shared" si="0"/>
        <v>0</v>
      </c>
      <c r="F20" s="30">
        <f t="shared" si="1"/>
        <v>3250431352.9911709</v>
      </c>
      <c r="G20" s="32"/>
      <c r="H20" s="98">
        <f>H22-SUM(H3:H19,H21)</f>
        <v>-3250431352.9911709</v>
      </c>
      <c r="I20" s="113"/>
      <c r="U20" s="35"/>
      <c r="V20" s="35"/>
      <c r="W20" s="35"/>
      <c r="X20" s="35"/>
      <c r="Z20" s="25"/>
      <c r="AA20" s="25"/>
      <c r="AB20" s="25"/>
      <c r="AC20" s="25"/>
      <c r="AD20" s="25"/>
      <c r="AH20" s="34">
        <f>AH22-SUM(AH3:AH19)</f>
        <v>3759141801.6666451</v>
      </c>
      <c r="AI20" s="34">
        <f>AI22-SUM(AI3:AI19)</f>
        <v>-1763053196.3517895</v>
      </c>
      <c r="AJ20" s="34">
        <f>AI20-AH20</f>
        <v>-5522194998.0184345</v>
      </c>
      <c r="AK20" s="112">
        <f>AJ20/AH20</f>
        <v>-1.4690041741894722</v>
      </c>
      <c r="AO20" s="1">
        <f>'BĐ-Dthu EXW'!AE15</f>
        <v>4273378453.855011</v>
      </c>
      <c r="AP20" s="1">
        <f>'BĐ-Dthu EXW'!AF15</f>
        <v>12835717588.109894</v>
      </c>
    </row>
    <row r="21" spans="1:45" x14ac:dyDescent="0.3">
      <c r="A21" s="33" t="s">
        <v>107</v>
      </c>
      <c r="B21" s="33"/>
      <c r="C21" s="32"/>
      <c r="D21" s="32">
        <f t="shared" si="5"/>
        <v>6459492531.855011</v>
      </c>
      <c r="E21" s="31">
        <f t="shared" si="0"/>
        <v>1001590132.144989</v>
      </c>
      <c r="F21" s="30">
        <f t="shared" si="1"/>
        <v>0</v>
      </c>
      <c r="G21" s="32"/>
      <c r="H21" s="98">
        <f>G27-C27</f>
        <v>1001590132.144989</v>
      </c>
      <c r="I21" s="113"/>
      <c r="U21" s="35"/>
      <c r="V21" s="35"/>
      <c r="W21" s="35"/>
      <c r="X21" s="35"/>
      <c r="Z21" s="25"/>
      <c r="AA21" s="25"/>
      <c r="AB21" s="25"/>
      <c r="AC21" s="25"/>
      <c r="AD21" s="25"/>
      <c r="AH21" s="34"/>
      <c r="AI21" s="34"/>
      <c r="AJ21" s="34"/>
      <c r="AK21" s="112"/>
      <c r="AO21" s="1"/>
      <c r="AP21" s="1"/>
    </row>
    <row r="22" spans="1:45" x14ac:dyDescent="0.3">
      <c r="A22" s="33" t="str">
        <f>'BĐ-Dthu EXW'!A17</f>
        <v>TT T03</v>
      </c>
      <c r="B22" s="33"/>
      <c r="C22" s="32"/>
      <c r="D22" s="32"/>
      <c r="E22" s="31"/>
      <c r="F22" s="30"/>
      <c r="G22" s="97">
        <f>D21+E21</f>
        <v>7461082664</v>
      </c>
      <c r="H22" s="76">
        <v>7461082664</v>
      </c>
      <c r="I22" s="1">
        <f>H22-H3</f>
        <v>-13924720837.236702</v>
      </c>
      <c r="J22" s="6">
        <f>H22/H3-1</f>
        <v>-0.65111983454030431</v>
      </c>
      <c r="K22" s="6"/>
      <c r="U22" s="28">
        <v>26500</v>
      </c>
      <c r="V22" s="28">
        <f>'BĐ-Dthu EXW'!V17</f>
        <v>26209.162244895542</v>
      </c>
      <c r="W22" s="27">
        <f>V22-U22</f>
        <v>-290.83775510445776</v>
      </c>
      <c r="X22" s="26">
        <f>W22/U22</f>
        <v>-1.0975009626583312E-2</v>
      </c>
      <c r="Z22" s="25"/>
      <c r="AA22" s="25"/>
      <c r="AB22" s="25"/>
      <c r="AC22" s="25"/>
      <c r="AD22" s="25"/>
      <c r="AH22" s="23">
        <f>C3</f>
        <v>21385803501.236702</v>
      </c>
      <c r="AI22" s="23">
        <f>G22-H19</f>
        <v>9198423075.1013508</v>
      </c>
      <c r="AJ22" s="23">
        <f>AI22-AH22</f>
        <v>-12187380426.135351</v>
      </c>
      <c r="AK22" s="111">
        <f>AJ22/AH22</f>
        <v>-0.56988181086722212</v>
      </c>
      <c r="AO22" s="76">
        <f>SUM(AO3:AO20)</f>
        <v>141599491827.82724</v>
      </c>
      <c r="AP22" s="76">
        <f>SUM(AP3:AP20)</f>
        <v>175087012757.39136</v>
      </c>
      <c r="AR22" s="6"/>
      <c r="AS22" s="6"/>
    </row>
    <row r="23" spans="1:45" s="21" customFormat="1" x14ac:dyDescent="0.3">
      <c r="A23" s="21" t="s">
        <v>11</v>
      </c>
      <c r="F23" s="110">
        <f>G22-C3</f>
        <v>-13924720837.236702</v>
      </c>
      <c r="G23" s="109">
        <f>G22-H22</f>
        <v>0</v>
      </c>
      <c r="O23"/>
      <c r="P23"/>
      <c r="Q23"/>
      <c r="R23"/>
      <c r="S23"/>
      <c r="AI23" s="108"/>
      <c r="AJ23"/>
      <c r="AK23"/>
      <c r="AO23" s="74">
        <f>AO22-'BĐ-Dthu EXW'!AE17</f>
        <v>0</v>
      </c>
      <c r="AP23" s="74">
        <f>AP22-'BĐ-Dthu EXW'!AF17</f>
        <v>0</v>
      </c>
    </row>
    <row r="24" spans="1:45" x14ac:dyDescent="0.3">
      <c r="F24" s="107">
        <f>F23/C3</f>
        <v>-0.65111983454030431</v>
      </c>
      <c r="G24" s="94"/>
      <c r="K24" s="106"/>
    </row>
    <row r="25" spans="1:45" x14ac:dyDescent="0.3">
      <c r="K25" s="106"/>
    </row>
    <row r="26" spans="1:45" x14ac:dyDescent="0.3">
      <c r="C26" t="s">
        <v>9</v>
      </c>
      <c r="G26" t="s">
        <v>8</v>
      </c>
      <c r="K26" s="106"/>
    </row>
    <row r="27" spans="1:45" x14ac:dyDescent="0.3">
      <c r="A27" s="65" t="s">
        <v>107</v>
      </c>
      <c r="B27" s="65"/>
      <c r="C27" s="213">
        <f>'BĐ-Dthu EXW'!C20</f>
        <v>4127628453.8549805</v>
      </c>
      <c r="D27" s="201"/>
      <c r="E27" s="201"/>
      <c r="F27" s="201"/>
      <c r="G27" s="213">
        <f>'BĐ-Dthu EXW'!G20</f>
        <v>5129218585.9999695</v>
      </c>
      <c r="K27" s="106"/>
    </row>
    <row r="28" spans="1:45" s="208" customFormat="1" x14ac:dyDescent="0.3">
      <c r="A28" s="215" t="s">
        <v>116</v>
      </c>
      <c r="B28" s="215"/>
      <c r="C28" s="223">
        <v>470236652.18832326</v>
      </c>
      <c r="D28" s="216"/>
      <c r="E28" s="216"/>
      <c r="F28" s="216"/>
      <c r="G28" s="223">
        <v>546224749.99999833</v>
      </c>
      <c r="K28" s="217"/>
      <c r="AI28"/>
    </row>
    <row r="29" spans="1:45" x14ac:dyDescent="0.3">
      <c r="A29" s="65" t="s">
        <v>83</v>
      </c>
      <c r="B29" s="65"/>
      <c r="C29" s="205">
        <f>C3-C27+C28</f>
        <v>17728411699.570045</v>
      </c>
      <c r="D29" s="201"/>
      <c r="E29" s="201"/>
      <c r="F29" s="201"/>
      <c r="G29" s="205">
        <f>G22-G27+G28</f>
        <v>2878088828.0000286</v>
      </c>
      <c r="H29" s="1">
        <f>G29-C29</f>
        <v>-14850322871.570017</v>
      </c>
      <c r="K29" s="106"/>
    </row>
    <row r="30" spans="1:45" x14ac:dyDescent="0.3">
      <c r="K30" s="106"/>
    </row>
    <row r="31" spans="1:45" x14ac:dyDescent="0.3">
      <c r="A31" s="70" t="s">
        <v>36</v>
      </c>
      <c r="B31" s="70"/>
      <c r="C31" s="206">
        <f>'BĐ-Dthu EXW-v2'!B22</f>
        <v>0</v>
      </c>
      <c r="D31" s="206"/>
      <c r="E31" s="206"/>
      <c r="F31" s="206"/>
      <c r="G31" s="206">
        <f>'BĐ-Dthu EXW-v2'!C22</f>
        <v>190015000</v>
      </c>
      <c r="K31" s="106"/>
    </row>
    <row r="32" spans="1:45" x14ac:dyDescent="0.3">
      <c r="A32" s="70" t="s">
        <v>112</v>
      </c>
      <c r="B32" s="70"/>
      <c r="C32" s="207">
        <f>C29-C31</f>
        <v>17728411699.570045</v>
      </c>
      <c r="D32" s="207"/>
      <c r="E32" s="207"/>
      <c r="F32" s="207"/>
      <c r="G32" s="207">
        <f>G29-G31</f>
        <v>2688073828.0000286</v>
      </c>
      <c r="H32" s="93">
        <f>G32-G23</f>
        <v>2688073828.0000286</v>
      </c>
      <c r="K32" s="106"/>
    </row>
    <row r="33" spans="1:19" x14ac:dyDescent="0.3">
      <c r="A33" s="70" t="s">
        <v>113</v>
      </c>
      <c r="B33" s="70"/>
      <c r="C33" s="207">
        <f>'BĐ-Dthu EXW-v2'!B26-'BĐ-Dthu EXW-v2'!B25-C31</f>
        <v>137471863373.97223</v>
      </c>
      <c r="D33" s="207"/>
      <c r="E33" s="207"/>
      <c r="F33" s="207"/>
      <c r="G33" s="207">
        <f>'BĐ-Dthu EXW-v2'!C26-'BĐ-Dthu EXW-v2'!C25-'BĐ-Dthu EXW-v2'!C22</f>
        <v>167986588943.00006</v>
      </c>
      <c r="K33" s="106"/>
    </row>
    <row r="34" spans="1:19" x14ac:dyDescent="0.3">
      <c r="A34" s="208" t="s">
        <v>64</v>
      </c>
      <c r="B34" s="208"/>
      <c r="C34" s="209">
        <f>IFERROR(C32/C33,0)</f>
        <v>0.12896029241520118</v>
      </c>
      <c r="D34" s="208"/>
      <c r="E34" s="208"/>
      <c r="F34" s="208"/>
      <c r="G34" s="209">
        <f>IFERROR(G32/G33,0)</f>
        <v>1.6001716832955787E-2</v>
      </c>
      <c r="K34" s="106"/>
    </row>
    <row r="35" spans="1:19" x14ac:dyDescent="0.3">
      <c r="K35" s="106"/>
    </row>
    <row r="36" spans="1:19" x14ac:dyDescent="0.3">
      <c r="K36" s="106"/>
    </row>
    <row r="37" spans="1:19" x14ac:dyDescent="0.3">
      <c r="E37" s="1"/>
      <c r="F37" s="18"/>
    </row>
    <row r="39" spans="1:19" x14ac:dyDescent="0.3">
      <c r="H39" s="18">
        <f>SUM(H5:H6,H8:H9,H11:H12,H14:H15,H17:H18)</f>
        <v>-6187447055.1811943</v>
      </c>
      <c r="P39" s="1"/>
      <c r="Q39" s="18"/>
    </row>
    <row r="40" spans="1:19" x14ac:dyDescent="0.3">
      <c r="B40" s="1"/>
      <c r="G40" s="33" t="s">
        <v>58</v>
      </c>
      <c r="H40" s="189">
        <f>H4+H7+H10+H13+H16</f>
        <v>-3751092150.1079741</v>
      </c>
      <c r="P40" s="1"/>
      <c r="Q40" s="1"/>
      <c r="R40" s="1"/>
    </row>
    <row r="41" spans="1:19" x14ac:dyDescent="0.3">
      <c r="B41" s="1"/>
      <c r="G41" s="33" t="s">
        <v>57</v>
      </c>
      <c r="H41" s="114">
        <f>H40*(1-13.11%)</f>
        <v>-3259323969.2288189</v>
      </c>
      <c r="J41" s="1"/>
      <c r="P41" s="105"/>
      <c r="Q41" s="105"/>
      <c r="R41" s="105"/>
    </row>
    <row r="42" spans="1:19" x14ac:dyDescent="0.3">
      <c r="B42" s="18"/>
      <c r="J42" s="1"/>
      <c r="S42" s="17"/>
    </row>
    <row r="43" spans="1:19" x14ac:dyDescent="0.3">
      <c r="G43" s="33" t="s">
        <v>100</v>
      </c>
      <c r="H43" s="189">
        <f>H5+H6+H8+H9+H11+H12+H14+H15+H17+H18</f>
        <v>-6187447055.1811943</v>
      </c>
      <c r="S43" s="17"/>
    </row>
    <row r="44" spans="1:19" x14ac:dyDescent="0.3">
      <c r="G44" s="33" t="s">
        <v>101</v>
      </c>
      <c r="H44" s="114">
        <f>H43*(1-13.11%)</f>
        <v>-5376272746.2469397</v>
      </c>
      <c r="R44" s="1"/>
      <c r="S44" s="17"/>
    </row>
    <row r="45" spans="1:19" x14ac:dyDescent="0.3">
      <c r="R45" s="1"/>
      <c r="S45" s="17"/>
    </row>
    <row r="46" spans="1:19" x14ac:dyDescent="0.3">
      <c r="G46" t="s">
        <v>56</v>
      </c>
      <c r="H46" s="18">
        <f>SUM(H5:H6)</f>
        <v>-4101529259.1048474</v>
      </c>
      <c r="R46" s="1"/>
      <c r="S46" s="17"/>
    </row>
    <row r="47" spans="1:19" x14ac:dyDescent="0.3">
      <c r="G47" t="s">
        <v>55</v>
      </c>
      <c r="H47" s="1">
        <f>H46*(1-13.11%)</f>
        <v>-3563818773.2362018</v>
      </c>
      <c r="R47" s="1"/>
    </row>
    <row r="48" spans="1:19" x14ac:dyDescent="0.3">
      <c r="R48" s="1"/>
    </row>
    <row r="49" spans="7:28" x14ac:dyDescent="0.3">
      <c r="G49" t="s">
        <v>3</v>
      </c>
      <c r="H49" s="18">
        <f>SUM(H17:H18)</f>
        <v>-606195991.64644134</v>
      </c>
    </row>
    <row r="50" spans="7:28" x14ac:dyDescent="0.3">
      <c r="H50" s="1">
        <f>H49*(1-13.11%)</f>
        <v>-526723697.14159286</v>
      </c>
    </row>
    <row r="52" spans="7:28" x14ac:dyDescent="0.3">
      <c r="G52" t="s">
        <v>36</v>
      </c>
      <c r="H52" s="1">
        <v>-3459806000</v>
      </c>
    </row>
    <row r="53" spans="7:28" x14ac:dyDescent="0.3">
      <c r="H53" s="1">
        <f>H52*(1-13.11%)</f>
        <v>-3006225433.4000001</v>
      </c>
    </row>
    <row r="55" spans="7:28" x14ac:dyDescent="0.3">
      <c r="R55" s="1"/>
    </row>
    <row r="59" spans="7:28" x14ac:dyDescent="0.3">
      <c r="P59" s="1"/>
      <c r="Q59" s="1"/>
    </row>
    <row r="60" spans="7:28" x14ac:dyDescent="0.3">
      <c r="P60" s="1"/>
      <c r="Q60" s="1"/>
    </row>
    <row r="61" spans="7:28" x14ac:dyDescent="0.3">
      <c r="P61" s="18"/>
      <c r="Q61" s="18"/>
      <c r="R61" s="18"/>
    </row>
    <row r="62" spans="7:28" x14ac:dyDescent="0.3">
      <c r="P62" s="6"/>
      <c r="Q62" s="6"/>
    </row>
    <row r="63" spans="7:28" x14ac:dyDescent="0.3">
      <c r="P63" s="1"/>
      <c r="Q63" s="1"/>
    </row>
    <row r="64" spans="7:28" x14ac:dyDescent="0.3">
      <c r="AB64" s="1"/>
    </row>
    <row r="65" spans="1:31" x14ac:dyDescent="0.3">
      <c r="AB65" s="1"/>
      <c r="AC65" s="1"/>
    </row>
    <row r="66" spans="1:31" ht="15" thickBot="1" x14ac:dyDescent="0.35">
      <c r="Q66" s="105"/>
      <c r="AC66" s="1"/>
    </row>
    <row r="67" spans="1:31" x14ac:dyDescent="0.3">
      <c r="A67" s="20" t="s">
        <v>30</v>
      </c>
      <c r="I67" s="191" t="s">
        <v>104</v>
      </c>
      <c r="O67" s="50" t="s">
        <v>54</v>
      </c>
      <c r="P67" s="1"/>
      <c r="Q67" s="1"/>
      <c r="R67" s="18"/>
      <c r="AB67" t="s">
        <v>53</v>
      </c>
    </row>
    <row r="68" spans="1:31" x14ac:dyDescent="0.3">
      <c r="A68" s="33"/>
      <c r="B68" s="33"/>
      <c r="C68" s="61" t="s">
        <v>28</v>
      </c>
      <c r="D68" s="61" t="s">
        <v>27</v>
      </c>
      <c r="E68" s="61" t="s">
        <v>26</v>
      </c>
      <c r="F68" s="61" t="s">
        <v>25</v>
      </c>
      <c r="G68" s="61" t="s">
        <v>24</v>
      </c>
      <c r="H68" s="19" t="s">
        <v>23</v>
      </c>
      <c r="I68" s="192" t="s">
        <v>103</v>
      </c>
      <c r="J68" s="195" t="s">
        <v>105</v>
      </c>
      <c r="K68" s="195" t="s">
        <v>106</v>
      </c>
      <c r="M68" s="59" t="s">
        <v>21</v>
      </c>
      <c r="O68" s="36"/>
      <c r="P68" s="104" t="s">
        <v>9</v>
      </c>
      <c r="Q68" s="104" t="s">
        <v>8</v>
      </c>
      <c r="R68" s="36"/>
      <c r="S68" s="36"/>
      <c r="U68" s="57" t="s">
        <v>9</v>
      </c>
      <c r="V68" s="57" t="s">
        <v>8</v>
      </c>
      <c r="W68" s="35"/>
      <c r="X68" s="35"/>
      <c r="Z68" s="56" t="s">
        <v>20</v>
      </c>
      <c r="AA68" s="55" t="s">
        <v>19</v>
      </c>
      <c r="AB68" s="55" t="s">
        <v>52</v>
      </c>
      <c r="AC68" s="55" t="s">
        <v>17</v>
      </c>
      <c r="AD68" s="19" t="s">
        <v>51</v>
      </c>
    </row>
    <row r="69" spans="1:31" x14ac:dyDescent="0.3">
      <c r="A69" s="33" t="str">
        <f>A3</f>
        <v>KH T03</v>
      </c>
      <c r="B69" s="33"/>
      <c r="C69" s="103">
        <f>H69</f>
        <v>21385803501.236702</v>
      </c>
      <c r="D69" s="51"/>
      <c r="E69" s="53"/>
      <c r="F69" s="52"/>
      <c r="G69" s="51"/>
      <c r="H69" s="1">
        <f>H3</f>
        <v>21385803501.236702</v>
      </c>
      <c r="I69" s="193"/>
      <c r="J69" s="196"/>
      <c r="K69" s="196"/>
      <c r="M69" s="43"/>
      <c r="O69" s="36"/>
      <c r="P69" s="36"/>
      <c r="Q69" s="36"/>
      <c r="R69" s="36"/>
      <c r="S69" s="36"/>
      <c r="U69" s="35"/>
      <c r="V69" s="35"/>
      <c r="W69" s="35"/>
      <c r="X69" s="35"/>
      <c r="Z69" s="25"/>
      <c r="AA69" s="25"/>
      <c r="AB69" s="25"/>
      <c r="AC69" s="25"/>
    </row>
    <row r="70" spans="1:31" x14ac:dyDescent="0.3">
      <c r="A70" s="33" t="s">
        <v>7</v>
      </c>
      <c r="B70" s="33" t="s">
        <v>16</v>
      </c>
      <c r="C70" s="32"/>
      <c r="D70" s="32">
        <f>C69-F70</f>
        <v>21385803501.236702</v>
      </c>
      <c r="E70" s="31">
        <f>IF(H70&gt;0,H70,0)</f>
        <v>2552801639.4406624</v>
      </c>
      <c r="F70" s="30">
        <f>IF(H70&lt;0,-H70,0)</f>
        <v>0</v>
      </c>
      <c r="G70" s="32"/>
      <c r="H70" s="39">
        <f>M70</f>
        <v>2552801639.4406624</v>
      </c>
      <c r="I70" s="193">
        <f>SUM(H$69:H70)</f>
        <v>23938605140.677364</v>
      </c>
      <c r="J70" s="197">
        <f>IF(H70&gt;0,H70,0)</f>
        <v>2552801639.4406624</v>
      </c>
      <c r="K70" s="198">
        <f>IF(H70&lt;0,-H70,0)</f>
        <v>0</v>
      </c>
      <c r="M70" s="43" cm="1">
        <f t="array" ref="M70:M71">TRANSPOSE(AA70:AB70)</f>
        <v>2552801639.4406624</v>
      </c>
      <c r="O70" s="102" t="s">
        <v>15</v>
      </c>
      <c r="P70" s="23">
        <f>P4</f>
        <v>3872.970420142407</v>
      </c>
      <c r="Q70" s="23">
        <f t="shared" ref="Q70" si="6">Q4</f>
        <v>4560.8</v>
      </c>
      <c r="R70" s="23">
        <f t="shared" ref="R70:R79" si="7">Q70-P70</f>
        <v>687.82957985759322</v>
      </c>
      <c r="S70" s="101">
        <f t="shared" ref="S70:S79" si="8">R70/P70</f>
        <v>0.17759742658512276</v>
      </c>
      <c r="T70" s="6"/>
      <c r="U70" s="35"/>
      <c r="V70" s="35"/>
      <c r="W70" s="35"/>
      <c r="X70" s="35"/>
      <c r="Z70" s="46">
        <f>SUM(AA70:AC70)</f>
        <v>-3022062027.7809553</v>
      </c>
      <c r="AA70" s="45">
        <f>R70*P71*U71</f>
        <v>2552801639.4406624</v>
      </c>
      <c r="AB70" s="45">
        <f>AB4+AC4</f>
        <v>-4101529259.1048474</v>
      </c>
      <c r="AC70" s="45">
        <f>AD4</f>
        <v>-1473334408.11677</v>
      </c>
      <c r="AD70" s="1">
        <v>-16821239489.123674</v>
      </c>
      <c r="AE70" s="18">
        <f>Z70-AD70</f>
        <v>13799177461.34272</v>
      </c>
    </row>
    <row r="71" spans="1:31" x14ac:dyDescent="0.3">
      <c r="A71" s="33"/>
      <c r="B71" s="33" t="s">
        <v>50</v>
      </c>
      <c r="C71" s="32"/>
      <c r="D71" s="32">
        <f>D70-F71+E70</f>
        <v>19837075881.572517</v>
      </c>
      <c r="E71" s="31">
        <f t="shared" ref="E71:E82" si="9">IF(H71&gt;0,H71,0)</f>
        <v>0</v>
      </c>
      <c r="F71" s="30">
        <f t="shared" ref="F71:F82" si="10">IF(H71&lt;0,-H71,0)</f>
        <v>4101529259.1048474</v>
      </c>
      <c r="G71" s="32"/>
      <c r="H71" s="39">
        <f t="shared" ref="H70:H80" si="11">M71</f>
        <v>-4101529259.1048474</v>
      </c>
      <c r="I71" s="193">
        <f>SUM(H$69:H71)</f>
        <v>19837075881.572517</v>
      </c>
      <c r="J71" s="197">
        <f t="shared" ref="J71:J82" si="12">IF(H71&gt;0,H71,0)</f>
        <v>0</v>
      </c>
      <c r="K71" s="198">
        <f t="shared" ref="K71:K82" si="13">IF(H71&lt;0,-H71,0)</f>
        <v>4101529259.1048474</v>
      </c>
      <c r="L71" s="18"/>
      <c r="M71" s="43">
        <v>-4101529259.1048474</v>
      </c>
      <c r="O71" s="36" t="s">
        <v>13</v>
      </c>
      <c r="P71" s="100">
        <f>(P5-P6/U5*10^3)</f>
        <v>140.05233295917265</v>
      </c>
      <c r="Q71" s="100">
        <f>(Q5-Q6/U5*10^3)</f>
        <v>106.1164688513793</v>
      </c>
      <c r="R71" s="100">
        <f t="shared" si="7"/>
        <v>-33.93586410779335</v>
      </c>
      <c r="S71" s="99">
        <f t="shared" si="8"/>
        <v>-0.24230845278161958</v>
      </c>
      <c r="U71" s="40">
        <v>26500</v>
      </c>
      <c r="V71" s="40">
        <f>V5</f>
        <v>26209.163304807222</v>
      </c>
      <c r="W71" s="27">
        <f>V71-U71</f>
        <v>-290.83669519277828</v>
      </c>
      <c r="X71" s="26">
        <f>W71/U71</f>
        <v>-1.0974969629916162E-2</v>
      </c>
      <c r="Z71" s="25"/>
      <c r="AA71" s="25"/>
      <c r="AB71" s="25"/>
      <c r="AC71" s="25"/>
    </row>
    <row r="72" spans="1:31" x14ac:dyDescent="0.3">
      <c r="A72" s="33" t="s">
        <v>6</v>
      </c>
      <c r="B72" s="33" t="s">
        <v>16</v>
      </c>
      <c r="C72" s="32"/>
      <c r="D72" s="32">
        <f t="shared" ref="D72:D74" si="14">D71-F72+E71</f>
        <v>19326196584.273064</v>
      </c>
      <c r="E72" s="31">
        <f t="shared" si="9"/>
        <v>0</v>
      </c>
      <c r="F72" s="30">
        <f t="shared" si="10"/>
        <v>510879297.29945302</v>
      </c>
      <c r="G72" s="32"/>
      <c r="H72" s="39">
        <f t="shared" si="11"/>
        <v>-510879297.29945302</v>
      </c>
      <c r="I72" s="193">
        <f>SUM(H$69:H72)</f>
        <v>19326196584.273064</v>
      </c>
      <c r="J72" s="197">
        <f t="shared" si="12"/>
        <v>0</v>
      </c>
      <c r="K72" s="198">
        <f t="shared" si="13"/>
        <v>510879297.29945302</v>
      </c>
      <c r="M72" s="43" cm="1">
        <f t="array" ref="M72:M73">TRANSPOSE(AA72:AB72)</f>
        <v>-510879297.29945302</v>
      </c>
      <c r="O72" s="102" t="s">
        <v>15</v>
      </c>
      <c r="P72" s="23">
        <f>P7</f>
        <v>636</v>
      </c>
      <c r="Q72" s="23">
        <f>Q7</f>
        <v>562.375</v>
      </c>
      <c r="R72" s="23">
        <f t="shared" si="7"/>
        <v>-73.625</v>
      </c>
      <c r="S72" s="101">
        <f t="shared" si="8"/>
        <v>-0.1157625786163522</v>
      </c>
      <c r="U72" s="35"/>
      <c r="V72" s="35"/>
      <c r="W72" s="35"/>
      <c r="X72" s="35"/>
      <c r="Z72" s="46">
        <f>SUM(AA72:AC72)</f>
        <v>-2203287687.1283712</v>
      </c>
      <c r="AA72" s="45">
        <f>R72*P73*U73</f>
        <v>-510879297.29945302</v>
      </c>
      <c r="AB72" s="45">
        <f>AB7+AC7</f>
        <v>-1500107294.4715612</v>
      </c>
      <c r="AC72" s="45">
        <f>AD7</f>
        <v>-192301095.35735726</v>
      </c>
      <c r="AD72" s="1">
        <v>-4157818960.5794315</v>
      </c>
      <c r="AE72" s="18">
        <f>Z72-AD72</f>
        <v>1954531273.4510603</v>
      </c>
    </row>
    <row r="73" spans="1:31" x14ac:dyDescent="0.3">
      <c r="A73" s="33"/>
      <c r="B73" s="33" t="s">
        <v>50</v>
      </c>
      <c r="C73" s="32"/>
      <c r="D73" s="32">
        <f t="shared" si="14"/>
        <v>17826089289.801502</v>
      </c>
      <c r="E73" s="31">
        <f t="shared" si="9"/>
        <v>0</v>
      </c>
      <c r="F73" s="30">
        <f t="shared" si="10"/>
        <v>1500107294.4715612</v>
      </c>
      <c r="G73" s="32"/>
      <c r="H73" s="39">
        <f t="shared" si="11"/>
        <v>-1500107294.4715612</v>
      </c>
      <c r="I73" s="193">
        <f>SUM(H$69:H73)</f>
        <v>17826089289.801502</v>
      </c>
      <c r="J73" s="197">
        <f t="shared" si="12"/>
        <v>0</v>
      </c>
      <c r="K73" s="198">
        <f t="shared" si="13"/>
        <v>1500107294.4715612</v>
      </c>
      <c r="L73" s="18"/>
      <c r="M73" s="43">
        <v>-1500107294.4715612</v>
      </c>
      <c r="O73" s="36" t="s">
        <v>13</v>
      </c>
      <c r="P73" s="100">
        <f>(P8-P9/U8*10^3)</f>
        <v>261.84671034344262</v>
      </c>
      <c r="Q73" s="100">
        <f>(Q8-Q9/U8*10^3)</f>
        <v>161.18821301890114</v>
      </c>
      <c r="R73" s="100">
        <f t="shared" si="7"/>
        <v>-100.65849732454149</v>
      </c>
      <c r="S73" s="99">
        <f t="shared" si="8"/>
        <v>-0.38441765104673675</v>
      </c>
      <c r="U73" s="40">
        <v>26500</v>
      </c>
      <c r="V73" s="40">
        <f>V8</f>
        <v>26209.856467090187</v>
      </c>
      <c r="W73" s="27">
        <f>V73-U73</f>
        <v>-290.14353290981308</v>
      </c>
      <c r="X73" s="26">
        <f>W73/U73</f>
        <v>-1.0948812562634455E-2</v>
      </c>
      <c r="Z73" s="25"/>
      <c r="AA73" s="25"/>
      <c r="AB73" s="25"/>
      <c r="AC73" s="25"/>
    </row>
    <row r="74" spans="1:31" x14ac:dyDescent="0.3">
      <c r="A74" s="33" t="s">
        <v>5</v>
      </c>
      <c r="B74" s="33" t="s">
        <v>131</v>
      </c>
      <c r="C74" s="32"/>
      <c r="D74" s="32">
        <f t="shared" si="14"/>
        <v>14552735512.629246</v>
      </c>
      <c r="E74" s="31">
        <f t="shared" si="9"/>
        <v>0</v>
      </c>
      <c r="F74" s="30">
        <f>IF(H74&lt;0,-H74,0)</f>
        <v>3273353777.172256</v>
      </c>
      <c r="G74" s="32"/>
      <c r="H74" s="39">
        <f>M74</f>
        <v>-3273353777.172256</v>
      </c>
      <c r="I74" s="193">
        <f>SUM(H$69:H74)</f>
        <v>14552735512.629246</v>
      </c>
      <c r="J74" s="197">
        <f>IF(H74&gt;0,H74,0)</f>
        <v>0</v>
      </c>
      <c r="K74" s="198">
        <f>IF(H74&lt;0,-H74,0)</f>
        <v>3273353777.172256</v>
      </c>
      <c r="M74" s="43" cm="1">
        <f t="array" ref="M74:M75">TRANSPOSE(AA74:AB74)</f>
        <v>-3273353777.172256</v>
      </c>
      <c r="O74" s="102" t="s">
        <v>15</v>
      </c>
      <c r="P74" s="23">
        <f>P10</f>
        <v>0</v>
      </c>
      <c r="Q74" s="23">
        <f>Q10</f>
        <v>223.72499999999999</v>
      </c>
      <c r="R74" s="23">
        <f t="shared" si="7"/>
        <v>223.72499999999999</v>
      </c>
      <c r="S74" s="101" t="e">
        <f t="shared" si="8"/>
        <v>#DIV/0!</v>
      </c>
      <c r="U74" s="35"/>
      <c r="V74" s="35"/>
      <c r="W74" s="35"/>
      <c r="X74" s="35"/>
      <c r="Z74" s="46">
        <f>SUM(AA74:AC74)</f>
        <v>-3273353777.172256</v>
      </c>
      <c r="AA74" s="263">
        <f>AA10</f>
        <v>-3273353777.172256</v>
      </c>
      <c r="AB74" s="263"/>
      <c r="AC74" s="263"/>
      <c r="AD74" s="1">
        <v>-1772064774.3478427</v>
      </c>
      <c r="AE74" s="18">
        <f>Z74-AD74</f>
        <v>-1501289002.8244133</v>
      </c>
    </row>
    <row r="75" spans="1:31" x14ac:dyDescent="0.3">
      <c r="A75" s="33"/>
      <c r="B75" s="33" t="s">
        <v>131</v>
      </c>
      <c r="C75" s="32"/>
      <c r="D75" s="32">
        <f t="shared" ref="D75:D82" si="15">D74-F75+E74</f>
        <v>14552735512.629246</v>
      </c>
      <c r="E75" s="31">
        <f>IF(H75&gt;0,H75,0)</f>
        <v>0</v>
      </c>
      <c r="F75" s="30">
        <f>IF(H75&lt;0,-H75,0)</f>
        <v>0</v>
      </c>
      <c r="G75" s="32"/>
      <c r="H75" s="39">
        <f t="shared" si="11"/>
        <v>0</v>
      </c>
      <c r="I75" s="193">
        <f>SUM(H$69:H75)</f>
        <v>14552735512.629246</v>
      </c>
      <c r="J75" s="197">
        <f t="shared" si="12"/>
        <v>0</v>
      </c>
      <c r="K75" s="198">
        <f t="shared" si="13"/>
        <v>0</v>
      </c>
      <c r="L75" s="18"/>
      <c r="M75" s="43">
        <v>0</v>
      </c>
      <c r="O75" s="36" t="s">
        <v>13</v>
      </c>
      <c r="P75" s="100">
        <f>(P11-P12/U11*10^3)</f>
        <v>0</v>
      </c>
      <c r="Q75" s="100">
        <f>(Q11-Q12/U11*10^3)</f>
        <v>-544.72264591718397</v>
      </c>
      <c r="R75" s="100">
        <f t="shared" si="7"/>
        <v>-544.72264591718397</v>
      </c>
      <c r="S75" s="99" t="e">
        <f t="shared" si="8"/>
        <v>#DIV/0!</v>
      </c>
      <c r="U75" s="40">
        <v>26500</v>
      </c>
      <c r="V75" s="40">
        <f>V11</f>
        <v>26209.160363056937</v>
      </c>
      <c r="W75" s="27">
        <f>V75-U75</f>
        <v>-290.83963694306294</v>
      </c>
      <c r="X75" s="26">
        <f>W75/U75</f>
        <v>-1.0975080639360866E-2</v>
      </c>
      <c r="Z75" s="25"/>
      <c r="AA75" s="25"/>
      <c r="AB75" s="25"/>
      <c r="AC75" s="25"/>
    </row>
    <row r="76" spans="1:31" x14ac:dyDescent="0.3">
      <c r="A76" s="33" t="s">
        <v>4</v>
      </c>
      <c r="B76" s="33" t="s">
        <v>16</v>
      </c>
      <c r="C76" s="32"/>
      <c r="D76" s="32">
        <f t="shared" si="15"/>
        <v>14552735512.629246</v>
      </c>
      <c r="E76" s="31">
        <f t="shared" si="9"/>
        <v>206596876.54665497</v>
      </c>
      <c r="F76" s="30">
        <f>IF(H76&lt;0,-H76,0)</f>
        <v>0</v>
      </c>
      <c r="G76" s="32"/>
      <c r="H76" s="39">
        <f t="shared" si="11"/>
        <v>206596876.54665497</v>
      </c>
      <c r="I76" s="193">
        <f>SUM(H$69:H76)</f>
        <v>14759332389.175901</v>
      </c>
      <c r="J76" s="197">
        <f t="shared" si="12"/>
        <v>206596876.54665497</v>
      </c>
      <c r="K76" s="198">
        <f t="shared" si="13"/>
        <v>0</v>
      </c>
      <c r="M76" s="43" cm="1">
        <f t="array" ref="M76:M77">TRANSPOSE(AA76:AB76)</f>
        <v>206596876.54665497</v>
      </c>
      <c r="O76" s="102" t="s">
        <v>15</v>
      </c>
      <c r="P76" s="23">
        <f>P13</f>
        <v>72</v>
      </c>
      <c r="Q76" s="23">
        <f>Q13</f>
        <v>23.725000000000001</v>
      </c>
      <c r="R76" s="23">
        <f t="shared" si="7"/>
        <v>-48.274999999999999</v>
      </c>
      <c r="S76" s="101">
        <f t="shared" si="8"/>
        <v>-0.67048611111111112</v>
      </c>
      <c r="T76" s="50"/>
      <c r="U76" s="35"/>
      <c r="V76" s="35"/>
      <c r="W76" s="35"/>
      <c r="X76" s="35"/>
      <c r="Z76" s="46">
        <f>SUM(AA76:AC76)</f>
        <v>222396832.64399499</v>
      </c>
      <c r="AA76" s="45">
        <f>R76*P77*U77</f>
        <v>206596876.54665497</v>
      </c>
      <c r="AB76" s="45">
        <f>AB13+AC13</f>
        <v>20385490.041654736</v>
      </c>
      <c r="AC76" s="45">
        <f>AD13</f>
        <v>-4585533.9443147182</v>
      </c>
      <c r="AD76" s="1">
        <v>147827649.78780273</v>
      </c>
      <c r="AE76" s="18">
        <f>Z76-AD76</f>
        <v>74569182.856192261</v>
      </c>
    </row>
    <row r="77" spans="1:31" x14ac:dyDescent="0.3">
      <c r="A77" s="33"/>
      <c r="B77" s="33" t="s">
        <v>50</v>
      </c>
      <c r="C77" s="32"/>
      <c r="D77" s="32">
        <f t="shared" si="15"/>
        <v>14759332389.175901</v>
      </c>
      <c r="E77" s="31">
        <f t="shared" si="9"/>
        <v>20385490.041654736</v>
      </c>
      <c r="F77" s="30">
        <f t="shared" si="10"/>
        <v>0</v>
      </c>
      <c r="G77" s="32"/>
      <c r="H77" s="39">
        <f t="shared" si="11"/>
        <v>20385490.041654736</v>
      </c>
      <c r="I77" s="193">
        <f>SUM(H$69:H77)</f>
        <v>14779717879.217556</v>
      </c>
      <c r="J77" s="197">
        <f t="shared" si="12"/>
        <v>20385490.041654736</v>
      </c>
      <c r="K77" s="198">
        <f t="shared" si="13"/>
        <v>0</v>
      </c>
      <c r="L77" s="18"/>
      <c r="M77" s="43">
        <v>20385490.041654736</v>
      </c>
      <c r="O77" s="36" t="s">
        <v>13</v>
      </c>
      <c r="P77" s="100">
        <f>(P14-P15/U14*10^3)</f>
        <v>-161.49370375826777</v>
      </c>
      <c r="Q77" s="100">
        <f>(Q14-Q15/U14*10^3)</f>
        <v>-129.06951934702306</v>
      </c>
      <c r="R77" s="100">
        <f t="shared" si="7"/>
        <v>32.42418441124471</v>
      </c>
      <c r="S77" s="99">
        <f t="shared" si="8"/>
        <v>-0.20077677120947654</v>
      </c>
      <c r="U77" s="40">
        <v>26500</v>
      </c>
      <c r="V77" s="40">
        <f>V14</f>
        <v>26209.160363056933</v>
      </c>
      <c r="W77" s="27">
        <f>V77-U77</f>
        <v>-290.83963694306658</v>
      </c>
      <c r="X77" s="26">
        <f>W77/U77</f>
        <v>-1.0975080639361003E-2</v>
      </c>
      <c r="Z77" s="25"/>
      <c r="AA77" s="25"/>
      <c r="AB77" s="25"/>
      <c r="AC77" s="25"/>
    </row>
    <row r="78" spans="1:31" x14ac:dyDescent="0.3">
      <c r="A78" s="33" t="s">
        <v>3</v>
      </c>
      <c r="B78" s="33" t="s">
        <v>16</v>
      </c>
      <c r="C78" s="32"/>
      <c r="D78" s="32">
        <f t="shared" si="15"/>
        <v>12053460287.593973</v>
      </c>
      <c r="E78" s="31">
        <f t="shared" si="9"/>
        <v>0</v>
      </c>
      <c r="F78" s="30">
        <f t="shared" si="10"/>
        <v>2726257591.6235828</v>
      </c>
      <c r="G78" s="32"/>
      <c r="H78" s="39">
        <f t="shared" si="11"/>
        <v>-2726257591.6235828</v>
      </c>
      <c r="I78" s="193">
        <f>SUM(H$69:H78)</f>
        <v>12053460287.593973</v>
      </c>
      <c r="J78" s="197">
        <f t="shared" si="12"/>
        <v>0</v>
      </c>
      <c r="K78" s="198">
        <f t="shared" si="13"/>
        <v>2726257591.6235828</v>
      </c>
      <c r="M78" s="43" cm="1">
        <f t="array" ref="M78:M79">TRANSPOSE(AA78:AB78)</f>
        <v>-2726257591.6235828</v>
      </c>
      <c r="O78" s="102" t="s">
        <v>15</v>
      </c>
      <c r="P78" s="23">
        <f>P16</f>
        <v>86.586983333333322</v>
      </c>
      <c r="Q78" s="23">
        <f>Q16</f>
        <v>363.5</v>
      </c>
      <c r="R78" s="23">
        <f t="shared" si="7"/>
        <v>276.91301666666669</v>
      </c>
      <c r="S78" s="101">
        <f t="shared" si="8"/>
        <v>3.1980905905987802</v>
      </c>
      <c r="U78" s="35"/>
      <c r="V78" s="35"/>
      <c r="W78" s="35"/>
      <c r="X78" s="35"/>
      <c r="Z78" s="46">
        <f>SUM(AA78:AC78)</f>
        <v>-3399572956.9529333</v>
      </c>
      <c r="AA78" s="45">
        <f>R78*P79*U79</f>
        <v>-2726257591.6235828</v>
      </c>
      <c r="AB78" s="45">
        <f>AB16+AC16</f>
        <v>-606195991.64644134</v>
      </c>
      <c r="AC78" s="45">
        <f>AD16</f>
        <v>-67119373.682908803</v>
      </c>
      <c r="AD78" s="1">
        <v>-850552288.30301845</v>
      </c>
      <c r="AE78" s="18">
        <f>Z78-AD78</f>
        <v>-2549020668.6499147</v>
      </c>
    </row>
    <row r="79" spans="1:31" x14ac:dyDescent="0.3">
      <c r="A79" s="33"/>
      <c r="B79" s="33" t="s">
        <v>50</v>
      </c>
      <c r="C79" s="32"/>
      <c r="D79" s="32">
        <f t="shared" si="15"/>
        <v>11447264295.947533</v>
      </c>
      <c r="E79" s="31">
        <f t="shared" si="9"/>
        <v>0</v>
      </c>
      <c r="F79" s="30">
        <f t="shared" si="10"/>
        <v>606195991.64644134</v>
      </c>
      <c r="G79" s="32"/>
      <c r="H79" s="39">
        <f t="shared" si="11"/>
        <v>-606195991.64644134</v>
      </c>
      <c r="I79" s="193">
        <f>SUM(H$69:H79)</f>
        <v>11447264295.947533</v>
      </c>
      <c r="J79" s="197">
        <f t="shared" si="12"/>
        <v>0</v>
      </c>
      <c r="K79" s="198">
        <f t="shared" si="13"/>
        <v>606195991.64644134</v>
      </c>
      <c r="L79" s="18"/>
      <c r="M79" s="43">
        <v>-606195991.64644134</v>
      </c>
      <c r="O79" s="36" t="s">
        <v>13</v>
      </c>
      <c r="P79" s="100">
        <f>(P17-P18/U17*10^3)</f>
        <v>-371.51610352346256</v>
      </c>
      <c r="Q79" s="100">
        <f>(Q17-Q18/V17*10^3)</f>
        <v>-446.34747911704005</v>
      </c>
      <c r="R79" s="100">
        <f t="shared" si="7"/>
        <v>-74.831375593577491</v>
      </c>
      <c r="S79" s="99">
        <f t="shared" si="8"/>
        <v>0.20142162044626316</v>
      </c>
      <c r="U79" s="40">
        <v>26500</v>
      </c>
      <c r="V79" s="40">
        <f>V17</f>
        <v>26207.134939171552</v>
      </c>
      <c r="W79" s="27">
        <f>V79-U79</f>
        <v>-292.86506082844789</v>
      </c>
      <c r="X79" s="26">
        <f>W79/U79</f>
        <v>-1.1051511729375392E-2</v>
      </c>
      <c r="Z79" s="25"/>
      <c r="AA79" s="25"/>
      <c r="AB79" s="25"/>
      <c r="AC79" s="25"/>
    </row>
    <row r="80" spans="1:31" x14ac:dyDescent="0.3">
      <c r="A80" s="33" t="s">
        <v>12</v>
      </c>
      <c r="B80" s="33"/>
      <c r="C80" s="32"/>
      <c r="D80" s="32">
        <f t="shared" si="15"/>
        <v>9709923884.8461819</v>
      </c>
      <c r="E80" s="31">
        <f t="shared" si="9"/>
        <v>0</v>
      </c>
      <c r="F80" s="30">
        <f t="shared" si="10"/>
        <v>1737340411.1013508</v>
      </c>
      <c r="G80" s="32"/>
      <c r="H80" s="39">
        <f t="shared" si="11"/>
        <v>-1737340411.1013508</v>
      </c>
      <c r="I80" s="193">
        <f>SUM(H$69:H80)</f>
        <v>9709923884.8461819</v>
      </c>
      <c r="J80" s="197">
        <f t="shared" si="12"/>
        <v>0</v>
      </c>
      <c r="K80" s="198">
        <f t="shared" si="13"/>
        <v>1737340411.1013508</v>
      </c>
      <c r="M80" s="37">
        <f>AC70+AC72+AC74+AC76+AC78</f>
        <v>-1737340411.1013508</v>
      </c>
      <c r="U80" s="35"/>
      <c r="V80" s="35"/>
      <c r="W80" s="35"/>
      <c r="X80" s="35"/>
      <c r="Z80" s="25"/>
      <c r="AA80" s="25"/>
      <c r="AB80" s="25"/>
      <c r="AC80" s="25"/>
    </row>
    <row r="81" spans="1:29" x14ac:dyDescent="0.3">
      <c r="A81" s="33" t="s">
        <v>1</v>
      </c>
      <c r="B81" s="33"/>
      <c r="C81" s="32"/>
      <c r="D81" s="32">
        <f t="shared" si="15"/>
        <v>6459492531.855011</v>
      </c>
      <c r="E81" s="31">
        <f t="shared" si="9"/>
        <v>0</v>
      </c>
      <c r="F81" s="30">
        <f t="shared" si="10"/>
        <v>3250431352.9911709</v>
      </c>
      <c r="G81" s="32"/>
      <c r="H81" s="98">
        <f>H83-SUM(H69:H80,H82)</f>
        <v>-3250431352.9911709</v>
      </c>
      <c r="I81" s="193">
        <f>SUM(H$69:H81)</f>
        <v>6459492531.855011</v>
      </c>
      <c r="J81" s="197">
        <f t="shared" si="12"/>
        <v>0</v>
      </c>
      <c r="K81" s="198">
        <f t="shared" si="13"/>
        <v>3250431352.9911709</v>
      </c>
      <c r="O81" s="167" t="s">
        <v>94</v>
      </c>
      <c r="P81" s="168"/>
      <c r="Q81" s="168"/>
      <c r="R81" s="168"/>
      <c r="S81" s="168"/>
      <c r="U81" s="35"/>
      <c r="V81" s="35"/>
      <c r="W81" s="35"/>
      <c r="X81" s="35"/>
      <c r="Z81" s="25"/>
      <c r="AA81" s="25"/>
      <c r="AB81" s="25"/>
      <c r="AC81" s="25"/>
    </row>
    <row r="82" spans="1:29" x14ac:dyDescent="0.3">
      <c r="A82" s="33" t="s">
        <v>115</v>
      </c>
      <c r="B82" s="33" t="s">
        <v>114</v>
      </c>
      <c r="C82" s="32"/>
      <c r="D82" s="32">
        <f t="shared" si="15"/>
        <v>6459492531.855011</v>
      </c>
      <c r="E82" s="31">
        <f t="shared" si="9"/>
        <v>1001590132.144989</v>
      </c>
      <c r="F82" s="30">
        <f t="shared" si="10"/>
        <v>0</v>
      </c>
      <c r="G82" s="32"/>
      <c r="H82" s="98">
        <f>H21</f>
        <v>1001590132.144989</v>
      </c>
      <c r="I82" s="193">
        <f>SUM(H$69:H82)</f>
        <v>7461082664</v>
      </c>
      <c r="J82" s="197">
        <f t="shared" si="12"/>
        <v>1001590132.144989</v>
      </c>
      <c r="K82" s="198">
        <f t="shared" si="13"/>
        <v>0</v>
      </c>
      <c r="O82" s="167"/>
      <c r="P82" s="168"/>
      <c r="Q82" s="168"/>
      <c r="R82" s="168"/>
      <c r="S82" s="168"/>
      <c r="U82" s="35"/>
      <c r="V82" s="35"/>
      <c r="W82" s="35"/>
      <c r="X82" s="35"/>
      <c r="Z82" s="25"/>
      <c r="AA82" s="25"/>
      <c r="AB82" s="25"/>
      <c r="AC82" s="25"/>
    </row>
    <row r="83" spans="1:29" ht="15" thickBot="1" x14ac:dyDescent="0.35">
      <c r="A83" s="33" t="str">
        <f>A22</f>
        <v>TT T03</v>
      </c>
      <c r="B83" s="33"/>
      <c r="C83" s="32"/>
      <c r="D83" s="32"/>
      <c r="E83" s="31"/>
      <c r="F83" s="30"/>
      <c r="G83" s="97">
        <f>D82</f>
        <v>6459492531.855011</v>
      </c>
      <c r="H83" s="1">
        <f>H22</f>
        <v>7461082664</v>
      </c>
      <c r="I83" s="194"/>
      <c r="J83" s="196"/>
      <c r="K83" s="199"/>
      <c r="O83" s="168" t="s">
        <v>7</v>
      </c>
      <c r="P83" s="169">
        <f>P70/10^3</f>
        <v>3.8729704201424071</v>
      </c>
      <c r="Q83" s="169">
        <f>Q70/10^3</f>
        <v>4.5608000000000004</v>
      </c>
      <c r="R83" s="171">
        <f t="shared" ref="R83:R87" si="16">Q83-P83</f>
        <v>0.6878295798575933</v>
      </c>
      <c r="S83" s="170">
        <f t="shared" ref="S83:S87" si="17">R83/P83</f>
        <v>0.17759742658512279</v>
      </c>
      <c r="U83" s="28">
        <v>26500</v>
      </c>
      <c r="V83" s="28">
        <f>V22</f>
        <v>26209.162244895542</v>
      </c>
      <c r="W83" s="27">
        <f>V83-U83</f>
        <v>-290.83775510445776</v>
      </c>
      <c r="X83" s="26">
        <f>W83/U83</f>
        <v>-1.0975009626583312E-2</v>
      </c>
      <c r="Z83" s="25"/>
      <c r="AA83" s="25"/>
      <c r="AB83" s="25"/>
      <c r="AC83" s="25"/>
    </row>
    <row r="84" spans="1:29" s="21" customFormat="1" x14ac:dyDescent="0.3">
      <c r="A84" s="21" t="s">
        <v>11</v>
      </c>
      <c r="F84" s="110">
        <f>G83-C69</f>
        <v>-14926310969.381691</v>
      </c>
      <c r="G84" s="96">
        <f>G83-H83</f>
        <v>-1001590132.144989</v>
      </c>
      <c r="H84" s="6">
        <f>H83/H69-1</f>
        <v>-0.65111983454030431</v>
      </c>
      <c r="O84" s="168" t="s">
        <v>6</v>
      </c>
      <c r="P84" s="169">
        <f>P72/10^3</f>
        <v>0.63600000000000001</v>
      </c>
      <c r="Q84" s="169">
        <f>Q72/10^3</f>
        <v>0.56237499999999996</v>
      </c>
      <c r="R84" s="171">
        <f t="shared" si="16"/>
        <v>-7.3625000000000052E-2</v>
      </c>
      <c r="S84" s="170">
        <f t="shared" si="17"/>
        <v>-0.11576257861635228</v>
      </c>
    </row>
    <row r="85" spans="1:29" x14ac:dyDescent="0.3">
      <c r="F85" s="107">
        <f>F84/C69</f>
        <v>-0.69795418107711171</v>
      </c>
      <c r="G85" s="94">
        <f>G24</f>
        <v>0</v>
      </c>
      <c r="O85" s="168" t="s">
        <v>5</v>
      </c>
      <c r="P85" s="169">
        <f>P74/10^3</f>
        <v>0</v>
      </c>
      <c r="Q85" s="169">
        <f>Q74/10^3</f>
        <v>0.22372500000000001</v>
      </c>
      <c r="R85" s="171">
        <f t="shared" si="16"/>
        <v>0.22372500000000001</v>
      </c>
      <c r="S85" s="170" t="e">
        <f t="shared" si="17"/>
        <v>#DIV/0!</v>
      </c>
    </row>
    <row r="86" spans="1:29" x14ac:dyDescent="0.3">
      <c r="O86" s="168" t="s">
        <v>4</v>
      </c>
      <c r="P86" s="169">
        <f>P76/10^3</f>
        <v>7.1999999999999995E-2</v>
      </c>
      <c r="Q86" s="169">
        <f>Q76/10^3</f>
        <v>2.3725000000000003E-2</v>
      </c>
      <c r="R86" s="171">
        <f t="shared" si="16"/>
        <v>-4.8274999999999992E-2</v>
      </c>
      <c r="S86" s="170">
        <f t="shared" si="17"/>
        <v>-0.67048611111111101</v>
      </c>
    </row>
    <row r="87" spans="1:29" x14ac:dyDescent="0.3">
      <c r="O87" s="168" t="s">
        <v>3</v>
      </c>
      <c r="P87" s="169">
        <f>P78/10^3</f>
        <v>8.6586983333333326E-2</v>
      </c>
      <c r="Q87" s="169">
        <f>Q78/10^3</f>
        <v>0.36349999999999999</v>
      </c>
      <c r="R87" s="171">
        <f t="shared" si="16"/>
        <v>0.27691301666666668</v>
      </c>
      <c r="S87" s="170">
        <f t="shared" si="17"/>
        <v>3.1980905905987798</v>
      </c>
    </row>
    <row r="88" spans="1:29" x14ac:dyDescent="0.3">
      <c r="M88" s="1"/>
    </row>
    <row r="89" spans="1:29" x14ac:dyDescent="0.3">
      <c r="M89" s="1"/>
      <c r="O89" t="s">
        <v>7</v>
      </c>
      <c r="P89" s="6">
        <f>P71/P5</f>
        <v>0.12529680279887762</v>
      </c>
      <c r="Q89" s="6">
        <f>Q71/Q5</f>
        <v>9.5537019321336861E-2</v>
      </c>
    </row>
    <row r="90" spans="1:29" x14ac:dyDescent="0.3">
      <c r="M90" s="1"/>
      <c r="O90" t="s">
        <v>6</v>
      </c>
      <c r="P90" s="6">
        <f>P73/P8</f>
        <v>0.22215738527372325</v>
      </c>
      <c r="Q90" s="6">
        <f>Q73/Q8</f>
        <v>0.13676986670347704</v>
      </c>
    </row>
    <row r="91" spans="1:29" x14ac:dyDescent="0.3">
      <c r="M91" s="1"/>
      <c r="O91" t="s">
        <v>5</v>
      </c>
      <c r="P91" s="6" t="e">
        <f>P75/P11</f>
        <v>#DIV/0!</v>
      </c>
      <c r="Q91" s="6">
        <f>Q75/Q11</f>
        <v>-0.80830590810575698</v>
      </c>
    </row>
    <row r="92" spans="1:29" x14ac:dyDescent="0.3">
      <c r="A92" s="68"/>
      <c r="B92" s="60"/>
      <c r="C92" s="60"/>
      <c r="D92" s="68"/>
      <c r="E92" s="68"/>
      <c r="M92" s="1"/>
      <c r="O92" t="s">
        <v>4</v>
      </c>
      <c r="P92" s="6">
        <f>P77/P14</f>
        <v>-0.23348487290351969</v>
      </c>
      <c r="Q92" s="6">
        <f>Q77/Q14</f>
        <v>-0.19421984135544107</v>
      </c>
    </row>
    <row r="93" spans="1:29" x14ac:dyDescent="0.3">
      <c r="A93" s="65"/>
      <c r="B93" s="44"/>
      <c r="C93" s="44"/>
      <c r="D93" s="157"/>
      <c r="E93" s="158"/>
      <c r="M93" s="18"/>
      <c r="O93" t="s">
        <v>3</v>
      </c>
      <c r="P93" s="6">
        <f>P79/P17</f>
        <v>-0.59988716425203514</v>
      </c>
      <c r="Q93" s="6">
        <f>Q79/Q17</f>
        <v>-0.70794116977558241</v>
      </c>
    </row>
    <row r="94" spans="1:29" x14ac:dyDescent="0.3">
      <c r="A94" s="65"/>
      <c r="B94" s="44"/>
      <c r="C94" s="44"/>
      <c r="D94" s="157"/>
      <c r="E94" s="158"/>
      <c r="M94" s="93"/>
    </row>
    <row r="95" spans="1:29" x14ac:dyDescent="0.3">
      <c r="P95" s="6"/>
      <c r="Q95" s="6"/>
    </row>
    <row r="96" spans="1:29" x14ac:dyDescent="0.3">
      <c r="A96" s="68"/>
      <c r="B96" s="60"/>
      <c r="C96" s="60"/>
      <c r="D96" s="68"/>
      <c r="E96" s="68"/>
    </row>
    <row r="97" spans="1:17" x14ac:dyDescent="0.3">
      <c r="A97" s="65"/>
      <c r="B97" s="44"/>
      <c r="C97" s="44"/>
      <c r="D97" s="157"/>
      <c r="E97" s="158"/>
      <c r="P97" s="6"/>
      <c r="Q97" s="6"/>
    </row>
    <row r="98" spans="1:17" x14ac:dyDescent="0.3">
      <c r="A98" s="65"/>
      <c r="B98" s="44"/>
      <c r="C98" s="44"/>
      <c r="D98" s="157"/>
      <c r="E98" s="158"/>
    </row>
  </sheetData>
  <conditionalFormatting sqref="I69:I83">
    <cfRule type="expression" dxfId="2" priority="1">
      <formula>I69&lt;0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9B83-1D7C-43CE-94BE-B965C0479223}">
  <sheetPr codeName="Sheet5">
    <tabColor rgb="FFC00000"/>
  </sheetPr>
  <dimension ref="A4:Y140"/>
  <sheetViews>
    <sheetView showGridLines="0" zoomScaleNormal="100" workbookViewId="0">
      <pane ySplit="6" topLeftCell="A37" activePane="bottomLeft" state="frozen"/>
      <selection activeCell="N41" sqref="N41"/>
      <selection pane="bottomLeft" activeCell="C49" sqref="C49"/>
    </sheetView>
  </sheetViews>
  <sheetFormatPr defaultRowHeight="14.4" outlineLevelRow="1" x14ac:dyDescent="0.3"/>
  <cols>
    <col min="1" max="1" width="14" customWidth="1"/>
    <col min="2" max="3" width="19.109375" bestFit="1" customWidth="1"/>
    <col min="4" max="4" width="19.6640625" bestFit="1" customWidth="1"/>
    <col min="5" max="5" width="18.6640625" bestFit="1" customWidth="1"/>
    <col min="6" max="6" width="18" bestFit="1" customWidth="1"/>
    <col min="7" max="7" width="15.33203125" bestFit="1" customWidth="1"/>
    <col min="8" max="8" width="18.6640625" bestFit="1" customWidth="1"/>
    <col min="9" max="9" width="16.33203125" bestFit="1" customWidth="1"/>
    <col min="10" max="10" width="16.88671875" bestFit="1" customWidth="1"/>
    <col min="11" max="11" width="18.44140625" bestFit="1" customWidth="1"/>
    <col min="12" max="13" width="17.5546875" customWidth="1"/>
    <col min="14" max="14" width="17.6640625" bestFit="1" customWidth="1"/>
    <col min="15" max="15" width="18.6640625" bestFit="1" customWidth="1"/>
    <col min="16" max="16" width="18.6640625" customWidth="1"/>
    <col min="17" max="17" width="34.44140625" bestFit="1" customWidth="1"/>
    <col min="18" max="18" width="18.6640625" bestFit="1" customWidth="1"/>
    <col min="19" max="19" width="16" bestFit="1" customWidth="1"/>
    <col min="20" max="20" width="15" bestFit="1" customWidth="1"/>
    <col min="21" max="21" width="16" bestFit="1" customWidth="1"/>
    <col min="22" max="22" width="14.33203125" bestFit="1" customWidth="1"/>
    <col min="23" max="23" width="15" bestFit="1" customWidth="1"/>
    <col min="24" max="24" width="15" customWidth="1"/>
    <col min="25" max="25" width="16" bestFit="1" customWidth="1"/>
  </cols>
  <sheetData>
    <row r="4" spans="1:19" x14ac:dyDescent="0.3">
      <c r="C4">
        <f>C12/C7</f>
        <v>6.3392409478342376E-2</v>
      </c>
    </row>
    <row r="5" spans="1:19" x14ac:dyDescent="0.3">
      <c r="A5" s="20" t="s">
        <v>49</v>
      </c>
      <c r="K5" s="92" t="s">
        <v>48</v>
      </c>
      <c r="L5" s="91"/>
      <c r="M5" s="91"/>
      <c r="N5" s="91"/>
      <c r="O5" s="91"/>
      <c r="P5" s="91"/>
    </row>
    <row r="6" spans="1:19" x14ac:dyDescent="0.3">
      <c r="A6" s="90"/>
      <c r="B6" s="89" t="s">
        <v>9</v>
      </c>
      <c r="C6" s="89" t="s">
        <v>8</v>
      </c>
      <c r="D6" s="89" t="s">
        <v>47</v>
      </c>
      <c r="F6" s="58" t="s">
        <v>46</v>
      </c>
      <c r="G6" s="58" t="s">
        <v>45</v>
      </c>
      <c r="H6" s="58" t="s">
        <v>44</v>
      </c>
      <c r="I6" s="58" t="s">
        <v>43</v>
      </c>
      <c r="K6" s="89" t="s">
        <v>16</v>
      </c>
      <c r="L6" s="89" t="s">
        <v>42</v>
      </c>
      <c r="M6" s="89" t="s">
        <v>14</v>
      </c>
      <c r="N6" s="89" t="s">
        <v>12</v>
      </c>
      <c r="O6" s="89" t="s">
        <v>1</v>
      </c>
      <c r="P6" s="89" t="s">
        <v>107</v>
      </c>
    </row>
    <row r="7" spans="1:19" s="83" customFormat="1" x14ac:dyDescent="0.3">
      <c r="A7" s="142" t="s">
        <v>39</v>
      </c>
      <c r="B7" s="141">
        <f>SUM(B8:B12)</f>
        <v>4667557.40347574</v>
      </c>
      <c r="C7" s="141">
        <f>SUM(C8:C12)</f>
        <v>5734125</v>
      </c>
      <c r="D7" s="144">
        <f t="shared" ref="D7:D13" si="0">C7-B7</f>
        <v>1066567.59652426</v>
      </c>
      <c r="E7" s="87">
        <f>D7/B7</f>
        <v>0.22850658370693641</v>
      </c>
      <c r="F7" s="86"/>
      <c r="H7" s="84">
        <f>SUM(H8:H12)</f>
        <v>5734125.0000000009</v>
      </c>
      <c r="I7" s="84"/>
    </row>
    <row r="8" spans="1:19" s="80" customFormat="1" outlineLevel="1" x14ac:dyDescent="0.3">
      <c r="A8" s="140" t="s">
        <v>7</v>
      </c>
      <c r="B8" s="139">
        <f>'BĐ-Dthu EXW-v2'!B5</f>
        <v>3872970.4201424071</v>
      </c>
      <c r="C8" s="139">
        <f>'BĐ-Dthu EXW-v2'!C5</f>
        <v>4560800</v>
      </c>
      <c r="D8" s="143">
        <f t="shared" si="0"/>
        <v>687829.57985759294</v>
      </c>
      <c r="F8" s="85">
        <f t="shared" ref="F8:G12" si="1">B8/B$7</f>
        <v>0.82976385405744846</v>
      </c>
      <c r="G8" s="85">
        <f t="shared" si="1"/>
        <v>0.79537854511368344</v>
      </c>
      <c r="H8" s="82">
        <f>F8*C$7</f>
        <v>4757969.6596471667</v>
      </c>
      <c r="I8" s="82"/>
      <c r="Q8" s="82"/>
      <c r="R8" s="81"/>
      <c r="S8" s="81"/>
    </row>
    <row r="9" spans="1:19" s="80" customFormat="1" outlineLevel="1" x14ac:dyDescent="0.3">
      <c r="A9" s="140" t="s">
        <v>6</v>
      </c>
      <c r="B9" s="139">
        <f>'BĐ-Dthu EXW-v2'!B6</f>
        <v>636000</v>
      </c>
      <c r="C9" s="139">
        <f>'BĐ-Dthu EXW-v2'!C6</f>
        <v>562375</v>
      </c>
      <c r="D9" s="143">
        <f t="shared" si="0"/>
        <v>-73625</v>
      </c>
      <c r="F9" s="85">
        <f t="shared" si="1"/>
        <v>0.13625970609946794</v>
      </c>
      <c r="G9" s="85">
        <f t="shared" si="1"/>
        <v>9.8075120441218147E-2</v>
      </c>
      <c r="H9" s="82">
        <f>F9*C$7</f>
        <v>781330.18723761162</v>
      </c>
      <c r="I9" s="82"/>
      <c r="Q9" s="82"/>
      <c r="R9" s="81"/>
      <c r="S9" s="81"/>
    </row>
    <row r="10" spans="1:19" s="80" customFormat="1" outlineLevel="1" x14ac:dyDescent="0.3">
      <c r="A10" s="140" t="s">
        <v>5</v>
      </c>
      <c r="B10" s="139">
        <f>'BĐ-Dthu EXW-v2'!B7</f>
        <v>0</v>
      </c>
      <c r="C10" s="139">
        <f>'BĐ-Dthu EXW-v2'!C7</f>
        <v>223725</v>
      </c>
      <c r="D10" s="143">
        <f t="shared" si="0"/>
        <v>223725</v>
      </c>
      <c r="F10" s="85">
        <f t="shared" si="1"/>
        <v>0</v>
      </c>
      <c r="G10" s="85">
        <f t="shared" si="1"/>
        <v>3.9016414884572623E-2</v>
      </c>
      <c r="H10" s="82">
        <f>F10*C$7</f>
        <v>0</v>
      </c>
      <c r="I10" s="82"/>
      <c r="Q10" s="82"/>
      <c r="R10" s="81"/>
      <c r="S10" s="81"/>
    </row>
    <row r="11" spans="1:19" s="80" customFormat="1" outlineLevel="1" x14ac:dyDescent="0.3">
      <c r="A11" s="140" t="s">
        <v>4</v>
      </c>
      <c r="B11" s="139">
        <f>'BĐ-Dthu EXW-v2'!B8</f>
        <v>72000</v>
      </c>
      <c r="C11" s="139">
        <f>'BĐ-Dthu EXW-v2'!C8</f>
        <v>23725.000000000004</v>
      </c>
      <c r="D11" s="143">
        <f t="shared" si="0"/>
        <v>-48275</v>
      </c>
      <c r="F11" s="85">
        <f t="shared" si="1"/>
        <v>1.5425627105600144E-2</v>
      </c>
      <c r="G11" s="85">
        <f t="shared" si="1"/>
        <v>4.1375100821834203E-3</v>
      </c>
      <c r="H11" s="82">
        <f>F11*C$7</f>
        <v>88452.474026899421</v>
      </c>
      <c r="I11" s="82"/>
      <c r="Q11" s="82"/>
      <c r="R11" s="81"/>
      <c r="S11" s="81"/>
    </row>
    <row r="12" spans="1:19" s="80" customFormat="1" outlineLevel="1" x14ac:dyDescent="0.3">
      <c r="A12" s="140" t="s">
        <v>3</v>
      </c>
      <c r="B12" s="139">
        <f>'BĐ-Dthu EXW-v2'!B9</f>
        <v>86586.983333333323</v>
      </c>
      <c r="C12" s="139">
        <f>'BĐ-Dthu EXW-v2'!C9</f>
        <v>363500</v>
      </c>
      <c r="D12" s="143">
        <f t="shared" si="0"/>
        <v>276913.01666666666</v>
      </c>
      <c r="F12" s="85">
        <f t="shared" si="1"/>
        <v>1.8550812737483532E-2</v>
      </c>
      <c r="G12" s="85">
        <f t="shared" si="1"/>
        <v>6.3392409478342376E-2</v>
      </c>
      <c r="H12" s="82">
        <f>F12*C$7</f>
        <v>106372.67908832277</v>
      </c>
      <c r="I12" s="82"/>
      <c r="Q12" s="82"/>
      <c r="R12" s="81"/>
      <c r="S12" s="81"/>
    </row>
    <row r="13" spans="1:19" s="83" customFormat="1" x14ac:dyDescent="0.3">
      <c r="A13" s="142" t="s">
        <v>38</v>
      </c>
      <c r="B13" s="141">
        <v>30553.284880668703</v>
      </c>
      <c r="C13" s="141">
        <v>28801.443116591079</v>
      </c>
      <c r="D13" s="141">
        <f t="shared" si="0"/>
        <v>-1751.8417640776242</v>
      </c>
      <c r="I13" s="84">
        <f>SUM(I14:I18)</f>
        <v>168706034394.81009</v>
      </c>
    </row>
    <row r="14" spans="1:19" s="80" customFormat="1" outlineLevel="1" x14ac:dyDescent="0.3">
      <c r="A14" s="140" t="s">
        <v>7</v>
      </c>
      <c r="B14" s="139">
        <f>'BĐ-Dthu EXW-v2'!B11</f>
        <v>29620.762385896422</v>
      </c>
      <c r="C14" s="139">
        <f>'BĐ-Dthu EXW-v2'!C11</f>
        <v>29111.478264783389</v>
      </c>
      <c r="D14" s="143"/>
      <c r="I14" s="82">
        <f>H8*B14</f>
        <v>140934688727.7132</v>
      </c>
      <c r="K14" s="81"/>
    </row>
    <row r="15" spans="1:19" s="80" customFormat="1" outlineLevel="1" x14ac:dyDescent="0.3">
      <c r="A15" s="140" t="s">
        <v>6</v>
      </c>
      <c r="B15" s="139">
        <f>'BĐ-Dthu EXW-v2'!B12</f>
        <v>31234.333333333332</v>
      </c>
      <c r="C15" s="139">
        <f>'BĐ-Dthu EXW-v2'!C12</f>
        <v>30889.259668370745</v>
      </c>
      <c r="D15" s="143"/>
      <c r="I15" s="82">
        <f>H9*B15</f>
        <v>24404327511.575306</v>
      </c>
      <c r="K15" s="81"/>
    </row>
    <row r="16" spans="1:19" s="80" customFormat="1" outlineLevel="1" x14ac:dyDescent="0.3">
      <c r="A16" s="140" t="s">
        <v>5</v>
      </c>
      <c r="B16" s="139">
        <f>'BĐ-Dthu EXW-v2'!B13</f>
        <v>0</v>
      </c>
      <c r="C16" s="139">
        <f>'BĐ-Dthu EXW-v2'!C13</f>
        <v>17662.524839994392</v>
      </c>
      <c r="D16" s="143"/>
      <c r="I16" s="82">
        <f>H10*B16</f>
        <v>0</v>
      </c>
      <c r="K16" s="81"/>
    </row>
    <row r="17" spans="1:17" s="80" customFormat="1" outlineLevel="1" x14ac:dyDescent="0.3">
      <c r="A17" s="140" t="s">
        <v>4</v>
      </c>
      <c r="B17" s="139">
        <f>'BĐ-Dthu EXW-v2'!B14</f>
        <v>18329.166666666664</v>
      </c>
      <c r="C17" s="139">
        <f>'BĐ-Dthu EXW-v2'!C14</f>
        <v>17417.395189598315</v>
      </c>
      <c r="D17" s="143"/>
      <c r="I17" s="82">
        <f>H11*B17</f>
        <v>1621260138.5180438</v>
      </c>
      <c r="K17" s="81"/>
    </row>
    <row r="18" spans="1:17" s="80" customFormat="1" outlineLevel="1" x14ac:dyDescent="0.3">
      <c r="A18" s="140" t="s">
        <v>3</v>
      </c>
      <c r="B18" s="139">
        <f>'BĐ-Dthu EXW-v2'!B15</f>
        <v>16411.714285714286</v>
      </c>
      <c r="C18" s="139">
        <f>'BĐ-Dthu EXW-v2'!C15</f>
        <v>16523.249550082579</v>
      </c>
      <c r="D18" s="143"/>
      <c r="I18" s="82">
        <f>H12*B18</f>
        <v>1745758017.0035281</v>
      </c>
      <c r="K18" s="81"/>
    </row>
    <row r="19" spans="1:17" x14ac:dyDescent="0.3">
      <c r="A19" s="49" t="s">
        <v>37</v>
      </c>
      <c r="B19" s="48">
        <f>SUM(B20:B24)</f>
        <v>137326113373.97224</v>
      </c>
      <c r="C19" s="48">
        <f>SUM(C20:C24)</f>
        <v>160513954758.18008</v>
      </c>
      <c r="D19" s="114">
        <f>C19-B19</f>
        <v>23187841384.20784</v>
      </c>
    </row>
    <row r="20" spans="1:17" s="79" customFormat="1" x14ac:dyDescent="0.3">
      <c r="A20" s="135" t="s">
        <v>7</v>
      </c>
      <c r="B20" s="134">
        <f t="shared" ref="B20:C24" si="2">B8*B14</f>
        <v>114720336542.64368</v>
      </c>
      <c r="C20" s="134">
        <f t="shared" si="2"/>
        <v>132771630070.02408</v>
      </c>
      <c r="D20" s="134">
        <f>C20-B20</f>
        <v>18051293527.380402</v>
      </c>
      <c r="K20" s="81">
        <f>I14-B20</f>
        <v>26214352185.069519</v>
      </c>
      <c r="L20" s="81">
        <f>C8*B14-I14</f>
        <v>-5840315638.1167908</v>
      </c>
      <c r="M20" s="82">
        <f>D63*C8/10^3*$B$69</f>
        <v>-849408611.45553124</v>
      </c>
      <c r="N20" s="82">
        <f>IFERROR(C20-C20/C70*B70,0)</f>
        <v>-1473334408.1167603</v>
      </c>
    </row>
    <row r="21" spans="1:17" s="79" customFormat="1" x14ac:dyDescent="0.3">
      <c r="A21" s="135" t="s">
        <v>6</v>
      </c>
      <c r="B21" s="134">
        <f t="shared" si="2"/>
        <v>19865036000</v>
      </c>
      <c r="C21" s="134">
        <f t="shared" si="2"/>
        <v>17371347405.999996</v>
      </c>
      <c r="D21" s="134">
        <f t="shared" ref="D21:D24" si="3">C21-B21</f>
        <v>-2493688594.0000038</v>
      </c>
      <c r="K21" s="81">
        <f>I15-B21</f>
        <v>4539291511.5753059</v>
      </c>
      <c r="L21" s="81">
        <f>C9*B15-I15</f>
        <v>-6838919303.2419739</v>
      </c>
      <c r="M21" s="82">
        <f>D64*C9/10^3*$B$69</f>
        <v>-1759706.9759762655</v>
      </c>
      <c r="N21" s="82">
        <f t="shared" ref="N21:N24" si="4">IFERROR(C21-C21/C71*B71,0)</f>
        <v>-192301095.35735703</v>
      </c>
    </row>
    <row r="22" spans="1:17" s="79" customFormat="1" x14ac:dyDescent="0.3">
      <c r="A22" s="135" t="s">
        <v>5</v>
      </c>
      <c r="B22" s="134">
        <f t="shared" si="2"/>
        <v>0</v>
      </c>
      <c r="C22" s="134">
        <f t="shared" si="2"/>
        <v>3951548369.8277454</v>
      </c>
      <c r="D22" s="134">
        <f t="shared" si="3"/>
        <v>3951548369.8277454</v>
      </c>
      <c r="K22" s="81">
        <f>I16-B22</f>
        <v>0</v>
      </c>
      <c r="L22" s="81">
        <f>C10*B16-I16</f>
        <v>0</v>
      </c>
      <c r="M22" s="82">
        <f>D65*C10/10^3*$B$69</f>
        <v>3995398187.1177177</v>
      </c>
      <c r="N22" s="82">
        <f t="shared" si="4"/>
        <v>-43849817.289973259</v>
      </c>
    </row>
    <row r="23" spans="1:17" s="79" customFormat="1" x14ac:dyDescent="0.3">
      <c r="A23" s="135" t="s">
        <v>4</v>
      </c>
      <c r="B23" s="134">
        <f t="shared" si="2"/>
        <v>1319699999.9999998</v>
      </c>
      <c r="C23" s="134">
        <f t="shared" si="2"/>
        <v>413227700.87322009</v>
      </c>
      <c r="D23" s="134">
        <f t="shared" si="3"/>
        <v>-906472299.12677968</v>
      </c>
      <c r="K23" s="81">
        <f>I17-B23</f>
        <v>301560138.51804399</v>
      </c>
      <c r="L23" s="81">
        <f>C11*B17-I17</f>
        <v>-1186400659.351377</v>
      </c>
      <c r="M23" s="82">
        <f>D66*C11/10^3*$B$69</f>
        <v>-17046244.349131957</v>
      </c>
      <c r="N23" s="82">
        <f t="shared" si="4"/>
        <v>-4585533.9443147182</v>
      </c>
    </row>
    <row r="24" spans="1:17" s="79" customFormat="1" x14ac:dyDescent="0.3">
      <c r="A24" s="135" t="s">
        <v>3</v>
      </c>
      <c r="B24" s="134">
        <f t="shared" si="2"/>
        <v>1421040831.3285713</v>
      </c>
      <c r="C24" s="134">
        <f t="shared" si="2"/>
        <v>6006201211.4550171</v>
      </c>
      <c r="D24" s="134">
        <f t="shared" si="3"/>
        <v>4585160380.1264458</v>
      </c>
      <c r="K24" s="81">
        <f>I18-B24</f>
        <v>324717185.6749568</v>
      </c>
      <c r="L24" s="81">
        <f>C12*B18-I18</f>
        <v>4219900125.8536153</v>
      </c>
      <c r="M24" s="82">
        <f>D67*C12/10^3*$B$69</f>
        <v>107662442.28078195</v>
      </c>
      <c r="N24" s="82">
        <f t="shared" si="4"/>
        <v>-67119373.682909012</v>
      </c>
    </row>
    <row r="25" spans="1:17" s="50" customFormat="1" x14ac:dyDescent="0.3">
      <c r="A25" s="49" t="s">
        <v>36</v>
      </c>
      <c r="B25" s="48">
        <f>'BĐ-Dthu EXW-v2'!B22</f>
        <v>0</v>
      </c>
      <c r="C25" s="48">
        <f>'BĐ-Dthu EXW-v2'!C22</f>
        <v>190015000</v>
      </c>
      <c r="D25" s="48">
        <f>C25-B25</f>
        <v>190015000</v>
      </c>
      <c r="O25" s="75">
        <f>D25</f>
        <v>190015000</v>
      </c>
      <c r="P25" s="75"/>
      <c r="Q25" s="76">
        <f>SUM(K25:P25)</f>
        <v>190015000</v>
      </c>
    </row>
    <row r="26" spans="1:17" s="50" customFormat="1" x14ac:dyDescent="0.3">
      <c r="A26" s="49" t="s">
        <v>35</v>
      </c>
      <c r="B26" s="48">
        <f>'BĐ-Dthu EXW-v2'!B23</f>
        <v>145750000</v>
      </c>
      <c r="C26" s="48">
        <f>'BĐ-Dthu EXW-v2'!C23</f>
        <v>7716407756.2549372</v>
      </c>
      <c r="D26" s="48">
        <f>C26-B26</f>
        <v>7570657756.2549372</v>
      </c>
      <c r="O26" s="75">
        <f>D26</f>
        <v>7570657756.2549372</v>
      </c>
      <c r="P26" s="75"/>
      <c r="Q26" s="76">
        <f t="shared" ref="Q26:Q29" si="5">SUM(K26:P26)</f>
        <v>7570657756.2549372</v>
      </c>
    </row>
    <row r="27" spans="1:17" s="50" customFormat="1" x14ac:dyDescent="0.3">
      <c r="A27" s="49" t="s">
        <v>1</v>
      </c>
      <c r="B27" s="48">
        <f>'BĐ-Dthu EXW-v2'!B24</f>
        <v>0</v>
      </c>
      <c r="C27" s="48">
        <f>'BĐ-Dthu EXW-v2'!C24</f>
        <v>-243773571.43496704</v>
      </c>
      <c r="D27" s="48">
        <f>C27-B27</f>
        <v>-243773571.43496704</v>
      </c>
      <c r="O27" s="75">
        <f>D27</f>
        <v>-243773571.43496704</v>
      </c>
      <c r="P27" s="75"/>
      <c r="Q27" s="76">
        <f t="shared" si="5"/>
        <v>-243773571.43496704</v>
      </c>
    </row>
    <row r="28" spans="1:17" s="50" customFormat="1" x14ac:dyDescent="0.3">
      <c r="A28" s="49" t="s">
        <v>107</v>
      </c>
      <c r="B28" s="48">
        <f>'BĐ-LG EXW'!C27</f>
        <v>4127628453.8549805</v>
      </c>
      <c r="C28" s="48">
        <f>'BĐ-LG EXW'!G27</f>
        <v>5129218585.9999695</v>
      </c>
      <c r="D28" s="48">
        <f>C28-B28</f>
        <v>1001590132.144989</v>
      </c>
      <c r="O28" s="75"/>
      <c r="P28" s="75">
        <f>D28</f>
        <v>1001590132.144989</v>
      </c>
      <c r="Q28" s="76">
        <f>SUM(K28:P28)</f>
        <v>1001590132.144989</v>
      </c>
    </row>
    <row r="29" spans="1:17" x14ac:dyDescent="0.3">
      <c r="A29" s="132" t="s">
        <v>109</v>
      </c>
      <c r="B29" s="131">
        <f>B19+B25+B26+B27+B28</f>
        <v>141599491827.82721</v>
      </c>
      <c r="C29" s="131">
        <f>C19+C25+C26+C27+C28</f>
        <v>173305822529.00003</v>
      </c>
      <c r="D29" s="48">
        <f>C29-B29</f>
        <v>31706330701.172821</v>
      </c>
      <c r="E29" s="1"/>
      <c r="K29" s="23">
        <f>SUM(K7:K28)</f>
        <v>31379921020.837826</v>
      </c>
      <c r="L29" s="23">
        <f t="shared" ref="L29:P29" si="6">SUM(L7:L28)</f>
        <v>-9645735474.8565273</v>
      </c>
      <c r="M29" s="23">
        <f t="shared" si="6"/>
        <v>3234846066.6178598</v>
      </c>
      <c r="N29" s="23">
        <f t="shared" si="6"/>
        <v>-1781190228.3913143</v>
      </c>
      <c r="O29" s="23">
        <f t="shared" si="6"/>
        <v>7516899184.8199701</v>
      </c>
      <c r="P29" s="23">
        <f t="shared" si="6"/>
        <v>1001590132.144989</v>
      </c>
      <c r="Q29" s="75">
        <f t="shared" si="5"/>
        <v>31706330701.172802</v>
      </c>
    </row>
    <row r="30" spans="1:17" x14ac:dyDescent="0.3">
      <c r="P30" s="21" t="s">
        <v>11</v>
      </c>
      <c r="Q30" s="74">
        <f>Q29-D29</f>
        <v>0</v>
      </c>
    </row>
    <row r="31" spans="1:17" s="83" customFormat="1" x14ac:dyDescent="0.3">
      <c r="A31" s="142" t="s">
        <v>74</v>
      </c>
      <c r="B31" s="141"/>
      <c r="C31" s="141"/>
      <c r="D31" s="141"/>
      <c r="I31" s="84"/>
    </row>
    <row r="32" spans="1:17" s="80" customFormat="1" outlineLevel="1" x14ac:dyDescent="0.3">
      <c r="A32" s="140" t="s">
        <v>7</v>
      </c>
      <c r="B32" s="139">
        <f>'BĐ-LG EXW'!P6</f>
        <v>25909.375562478344</v>
      </c>
      <c r="C32" s="139">
        <f>'BĐ-LG EXW'!Q6</f>
        <v>26622.434816918205</v>
      </c>
      <c r="D32" s="139">
        <f>C32-B32</f>
        <v>713.05925443986052</v>
      </c>
      <c r="I32" s="82"/>
      <c r="K32" s="81"/>
    </row>
    <row r="33" spans="1:24" s="80" customFormat="1" outlineLevel="1" x14ac:dyDescent="0.3">
      <c r="A33" s="140" t="s">
        <v>6</v>
      </c>
      <c r="B33" s="139">
        <f>'BĐ-LG EXW'!P9</f>
        <v>24295.395509232101</v>
      </c>
      <c r="C33" s="139">
        <f>'BĐ-LG EXW'!Q9</f>
        <v>26959.716625027762</v>
      </c>
      <c r="D33" s="139">
        <f>C33-B33</f>
        <v>2664.3211157956612</v>
      </c>
      <c r="I33" s="82"/>
      <c r="K33" s="81"/>
    </row>
    <row r="34" spans="1:24" s="80" customFormat="1" outlineLevel="1" x14ac:dyDescent="0.3">
      <c r="A34" s="140" t="s">
        <v>5</v>
      </c>
      <c r="B34" s="139">
        <f>'BĐ-LG EXW'!P12</f>
        <v>0</v>
      </c>
      <c r="C34" s="139">
        <f>'BĐ-LG EXW'!Q12</f>
        <v>32293.673693150078</v>
      </c>
      <c r="D34" s="139">
        <f>C34-B34</f>
        <v>32293.673693150078</v>
      </c>
      <c r="I34" s="82"/>
      <c r="K34" s="81"/>
    </row>
    <row r="35" spans="1:24" s="80" customFormat="1" outlineLevel="1" x14ac:dyDescent="0.3">
      <c r="A35" s="140" t="s">
        <v>4</v>
      </c>
      <c r="B35" s="139">
        <f>'BĐ-LG EXW'!P15</f>
        <v>22608.749816260763</v>
      </c>
      <c r="C35" s="139">
        <f>'BĐ-LG EXW'!Q15</f>
        <v>21031.016016859849</v>
      </c>
      <c r="D35" s="139">
        <f>C35-B35</f>
        <v>-1577.733799400914</v>
      </c>
      <c r="I35" s="82"/>
      <c r="K35" s="81"/>
    </row>
    <row r="36" spans="1:24" s="80" customFormat="1" outlineLevel="1" x14ac:dyDescent="0.3">
      <c r="A36" s="140" t="s">
        <v>3</v>
      </c>
      <c r="B36" s="139">
        <f>'BĐ-LG EXW'!P18</f>
        <v>26256.891029086048</v>
      </c>
      <c r="C36" s="139">
        <f>'BĐ-LG EXW'!Q18</f>
        <v>28220.738165061903</v>
      </c>
      <c r="D36" s="139">
        <f>C36-B36</f>
        <v>1963.8471359758551</v>
      </c>
      <c r="I36" s="82"/>
      <c r="K36" s="81"/>
    </row>
    <row r="37" spans="1:24" x14ac:dyDescent="0.3">
      <c r="A37" s="33"/>
      <c r="B37" s="33"/>
      <c r="C37" s="33"/>
      <c r="D37" s="33"/>
    </row>
    <row r="38" spans="1:24" x14ac:dyDescent="0.3">
      <c r="A38" s="49" t="s">
        <v>73</v>
      </c>
      <c r="B38" s="48">
        <f>SUM(B39:B43)</f>
        <v>119699451674.40219</v>
      </c>
      <c r="C38" s="48">
        <f>SUM(C39:C43)</f>
        <v>154563172675.00055</v>
      </c>
      <c r="D38" s="33"/>
      <c r="F38" s="156"/>
      <c r="G38" s="18"/>
    </row>
    <row r="39" spans="1:24" s="79" customFormat="1" x14ac:dyDescent="0.3">
      <c r="A39" s="135" t="s">
        <v>7</v>
      </c>
      <c r="B39" s="134">
        <f t="shared" ref="B39:C43" si="7">B32*B8</f>
        <v>100346245157.83917</v>
      </c>
      <c r="C39" s="134">
        <f t="shared" si="7"/>
        <v>121419600713.00055</v>
      </c>
      <c r="D39" s="135"/>
    </row>
    <row r="40" spans="1:24" s="79" customFormat="1" x14ac:dyDescent="0.3">
      <c r="A40" s="135" t="s">
        <v>6</v>
      </c>
      <c r="B40" s="134">
        <f t="shared" si="7"/>
        <v>15451871543.871616</v>
      </c>
      <c r="C40" s="134">
        <f t="shared" si="7"/>
        <v>15161470636.999989</v>
      </c>
      <c r="D40" s="135"/>
    </row>
    <row r="41" spans="1:24" s="79" customFormat="1" x14ac:dyDescent="0.3">
      <c r="A41" s="135" t="s">
        <v>5</v>
      </c>
      <c r="B41" s="134">
        <f t="shared" si="7"/>
        <v>0</v>
      </c>
      <c r="C41" s="134">
        <f t="shared" si="7"/>
        <v>7224902147.000001</v>
      </c>
      <c r="D41" s="135"/>
    </row>
    <row r="42" spans="1:24" s="79" customFormat="1" x14ac:dyDescent="0.3">
      <c r="A42" s="135" t="s">
        <v>4</v>
      </c>
      <c r="B42" s="134">
        <f t="shared" si="7"/>
        <v>1627829986.7707748</v>
      </c>
      <c r="C42" s="134">
        <f t="shared" si="7"/>
        <v>498960855</v>
      </c>
      <c r="D42" s="135"/>
    </row>
    <row r="43" spans="1:24" s="79" customFormat="1" x14ac:dyDescent="0.3">
      <c r="A43" s="135" t="s">
        <v>3</v>
      </c>
      <c r="B43" s="134">
        <f t="shared" si="7"/>
        <v>2273504985.9206228</v>
      </c>
      <c r="C43" s="134">
        <f t="shared" si="7"/>
        <v>10258238323.000002</v>
      </c>
      <c r="D43" s="135"/>
    </row>
    <row r="44" spans="1:24" s="50" customFormat="1" x14ac:dyDescent="0.3">
      <c r="A44" s="49" t="s">
        <v>36</v>
      </c>
      <c r="B44" s="48"/>
      <c r="C44" s="49"/>
      <c r="D44" s="49"/>
    </row>
    <row r="45" spans="1:24" s="50" customFormat="1" x14ac:dyDescent="0.3">
      <c r="A45" s="49" t="s">
        <v>35</v>
      </c>
      <c r="B45" s="200">
        <v>44000000</v>
      </c>
      <c r="C45" s="200">
        <v>8707836302</v>
      </c>
      <c r="D45" s="49"/>
      <c r="F45" s="75"/>
    </row>
    <row r="46" spans="1:24" s="50" customFormat="1" x14ac:dyDescent="0.3">
      <c r="A46" s="49" t="s">
        <v>1</v>
      </c>
      <c r="B46" s="200">
        <v>470236652.18832326</v>
      </c>
      <c r="C46" s="200">
        <v>2573730887.9994812</v>
      </c>
      <c r="D46" s="49"/>
    </row>
    <row r="47" spans="1:24" x14ac:dyDescent="0.3">
      <c r="A47" s="132" t="s">
        <v>87</v>
      </c>
      <c r="B47" s="131">
        <f>B38+B44+B45+B46</f>
        <v>120213688326.59052</v>
      </c>
      <c r="C47" s="131">
        <f>C38+C44+C45+C46</f>
        <v>165844739865.00003</v>
      </c>
      <c r="D47" s="33"/>
      <c r="E47" s="1"/>
      <c r="F47" s="1"/>
      <c r="K47" s="92" t="s">
        <v>48</v>
      </c>
      <c r="L47" s="91"/>
      <c r="M47" s="91"/>
      <c r="N47" s="91"/>
      <c r="O47" s="91"/>
      <c r="P47" s="91"/>
      <c r="Q47" s="91"/>
      <c r="S47" s="92" t="s">
        <v>72</v>
      </c>
      <c r="T47" s="91"/>
      <c r="U47" s="91"/>
      <c r="V47" s="91"/>
      <c r="W47" s="91"/>
      <c r="X47" s="203"/>
    </row>
    <row r="48" spans="1:24" x14ac:dyDescent="0.3">
      <c r="A48" s="108" t="s">
        <v>102</v>
      </c>
      <c r="B48" s="190">
        <f>'BĐ-Dthu EXW'!C3-'BĐ-LG EXW'!C3-B47</f>
        <v>0</v>
      </c>
      <c r="C48" s="190">
        <f>'BĐ-Dthu EXW'!G17-'BĐ-LG EXW'!G22-C47</f>
        <v>0</v>
      </c>
      <c r="D48" s="113"/>
      <c r="F48" s="137" t="s">
        <v>71</v>
      </c>
      <c r="G48" s="137" t="s">
        <v>70</v>
      </c>
      <c r="H48" s="138" t="s">
        <v>69</v>
      </c>
      <c r="K48" s="89" t="s">
        <v>16</v>
      </c>
      <c r="L48" s="89" t="s">
        <v>42</v>
      </c>
      <c r="M48" s="89" t="s">
        <v>14</v>
      </c>
      <c r="N48" s="89" t="s">
        <v>60</v>
      </c>
      <c r="O48" s="89" t="s">
        <v>12</v>
      </c>
      <c r="P48" s="89" t="s">
        <v>1</v>
      </c>
      <c r="Q48" s="89" t="s">
        <v>107</v>
      </c>
      <c r="S48" s="89" t="s">
        <v>16</v>
      </c>
      <c r="T48" s="89" t="s">
        <v>42</v>
      </c>
      <c r="U48" s="89" t="s">
        <v>50</v>
      </c>
      <c r="V48" s="89" t="s">
        <v>12</v>
      </c>
      <c r="W48" s="89" t="s">
        <v>1</v>
      </c>
      <c r="X48" s="204" t="s">
        <v>107</v>
      </c>
    </row>
    <row r="49" spans="1:25" x14ac:dyDescent="0.3">
      <c r="A49" s="49" t="s">
        <v>68</v>
      </c>
      <c r="B49" s="48">
        <f>SUM(B50:B54)</f>
        <v>17626661699.570061</v>
      </c>
      <c r="C49" s="48">
        <f>SUM(C50:C54)</f>
        <v>5950782083.1795158</v>
      </c>
      <c r="D49" s="48">
        <f t="shared" ref="D49:D59" si="8">C49-B49</f>
        <v>-11675879616.390545</v>
      </c>
      <c r="F49" s="137"/>
      <c r="G49" s="137"/>
      <c r="H49" s="136">
        <f>SUM(H50:H54)</f>
        <v>21654469946.696712</v>
      </c>
    </row>
    <row r="50" spans="1:25" x14ac:dyDescent="0.3">
      <c r="A50" s="135" t="s">
        <v>7</v>
      </c>
      <c r="B50" s="134">
        <f t="shared" ref="B50:C56" si="9">B20-B39</f>
        <v>14374091384.804504</v>
      </c>
      <c r="C50" s="134">
        <f t="shared" si="9"/>
        <v>11352029357.023529</v>
      </c>
      <c r="D50" s="134">
        <f t="shared" si="8"/>
        <v>-3022062027.7809753</v>
      </c>
      <c r="F50" s="40">
        <f t="shared" ref="F50:G54" si="10">B63*B70/10^3-B32</f>
        <v>3711.3868234180773</v>
      </c>
      <c r="G50" s="40">
        <f t="shared" si="10"/>
        <v>2489.0434478651841</v>
      </c>
      <c r="H50" s="133">
        <f>F50*H8</f>
        <v>17658665901.037487</v>
      </c>
      <c r="K50" s="18">
        <f>H50-B50</f>
        <v>3284574516.2329826</v>
      </c>
      <c r="L50" s="1">
        <f>C8*F50-H50</f>
        <v>-731772876.79232025</v>
      </c>
      <c r="M50" s="1">
        <f>C8*D63*B70/10^3</f>
        <v>-849408611.45553124</v>
      </c>
      <c r="N50" s="1">
        <f>-D32*C8</f>
        <v>-3252120647.6493158</v>
      </c>
      <c r="O50" s="18">
        <f>N20</f>
        <v>-1473334408.1167603</v>
      </c>
      <c r="P50" s="18"/>
      <c r="R50" s="1"/>
      <c r="S50" s="18">
        <f t="shared" ref="S50:T54" si="11">K50</f>
        <v>3284574516.2329826</v>
      </c>
      <c r="T50" s="18">
        <f t="shared" si="11"/>
        <v>-731772876.79232025</v>
      </c>
      <c r="U50" s="1">
        <f>M50+N50</f>
        <v>-4101529259.104847</v>
      </c>
      <c r="V50" s="18">
        <f>O50</f>
        <v>-1473334408.1167603</v>
      </c>
    </row>
    <row r="51" spans="1:25" x14ac:dyDescent="0.3">
      <c r="A51" s="135" t="s">
        <v>6</v>
      </c>
      <c r="B51" s="134">
        <f t="shared" si="9"/>
        <v>4413164456.1283836</v>
      </c>
      <c r="C51" s="134">
        <f t="shared" si="9"/>
        <v>2209876769.0000076</v>
      </c>
      <c r="D51" s="134">
        <f t="shared" si="8"/>
        <v>-2203287687.128376</v>
      </c>
      <c r="F51" s="40">
        <f t="shared" si="10"/>
        <v>6938.9378241012309</v>
      </c>
      <c r="G51" s="40">
        <f t="shared" si="10"/>
        <v>3929.5430433429829</v>
      </c>
      <c r="H51" s="133">
        <f>F51*H9</f>
        <v>5421601589.3351603</v>
      </c>
      <c r="K51" s="18">
        <f>H51-B51</f>
        <v>1008437133.2067766</v>
      </c>
      <c r="L51" s="1">
        <f>C9*F51-H51</f>
        <v>-1519316430.5062304</v>
      </c>
      <c r="M51" s="1">
        <f>C9*D64*B71/10^3</f>
        <v>-1759706.9759762655</v>
      </c>
      <c r="N51" s="1">
        <f>-D33*C9</f>
        <v>-1498347587.495585</v>
      </c>
      <c r="O51" s="18">
        <f>N21</f>
        <v>-192301095.35735703</v>
      </c>
      <c r="P51" s="18"/>
      <c r="R51" s="1"/>
      <c r="S51" s="18">
        <f t="shared" si="11"/>
        <v>1008437133.2067766</v>
      </c>
      <c r="T51" s="18">
        <f t="shared" si="11"/>
        <v>-1519316430.5062304</v>
      </c>
      <c r="U51" s="1">
        <f>M51+N51</f>
        <v>-1500107294.4715612</v>
      </c>
      <c r="V51" s="18">
        <f>O51</f>
        <v>-192301095.35735703</v>
      </c>
    </row>
    <row r="52" spans="1:25" x14ac:dyDescent="0.3">
      <c r="A52" s="135" t="s">
        <v>5</v>
      </c>
      <c r="B52" s="134">
        <f t="shared" si="9"/>
        <v>0</v>
      </c>
      <c r="C52" s="134">
        <f t="shared" si="9"/>
        <v>-3273353777.1722555</v>
      </c>
      <c r="D52" s="134">
        <f t="shared" si="8"/>
        <v>-3273353777.1722555</v>
      </c>
      <c r="F52" s="40">
        <f t="shared" si="10"/>
        <v>0</v>
      </c>
      <c r="G52" s="40">
        <f t="shared" si="10"/>
        <v>-14631.148853155686</v>
      </c>
      <c r="H52" s="133">
        <f>F52*H10</f>
        <v>0</v>
      </c>
      <c r="K52" s="18">
        <f>H52-B52</f>
        <v>0</v>
      </c>
      <c r="L52" s="1">
        <f>C10*F52-H52</f>
        <v>0</v>
      </c>
      <c r="M52" s="1">
        <f>C10*D65*B72/10^3</f>
        <v>3995398187.1177182</v>
      </c>
      <c r="N52" s="1">
        <f>-D34*C10</f>
        <v>-7224902147.000001</v>
      </c>
      <c r="O52" s="18">
        <f>N22</f>
        <v>-43849817.289973259</v>
      </c>
      <c r="P52" s="18"/>
      <c r="R52" s="1"/>
      <c r="S52" s="18">
        <f t="shared" si="11"/>
        <v>0</v>
      </c>
      <c r="T52" s="18">
        <f t="shared" si="11"/>
        <v>0</v>
      </c>
      <c r="U52" s="1">
        <f>M52+N52</f>
        <v>-3229503959.8822827</v>
      </c>
      <c r="V52" s="18">
        <f>O52</f>
        <v>-43849817.289973259</v>
      </c>
    </row>
    <row r="53" spans="1:25" x14ac:dyDescent="0.3">
      <c r="A53" s="135" t="s">
        <v>4</v>
      </c>
      <c r="B53" s="134">
        <f t="shared" si="9"/>
        <v>-308129986.77077508</v>
      </c>
      <c r="C53" s="134">
        <f t="shared" si="9"/>
        <v>-85733154.126779914</v>
      </c>
      <c r="D53" s="134">
        <f t="shared" si="8"/>
        <v>222396832.64399517</v>
      </c>
      <c r="F53" s="40">
        <f t="shared" si="10"/>
        <v>-4279.5831495940984</v>
      </c>
      <c r="G53" s="40">
        <f t="shared" si="10"/>
        <v>-3613.6208272615331</v>
      </c>
      <c r="H53" s="133">
        <f>F53*H11</f>
        <v>-378539717.38542843</v>
      </c>
      <c r="K53" s="18">
        <f>H53-B53</f>
        <v>-70409730.614653349</v>
      </c>
      <c r="L53" s="1">
        <f>C11*F53-H53</f>
        <v>277006607.16130841</v>
      </c>
      <c r="M53" s="1">
        <f>C11*D66*B73/10^3</f>
        <v>-17046244.349131957</v>
      </c>
      <c r="N53" s="1">
        <f>-D35*C11</f>
        <v>37431734.390786693</v>
      </c>
      <c r="O53" s="18">
        <f>N23</f>
        <v>-4585533.9443147182</v>
      </c>
      <c r="P53" s="18"/>
      <c r="R53" s="1"/>
      <c r="S53" s="18">
        <f t="shared" si="11"/>
        <v>-70409730.614653349</v>
      </c>
      <c r="T53" s="18">
        <f t="shared" si="11"/>
        <v>277006607.16130841</v>
      </c>
      <c r="U53" s="1">
        <f>M53+N53</f>
        <v>20385490.041654736</v>
      </c>
      <c r="V53" s="18">
        <f>O53</f>
        <v>-4585533.9443147182</v>
      </c>
    </row>
    <row r="54" spans="1:25" x14ac:dyDescent="0.3">
      <c r="A54" s="135" t="s">
        <v>3</v>
      </c>
      <c r="B54" s="134">
        <f t="shared" si="9"/>
        <v>-852464154.59205151</v>
      </c>
      <c r="C54" s="134">
        <f t="shared" si="9"/>
        <v>-4252037111.5449848</v>
      </c>
      <c r="D54" s="134">
        <f t="shared" si="8"/>
        <v>-3399572956.9529333</v>
      </c>
      <c r="F54" s="40">
        <f t="shared" si="10"/>
        <v>-9845.1767433717614</v>
      </c>
      <c r="G54" s="40">
        <f t="shared" si="10"/>
        <v>-11697.488614979324</v>
      </c>
      <c r="H54" s="133">
        <f>F54*H12</f>
        <v>-1047257826.290503</v>
      </c>
      <c r="K54" s="18">
        <f>H54-B54</f>
        <v>-194793671.69845152</v>
      </c>
      <c r="L54" s="1">
        <f>C12*F54-H54</f>
        <v>-2531463919.9251323</v>
      </c>
      <c r="M54" s="1">
        <f>C12*D67*B74/10^3</f>
        <v>107662442.28078195</v>
      </c>
      <c r="N54" s="1">
        <f>-D36*C12</f>
        <v>-713858433.92722332</v>
      </c>
      <c r="O54" s="18">
        <f>N24</f>
        <v>-67119373.682909012</v>
      </c>
      <c r="P54" s="18"/>
      <c r="R54" s="1"/>
      <c r="S54" s="18">
        <f t="shared" si="11"/>
        <v>-194793671.69845152</v>
      </c>
      <c r="T54" s="18">
        <f t="shared" si="11"/>
        <v>-2531463919.9251323</v>
      </c>
      <c r="U54" s="1">
        <f>M54+N54</f>
        <v>-606195991.64644134</v>
      </c>
      <c r="V54" s="18">
        <f>O54</f>
        <v>-67119373.682909012</v>
      </c>
    </row>
    <row r="55" spans="1:25" x14ac:dyDescent="0.3">
      <c r="A55" s="49" t="s">
        <v>36</v>
      </c>
      <c r="B55" s="48">
        <f t="shared" si="9"/>
        <v>0</v>
      </c>
      <c r="C55" s="48">
        <f t="shared" si="9"/>
        <v>190015000</v>
      </c>
      <c r="D55" s="48">
        <f t="shared" si="8"/>
        <v>190015000</v>
      </c>
      <c r="H55" s="9"/>
      <c r="P55" s="18">
        <f>D55</f>
        <v>190015000</v>
      </c>
      <c r="Q55" s="18"/>
      <c r="W55" s="18">
        <f>P55</f>
        <v>190015000</v>
      </c>
      <c r="X55" s="18"/>
    </row>
    <row r="56" spans="1:25" x14ac:dyDescent="0.3">
      <c r="A56" s="49" t="s">
        <v>35</v>
      </c>
      <c r="B56" s="48">
        <f t="shared" si="9"/>
        <v>101750000</v>
      </c>
      <c r="C56" s="48">
        <f t="shared" si="9"/>
        <v>-991428545.74506283</v>
      </c>
      <c r="D56" s="48">
        <f t="shared" si="8"/>
        <v>-1093178545.7450628</v>
      </c>
      <c r="H56" s="9"/>
      <c r="P56" s="18">
        <f t="shared" ref="P56:P57" si="12">D56</f>
        <v>-1093178545.7450628</v>
      </c>
      <c r="Q56" s="18"/>
      <c r="W56" s="18">
        <f t="shared" ref="W56:X58" si="13">P56</f>
        <v>-1093178545.7450628</v>
      </c>
      <c r="X56" s="18"/>
    </row>
    <row r="57" spans="1:25" x14ac:dyDescent="0.3">
      <c r="A57" s="49" t="s">
        <v>1</v>
      </c>
      <c r="B57" s="48">
        <f t="shared" ref="B57:C57" si="14">B27-B46</f>
        <v>-470236652.18832326</v>
      </c>
      <c r="C57" s="48">
        <f t="shared" si="14"/>
        <v>-2817504459.4344482</v>
      </c>
      <c r="D57" s="48">
        <f t="shared" si="8"/>
        <v>-2347267807.2461252</v>
      </c>
      <c r="H57" s="9"/>
      <c r="P57" s="18">
        <f t="shared" si="12"/>
        <v>-2347267807.2461252</v>
      </c>
      <c r="Q57" s="18"/>
      <c r="W57" s="18">
        <f t="shared" si="13"/>
        <v>-2347267807.2461252</v>
      </c>
      <c r="X57" s="18"/>
    </row>
    <row r="58" spans="1:25" x14ac:dyDescent="0.3">
      <c r="A58" s="49" t="s">
        <v>107</v>
      </c>
      <c r="B58" s="48">
        <f>B28</f>
        <v>4127628453.8549805</v>
      </c>
      <c r="C58" s="48">
        <f>C28</f>
        <v>5129218585.9999695</v>
      </c>
      <c r="D58" s="48">
        <f t="shared" si="8"/>
        <v>1001590132.144989</v>
      </c>
      <c r="H58" s="9"/>
      <c r="Q58" s="18">
        <f>D58</f>
        <v>1001590132.144989</v>
      </c>
      <c r="W58" s="18"/>
      <c r="X58" s="18">
        <f t="shared" si="13"/>
        <v>1001590132.144989</v>
      </c>
    </row>
    <row r="59" spans="1:25" x14ac:dyDescent="0.3">
      <c r="A59" s="132" t="s">
        <v>67</v>
      </c>
      <c r="B59" s="131">
        <f>B49+B55+B56+B57+B58</f>
        <v>21385803501.236717</v>
      </c>
      <c r="C59" s="131">
        <f>C49+C55+C56+C57+C58</f>
        <v>7461082663.9999743</v>
      </c>
      <c r="D59" s="131">
        <f t="shared" si="8"/>
        <v>-13924720837.236744</v>
      </c>
      <c r="K59" s="23">
        <f>SUM(K49:K58)</f>
        <v>4027808247.1266541</v>
      </c>
      <c r="L59" s="23">
        <f t="shared" ref="L59:Q59" si="15">SUM(L49:L58)</f>
        <v>-4505546620.0623741</v>
      </c>
      <c r="M59" s="23">
        <f t="shared" si="15"/>
        <v>3234846066.6178603</v>
      </c>
      <c r="N59" s="23">
        <f t="shared" si="15"/>
        <v>-12651797081.681337</v>
      </c>
      <c r="O59" s="23">
        <f t="shared" si="15"/>
        <v>-1781190228.3913143</v>
      </c>
      <c r="P59" s="23">
        <f t="shared" si="15"/>
        <v>-3250431352.991188</v>
      </c>
      <c r="Q59" s="23">
        <f t="shared" si="15"/>
        <v>1001590132.144989</v>
      </c>
      <c r="S59" s="23">
        <f t="shared" ref="S59" si="16">SUM(S49:S58)</f>
        <v>4027808247.1266541</v>
      </c>
      <c r="T59" s="23">
        <f t="shared" ref="T59" si="17">SUM(T49:T58)</f>
        <v>-4505546620.0623741</v>
      </c>
      <c r="U59" s="23">
        <f t="shared" ref="U59" si="18">SUM(U49:U58)</f>
        <v>-9416951015.0634766</v>
      </c>
      <c r="V59" s="23">
        <f t="shared" ref="V59" si="19">SUM(V49:V58)</f>
        <v>-1781190228.3913143</v>
      </c>
      <c r="W59" s="23">
        <f t="shared" ref="W59" si="20">SUM(W49:W58)</f>
        <v>-3250431352.991188</v>
      </c>
      <c r="X59" s="23">
        <f t="shared" ref="X59" si="21">SUM(X49:X58)</f>
        <v>1001590132.144989</v>
      </c>
      <c r="Y59" s="18">
        <f>SUM(S59:X59)</f>
        <v>-13924720837.23671</v>
      </c>
    </row>
    <row r="60" spans="1:25" s="21" customFormat="1" x14ac:dyDescent="0.3">
      <c r="A60" s="130" t="s">
        <v>11</v>
      </c>
      <c r="B60" s="62">
        <f>B59-'BĐ-LG EXW'!C3</f>
        <v>0</v>
      </c>
      <c r="C60" s="62">
        <f>C59-'BĐ-LG EXW'!G22</f>
        <v>-2.574920654296875E-5</v>
      </c>
      <c r="F60" s="74"/>
      <c r="X60" s="21" t="s">
        <v>11</v>
      </c>
      <c r="Y60" s="74">
        <f>Y59-D59</f>
        <v>3.4332275390625E-5</v>
      </c>
    </row>
    <row r="61" spans="1:25" x14ac:dyDescent="0.3">
      <c r="B61" s="18"/>
    </row>
    <row r="62" spans="1:25" x14ac:dyDescent="0.3">
      <c r="A62" s="73" t="s">
        <v>34</v>
      </c>
      <c r="B62" s="72" t="s">
        <v>9</v>
      </c>
      <c r="C62" s="72" t="s">
        <v>8</v>
      </c>
      <c r="D62" s="71"/>
    </row>
    <row r="63" spans="1:25" x14ac:dyDescent="0.3">
      <c r="A63" s="70" t="s">
        <v>7</v>
      </c>
      <c r="B63" s="69">
        <f>'BĐ-Dthu EXW-v2'!B30</f>
        <v>1117.764618335714</v>
      </c>
      <c r="C63" s="69">
        <f>'BĐ-Dthu EXW-v2'!C30</f>
        <v>1110.7366506218775</v>
      </c>
      <c r="D63" s="69">
        <f>C63-B63</f>
        <v>-7.0279677138364605</v>
      </c>
      <c r="L63" s="18"/>
      <c r="Q63" s="1"/>
    </row>
    <row r="64" spans="1:25" x14ac:dyDescent="0.3">
      <c r="A64" s="70" t="s">
        <v>6</v>
      </c>
      <c r="B64" s="69">
        <f>'BĐ-Dthu EXW-v2'!B31</f>
        <v>1178.6540880503144</v>
      </c>
      <c r="C64" s="69">
        <f>'BĐ-Dthu EXW-v2'!C31</f>
        <v>1178.53601018976</v>
      </c>
      <c r="D64" s="69">
        <f>C64-B64</f>
        <v>-0.11807786055442193</v>
      </c>
      <c r="Q64" s="18"/>
    </row>
    <row r="65" spans="1:17" x14ac:dyDescent="0.3">
      <c r="A65" s="70" t="s">
        <v>5</v>
      </c>
      <c r="B65" s="69">
        <f>'BĐ-Dthu EXW-v2'!B32</f>
        <v>0</v>
      </c>
      <c r="C65" s="69">
        <f>'BĐ-Dthu EXW-v2'!C32</f>
        <v>673.90655005074348</v>
      </c>
      <c r="D65" s="69">
        <f>C65-B65</f>
        <v>673.90655005074348</v>
      </c>
      <c r="O65" s="18"/>
      <c r="P65" s="18"/>
    </row>
    <row r="66" spans="1:17" x14ac:dyDescent="0.3">
      <c r="A66" s="70" t="s">
        <v>4</v>
      </c>
      <c r="B66" s="69">
        <f>'BĐ-Dthu EXW-v2'!B33</f>
        <v>691.66666666666663</v>
      </c>
      <c r="C66" s="69">
        <f>'BĐ-Dthu EXW-v2'!C33</f>
        <v>664.55372657221653</v>
      </c>
      <c r="D66" s="69">
        <f>C66-B66</f>
        <v>-27.112940094450096</v>
      </c>
      <c r="O66" s="1"/>
      <c r="P66" s="1"/>
    </row>
    <row r="67" spans="1:17" x14ac:dyDescent="0.3">
      <c r="A67" s="70" t="s">
        <v>3</v>
      </c>
      <c r="B67" s="69">
        <f>'BĐ-Dthu EXW-v2'!B34</f>
        <v>619.30997304582218</v>
      </c>
      <c r="C67" s="69">
        <f>'BĐ-Dthu EXW-v2'!C34</f>
        <v>630.48668190682054</v>
      </c>
      <c r="D67" s="69">
        <f>C67-B67</f>
        <v>11.17670886099836</v>
      </c>
    </row>
    <row r="69" spans="1:17" x14ac:dyDescent="0.3">
      <c r="A69" s="68" t="s">
        <v>33</v>
      </c>
      <c r="B69" s="67">
        <f>'BĐ-Dthu EXW-v2'!B36</f>
        <v>26500</v>
      </c>
      <c r="C69" s="67">
        <f>'BĐ-Dthu EXW-v2'!C36</f>
        <v>26209.162244895542</v>
      </c>
      <c r="D69" s="65"/>
      <c r="N69" s="18"/>
      <c r="O69" s="18"/>
      <c r="P69" s="18"/>
      <c r="Q69" s="66"/>
    </row>
    <row r="70" spans="1:17" x14ac:dyDescent="0.3">
      <c r="A70" s="65" t="s">
        <v>7</v>
      </c>
      <c r="B70" s="44">
        <f>'BĐ-Dthu EXW-v2'!B37</f>
        <v>26500</v>
      </c>
      <c r="C70" s="44">
        <f>'BĐ-Dthu EXW-v2'!C37</f>
        <v>26209.163304807222</v>
      </c>
      <c r="D70" s="65"/>
    </row>
    <row r="71" spans="1:17" x14ac:dyDescent="0.3">
      <c r="A71" s="65" t="s">
        <v>6</v>
      </c>
      <c r="B71" s="44">
        <f>'BĐ-Dthu EXW-v2'!B38</f>
        <v>26500</v>
      </c>
      <c r="C71" s="44">
        <f>'BĐ-Dthu EXW-v2'!C38</f>
        <v>26209.856467090187</v>
      </c>
      <c r="D71" s="65"/>
    </row>
    <row r="72" spans="1:17" x14ac:dyDescent="0.3">
      <c r="A72" s="65" t="s">
        <v>5</v>
      </c>
      <c r="B72" s="44">
        <f>'BĐ-Dthu EXW-v2'!B39</f>
        <v>26500</v>
      </c>
      <c r="C72" s="44">
        <f>'BĐ-Dthu EXW-v2'!C39</f>
        <v>26209.160363056937</v>
      </c>
      <c r="D72" s="65"/>
    </row>
    <row r="73" spans="1:17" x14ac:dyDescent="0.3">
      <c r="A73" s="65" t="s">
        <v>4</v>
      </c>
      <c r="B73" s="44">
        <f>'BĐ-Dthu EXW-v2'!B40</f>
        <v>26500</v>
      </c>
      <c r="C73" s="44">
        <f>'BĐ-Dthu EXW-v2'!C40</f>
        <v>26209.160363056933</v>
      </c>
      <c r="D73" s="65"/>
    </row>
    <row r="74" spans="1:17" x14ac:dyDescent="0.3">
      <c r="A74" s="65" t="s">
        <v>3</v>
      </c>
      <c r="B74" s="44">
        <f>'BĐ-Dthu EXW-v2'!B41</f>
        <v>26500</v>
      </c>
      <c r="C74" s="44">
        <f>'BĐ-Dthu EXW-v2'!C41</f>
        <v>26207.134939171552</v>
      </c>
      <c r="D74" s="65"/>
    </row>
    <row r="77" spans="1:17" x14ac:dyDescent="0.3">
      <c r="A77" s="49" t="s">
        <v>32</v>
      </c>
      <c r="B77" s="33"/>
      <c r="C77" s="33"/>
      <c r="D77" s="33"/>
      <c r="E77" s="33"/>
      <c r="F77" s="33"/>
      <c r="G77" s="33"/>
    </row>
    <row r="78" spans="1:17" x14ac:dyDescent="0.3">
      <c r="A78" s="49"/>
      <c r="B78" s="49"/>
      <c r="C78" s="49" t="s">
        <v>28</v>
      </c>
      <c r="D78" s="49" t="s">
        <v>27</v>
      </c>
      <c r="E78" s="49" t="s">
        <v>26</v>
      </c>
      <c r="F78" s="49" t="s">
        <v>25</v>
      </c>
      <c r="G78" s="49" t="s">
        <v>24</v>
      </c>
    </row>
    <row r="79" spans="1:17" x14ac:dyDescent="0.3">
      <c r="A79" s="49" t="str">
        <f>'BĐ-Dthu EXW'!A3</f>
        <v>KH T03</v>
      </c>
      <c r="B79" s="49"/>
      <c r="C79" s="103">
        <f>B59</f>
        <v>21385803501.236717</v>
      </c>
      <c r="D79" s="51"/>
      <c r="E79" s="53"/>
      <c r="F79" s="52"/>
      <c r="G79" s="51"/>
    </row>
    <row r="80" spans="1:17" x14ac:dyDescent="0.3">
      <c r="A80" s="33" t="s">
        <v>7</v>
      </c>
      <c r="B80" s="33" t="s">
        <v>16</v>
      </c>
      <c r="C80" s="32"/>
      <c r="D80" s="32">
        <f>C79-F80</f>
        <v>21385803501.236717</v>
      </c>
      <c r="E80" s="31">
        <f t="shared" ref="E80:E96" si="22">IF(H80&gt;0,H80,0)</f>
        <v>3284574516.2329826</v>
      </c>
      <c r="F80" s="30">
        <f t="shared" ref="F80:F96" si="23">IF(H80&lt;0,-H80,0)</f>
        <v>0</v>
      </c>
      <c r="G80" s="32"/>
      <c r="H80" s="63" cm="1">
        <f t="array" ref="H80:H82">TRANSPOSE(S50:U50)</f>
        <v>3284574516.2329826</v>
      </c>
    </row>
    <row r="81" spans="1:8" x14ac:dyDescent="0.3">
      <c r="A81" s="33"/>
      <c r="B81" s="33" t="s">
        <v>31</v>
      </c>
      <c r="C81" s="32"/>
      <c r="D81" s="32">
        <f t="shared" ref="D81:D96" si="24">D80+E80-F81</f>
        <v>23938605140.67738</v>
      </c>
      <c r="E81" s="31">
        <f t="shared" si="22"/>
        <v>0</v>
      </c>
      <c r="F81" s="30">
        <f t="shared" si="23"/>
        <v>731772876.79232025</v>
      </c>
      <c r="G81" s="32"/>
      <c r="H81" s="63">
        <v>-731772876.79232025</v>
      </c>
    </row>
    <row r="82" spans="1:8" x14ac:dyDescent="0.3">
      <c r="A82" s="33"/>
      <c r="B82" s="33" t="s">
        <v>50</v>
      </c>
      <c r="C82" s="32"/>
      <c r="D82" s="32">
        <f t="shared" si="24"/>
        <v>19837075881.572533</v>
      </c>
      <c r="E82" s="31">
        <f t="shared" si="22"/>
        <v>0</v>
      </c>
      <c r="F82" s="30">
        <f t="shared" si="23"/>
        <v>4101529259.104847</v>
      </c>
      <c r="G82" s="32"/>
      <c r="H82" s="63">
        <v>-4101529259.104847</v>
      </c>
    </row>
    <row r="83" spans="1:8" x14ac:dyDescent="0.3">
      <c r="A83" s="33" t="s">
        <v>6</v>
      </c>
      <c r="B83" s="33" t="s">
        <v>16</v>
      </c>
      <c r="C83" s="32"/>
      <c r="D83" s="32">
        <f t="shared" si="24"/>
        <v>19837075881.572533</v>
      </c>
      <c r="E83" s="31">
        <f t="shared" si="22"/>
        <v>1008437133.2067766</v>
      </c>
      <c r="F83" s="30">
        <f t="shared" si="23"/>
        <v>0</v>
      </c>
      <c r="G83" s="32"/>
      <c r="H83" s="63" cm="1">
        <f t="array" ref="H83:H85">TRANSPOSE(S51:U51)</f>
        <v>1008437133.2067766</v>
      </c>
    </row>
    <row r="84" spans="1:8" x14ac:dyDescent="0.3">
      <c r="A84" s="33"/>
      <c r="B84" s="33" t="s">
        <v>31</v>
      </c>
      <c r="C84" s="32"/>
      <c r="D84" s="32">
        <f t="shared" si="24"/>
        <v>19326196584.273079</v>
      </c>
      <c r="E84" s="31">
        <f t="shared" si="22"/>
        <v>0</v>
      </c>
      <c r="F84" s="30">
        <f t="shared" si="23"/>
        <v>1519316430.5062304</v>
      </c>
      <c r="G84" s="32"/>
      <c r="H84" s="63">
        <v>-1519316430.5062304</v>
      </c>
    </row>
    <row r="85" spans="1:8" x14ac:dyDescent="0.3">
      <c r="A85" s="33"/>
      <c r="B85" s="33" t="s">
        <v>50</v>
      </c>
      <c r="C85" s="32"/>
      <c r="D85" s="32">
        <f t="shared" si="24"/>
        <v>17826089289.801517</v>
      </c>
      <c r="E85" s="31">
        <f t="shared" si="22"/>
        <v>0</v>
      </c>
      <c r="F85" s="30">
        <f t="shared" si="23"/>
        <v>1500107294.4715612</v>
      </c>
      <c r="G85" s="32"/>
      <c r="H85" s="63">
        <v>-1500107294.4715612</v>
      </c>
    </row>
    <row r="86" spans="1:8" x14ac:dyDescent="0.3">
      <c r="A86" s="33" t="s">
        <v>5</v>
      </c>
      <c r="B86" s="33" t="s">
        <v>16</v>
      </c>
      <c r="C86" s="32"/>
      <c r="D86" s="32">
        <f t="shared" si="24"/>
        <v>17826089289.801517</v>
      </c>
      <c r="E86" s="31">
        <f t="shared" si="22"/>
        <v>0</v>
      </c>
      <c r="F86" s="30">
        <f t="shared" si="23"/>
        <v>0</v>
      </c>
      <c r="G86" s="32"/>
      <c r="H86" s="63" cm="1">
        <f t="array" ref="H86:H88">TRANSPOSE(S52:U52)</f>
        <v>0</v>
      </c>
    </row>
    <row r="87" spans="1:8" x14ac:dyDescent="0.3">
      <c r="A87" s="33"/>
      <c r="B87" s="33" t="s">
        <v>31</v>
      </c>
      <c r="C87" s="32"/>
      <c r="D87" s="32">
        <f t="shared" si="24"/>
        <v>17826089289.801517</v>
      </c>
      <c r="E87" s="31">
        <f t="shared" si="22"/>
        <v>0</v>
      </c>
      <c r="F87" s="30">
        <f t="shared" si="23"/>
        <v>0</v>
      </c>
      <c r="G87" s="32"/>
      <c r="H87" s="63">
        <v>0</v>
      </c>
    </row>
    <row r="88" spans="1:8" x14ac:dyDescent="0.3">
      <c r="A88" s="33"/>
      <c r="B88" s="33" t="s">
        <v>50</v>
      </c>
      <c r="C88" s="32"/>
      <c r="D88" s="32">
        <f t="shared" si="24"/>
        <v>14596585329.919235</v>
      </c>
      <c r="E88" s="31">
        <f t="shared" si="22"/>
        <v>0</v>
      </c>
      <c r="F88" s="30">
        <f t="shared" si="23"/>
        <v>3229503959.8822827</v>
      </c>
      <c r="G88" s="32"/>
      <c r="H88" s="63">
        <v>-3229503959.8822827</v>
      </c>
    </row>
    <row r="89" spans="1:8" x14ac:dyDescent="0.3">
      <c r="A89" s="33" t="s">
        <v>4</v>
      </c>
      <c r="B89" s="33" t="s">
        <v>16</v>
      </c>
      <c r="C89" s="32"/>
      <c r="D89" s="32">
        <f t="shared" si="24"/>
        <v>14526175599.304583</v>
      </c>
      <c r="E89" s="31">
        <f t="shared" si="22"/>
        <v>0</v>
      </c>
      <c r="F89" s="30">
        <f t="shared" si="23"/>
        <v>70409730.614653349</v>
      </c>
      <c r="G89" s="32"/>
      <c r="H89" s="63" cm="1">
        <f t="array" ref="H89:H91">TRANSPOSE(S53:U53)</f>
        <v>-70409730.614653349</v>
      </c>
    </row>
    <row r="90" spans="1:8" x14ac:dyDescent="0.3">
      <c r="A90" s="33"/>
      <c r="B90" s="33" t="s">
        <v>31</v>
      </c>
      <c r="C90" s="32"/>
      <c r="D90" s="32">
        <f t="shared" si="24"/>
        <v>14526175599.304583</v>
      </c>
      <c r="E90" s="31">
        <f t="shared" si="22"/>
        <v>277006607.16130841</v>
      </c>
      <c r="F90" s="30">
        <f t="shared" si="23"/>
        <v>0</v>
      </c>
      <c r="G90" s="32"/>
      <c r="H90" s="63">
        <v>277006607.16130841</v>
      </c>
    </row>
    <row r="91" spans="1:8" x14ac:dyDescent="0.3">
      <c r="A91" s="33"/>
      <c r="B91" s="33" t="s">
        <v>50</v>
      </c>
      <c r="C91" s="32"/>
      <c r="D91" s="32">
        <f t="shared" si="24"/>
        <v>14803182206.465891</v>
      </c>
      <c r="E91" s="31">
        <f t="shared" si="22"/>
        <v>20385490.041654736</v>
      </c>
      <c r="F91" s="30">
        <f t="shared" si="23"/>
        <v>0</v>
      </c>
      <c r="G91" s="32"/>
      <c r="H91" s="63">
        <v>20385490.041654736</v>
      </c>
    </row>
    <row r="92" spans="1:8" x14ac:dyDescent="0.3">
      <c r="A92" s="33" t="s">
        <v>3</v>
      </c>
      <c r="B92" s="33" t="s">
        <v>16</v>
      </c>
      <c r="C92" s="32"/>
      <c r="D92" s="32">
        <f t="shared" si="24"/>
        <v>14628774024.809093</v>
      </c>
      <c r="E92" s="31">
        <f t="shared" si="22"/>
        <v>0</v>
      </c>
      <c r="F92" s="30">
        <f t="shared" si="23"/>
        <v>194793671.69845152</v>
      </c>
      <c r="G92" s="32"/>
      <c r="H92" s="63" cm="1">
        <f t="array" ref="H92:H94">TRANSPOSE(S54:U54)</f>
        <v>-194793671.69845152</v>
      </c>
    </row>
    <row r="93" spans="1:8" x14ac:dyDescent="0.3">
      <c r="A93" s="33"/>
      <c r="B93" s="33" t="s">
        <v>31</v>
      </c>
      <c r="C93" s="32"/>
      <c r="D93" s="32">
        <f t="shared" si="24"/>
        <v>12097310104.883961</v>
      </c>
      <c r="E93" s="31">
        <f t="shared" si="22"/>
        <v>0</v>
      </c>
      <c r="F93" s="30">
        <f t="shared" si="23"/>
        <v>2531463919.9251323</v>
      </c>
      <c r="G93" s="32"/>
      <c r="H93" s="63">
        <v>-2531463919.9251323</v>
      </c>
    </row>
    <row r="94" spans="1:8" x14ac:dyDescent="0.3">
      <c r="A94" s="33"/>
      <c r="B94" s="33" t="s">
        <v>50</v>
      </c>
      <c r="C94" s="32"/>
      <c r="D94" s="32">
        <f t="shared" si="24"/>
        <v>11491114113.23752</v>
      </c>
      <c r="E94" s="31">
        <f t="shared" si="22"/>
        <v>0</v>
      </c>
      <c r="F94" s="30">
        <f t="shared" si="23"/>
        <v>606195991.64644134</v>
      </c>
      <c r="G94" s="32"/>
      <c r="H94" s="63">
        <v>-606195991.64644134</v>
      </c>
    </row>
    <row r="95" spans="1:8" x14ac:dyDescent="0.3">
      <c r="A95" s="33" t="s">
        <v>12</v>
      </c>
      <c r="B95" s="33"/>
      <c r="C95" s="32"/>
      <c r="D95" s="32">
        <f t="shared" si="24"/>
        <v>9709923884.8462067</v>
      </c>
      <c r="E95" s="31">
        <f t="shared" si="22"/>
        <v>0</v>
      </c>
      <c r="F95" s="30">
        <f t="shared" si="23"/>
        <v>1781190228.3913143</v>
      </c>
      <c r="G95" s="32"/>
      <c r="H95" s="64">
        <f>V59</f>
        <v>-1781190228.3913143</v>
      </c>
    </row>
    <row r="96" spans="1:8" x14ac:dyDescent="0.3">
      <c r="A96" s="33" t="s">
        <v>1</v>
      </c>
      <c r="B96" s="33"/>
      <c r="C96" s="32"/>
      <c r="D96" s="32">
        <f t="shared" si="24"/>
        <v>6459492531.8550186</v>
      </c>
      <c r="E96" s="31">
        <f t="shared" si="22"/>
        <v>0</v>
      </c>
      <c r="F96" s="30">
        <f t="shared" si="23"/>
        <v>3250431352.991188</v>
      </c>
      <c r="G96" s="32"/>
      <c r="H96" s="64">
        <f>W59</f>
        <v>-3250431352.991188</v>
      </c>
    </row>
    <row r="97" spans="1:8" x14ac:dyDescent="0.3">
      <c r="A97" s="33" t="s">
        <v>107</v>
      </c>
      <c r="B97" s="33"/>
      <c r="C97" s="32"/>
      <c r="D97" s="32">
        <f t="shared" ref="D97" si="25">D96+E96-F97</f>
        <v>6459492531.8550186</v>
      </c>
      <c r="E97" s="31">
        <f t="shared" ref="E97" si="26">IF(H97&gt;0,H97,0)</f>
        <v>1001590132.144989</v>
      </c>
      <c r="F97" s="30">
        <f t="shared" ref="F97" si="27">IF(H97&lt;0,-H97,0)</f>
        <v>0</v>
      </c>
      <c r="G97" s="32"/>
      <c r="H97" s="64">
        <f>X59</f>
        <v>1001590132.144989</v>
      </c>
    </row>
    <row r="98" spans="1:8" x14ac:dyDescent="0.3">
      <c r="A98" s="49" t="str">
        <f>'BĐ-Dthu EXW'!A17</f>
        <v>TT T03</v>
      </c>
      <c r="B98" s="49"/>
      <c r="C98" s="29"/>
      <c r="D98" s="29"/>
      <c r="E98" s="31"/>
      <c r="F98" s="30"/>
      <c r="G98" s="97">
        <f>D97+E97</f>
        <v>7461082664.0000076</v>
      </c>
    </row>
    <row r="99" spans="1:8" s="21" customFormat="1" x14ac:dyDescent="0.3">
      <c r="A99" s="21" t="s">
        <v>11</v>
      </c>
      <c r="G99" s="62">
        <f>G98-C59</f>
        <v>3.337860107421875E-5</v>
      </c>
    </row>
    <row r="131" spans="1:9" x14ac:dyDescent="0.3">
      <c r="A131" s="49" t="s">
        <v>32</v>
      </c>
      <c r="B131" s="33"/>
      <c r="C131" s="33"/>
      <c r="D131" s="33"/>
      <c r="E131" s="33"/>
      <c r="F131" s="33"/>
      <c r="G131" s="33"/>
    </row>
    <row r="132" spans="1:9" x14ac:dyDescent="0.3">
      <c r="A132" s="49"/>
      <c r="B132" s="49"/>
      <c r="C132" s="49" t="s">
        <v>28</v>
      </c>
      <c r="D132" s="49" t="s">
        <v>27</v>
      </c>
      <c r="E132" s="49" t="s">
        <v>26</v>
      </c>
      <c r="F132" s="49" t="s">
        <v>25</v>
      </c>
      <c r="G132" s="49" t="s">
        <v>24</v>
      </c>
    </row>
    <row r="133" spans="1:9" x14ac:dyDescent="0.3">
      <c r="A133" s="49"/>
      <c r="B133" s="49" t="str">
        <f>A79</f>
        <v>KH T03</v>
      </c>
      <c r="C133" s="103">
        <f>B59</f>
        <v>21385803501.236717</v>
      </c>
      <c r="D133" s="51"/>
      <c r="E133" s="53"/>
      <c r="F133" s="52"/>
      <c r="G133" s="51"/>
    </row>
    <row r="134" spans="1:9" x14ac:dyDescent="0.3">
      <c r="A134" s="33"/>
      <c r="B134" s="33" t="s">
        <v>16</v>
      </c>
      <c r="C134" s="32"/>
      <c r="D134" s="32">
        <f>C133-F134</f>
        <v>21385803501.236717</v>
      </c>
      <c r="E134" s="31">
        <f>IF(H134&gt;0,H134,0)</f>
        <v>4027808247.1266541</v>
      </c>
      <c r="F134" s="30">
        <f>IF(H134&lt;0,-H134,0)</f>
        <v>0</v>
      </c>
      <c r="G134" s="32"/>
      <c r="H134" s="63">
        <f>SUMIFS($H$80:$H$96,$B$80:$B$96,$B134)</f>
        <v>4027808247.1266541</v>
      </c>
    </row>
    <row r="135" spans="1:9" x14ac:dyDescent="0.3">
      <c r="A135" s="33"/>
      <c r="B135" s="33" t="s">
        <v>31</v>
      </c>
      <c r="C135" s="32"/>
      <c r="D135" s="32">
        <f>D134+E134-F135</f>
        <v>20908065128.300999</v>
      </c>
      <c r="E135" s="31">
        <f>IF(H135&gt;0,H135,0)</f>
        <v>0</v>
      </c>
      <c r="F135" s="30">
        <f>IF(H135&lt;0,-H135,0)</f>
        <v>4505546620.0623741</v>
      </c>
      <c r="G135" s="32"/>
      <c r="H135" s="63">
        <f>SUMIFS($H$80:$H$96,$B$80:$B$96,$B135)</f>
        <v>-4505546620.0623741</v>
      </c>
    </row>
    <row r="136" spans="1:9" x14ac:dyDescent="0.3">
      <c r="A136" s="33"/>
      <c r="B136" s="33" t="s">
        <v>50</v>
      </c>
      <c r="C136" s="32"/>
      <c r="D136" s="32">
        <f>D135+E135-F136</f>
        <v>11491114113.237522</v>
      </c>
      <c r="E136" s="31">
        <f>IF(H136&gt;0,H136,0)</f>
        <v>0</v>
      </c>
      <c r="F136" s="30">
        <f>IF(H136&lt;0,-H136,0)</f>
        <v>9416951015.0634766</v>
      </c>
      <c r="G136" s="32"/>
      <c r="H136" s="63">
        <f>SUMIFS($H$80:$H$96,$B$80:$B$96,$B136)</f>
        <v>-9416951015.0634766</v>
      </c>
    </row>
    <row r="137" spans="1:9" x14ac:dyDescent="0.3">
      <c r="A137" s="33"/>
      <c r="B137" s="33" t="s">
        <v>12</v>
      </c>
      <c r="C137" s="32"/>
      <c r="D137" s="32">
        <f>D136+E136-F137</f>
        <v>9709923884.8462086</v>
      </c>
      <c r="E137" s="31">
        <f>IF(H137&gt;0,H137,0)</f>
        <v>0</v>
      </c>
      <c r="F137" s="30">
        <f>IF(H137&lt;0,-H137,0)</f>
        <v>1781190228.3913143</v>
      </c>
      <c r="G137" s="32"/>
      <c r="H137" s="64">
        <f>H95</f>
        <v>-1781190228.3913143</v>
      </c>
    </row>
    <row r="138" spans="1:9" x14ac:dyDescent="0.3">
      <c r="A138" s="33"/>
      <c r="B138" s="33" t="s">
        <v>1</v>
      </c>
      <c r="C138" s="32"/>
      <c r="D138" s="32">
        <f>D137+E137-F138</f>
        <v>7461082664.0000095</v>
      </c>
      <c r="E138" s="31">
        <f>IF(H138&gt;0,H138,0)</f>
        <v>0</v>
      </c>
      <c r="F138" s="30">
        <f>IF(H138&lt;0,-H138,0)</f>
        <v>2248841220.846199</v>
      </c>
      <c r="G138" s="32"/>
      <c r="H138" s="63">
        <f>H96+H97</f>
        <v>-2248841220.846199</v>
      </c>
      <c r="I138" t="s">
        <v>111</v>
      </c>
    </row>
    <row r="139" spans="1:9" x14ac:dyDescent="0.3">
      <c r="A139" s="49"/>
      <c r="B139" s="49" t="str">
        <f>A98</f>
        <v>TT T03</v>
      </c>
      <c r="C139" s="29"/>
      <c r="D139" s="29"/>
      <c r="E139" s="31"/>
      <c r="F139" s="30"/>
      <c r="G139" s="97">
        <f>D138+E138</f>
        <v>7461082664.0000095</v>
      </c>
    </row>
    <row r="140" spans="1:9" x14ac:dyDescent="0.3">
      <c r="A140" s="21" t="s">
        <v>11</v>
      </c>
      <c r="B140" s="21"/>
      <c r="C140" s="21"/>
      <c r="D140" s="21"/>
      <c r="E140" s="21"/>
      <c r="F140" s="21"/>
      <c r="G140" s="62">
        <f>G139-C59</f>
        <v>3.528594970703125E-5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E5ADA-2656-4A91-A925-64273137EE4F}">
  <sheetPr codeName="Sheet6"/>
  <dimension ref="B3:D48"/>
  <sheetViews>
    <sheetView zoomScale="130" zoomScaleNormal="130" workbookViewId="0">
      <selection activeCell="J18" sqref="J18"/>
    </sheetView>
  </sheetViews>
  <sheetFormatPr defaultRowHeight="14.4" x14ac:dyDescent="0.3"/>
  <cols>
    <col min="2" max="2" width="12.33203125" bestFit="1" customWidth="1"/>
    <col min="3" max="3" width="15.5546875" bestFit="1" customWidth="1"/>
  </cols>
  <sheetData>
    <row r="3" spans="2:4" x14ac:dyDescent="0.3">
      <c r="B3" s="1"/>
      <c r="C3" s="1"/>
      <c r="D3" s="156"/>
    </row>
    <row r="4" spans="2:4" x14ac:dyDescent="0.3">
      <c r="B4" s="1"/>
      <c r="C4" s="1"/>
    </row>
    <row r="5" spans="2:4" x14ac:dyDescent="0.3">
      <c r="B5" s="18"/>
      <c r="C5" s="18"/>
      <c r="D5" s="156"/>
    </row>
    <row r="6" spans="2:4" x14ac:dyDescent="0.3">
      <c r="D6" s="156"/>
    </row>
    <row r="7" spans="2:4" x14ac:dyDescent="0.3">
      <c r="D7" s="156"/>
    </row>
    <row r="8" spans="2:4" x14ac:dyDescent="0.3">
      <c r="D8" s="156"/>
    </row>
    <row r="10" spans="2:4" x14ac:dyDescent="0.3">
      <c r="D10" s="156"/>
    </row>
    <row r="13" spans="2:4" x14ac:dyDescent="0.3">
      <c r="D13" s="156"/>
    </row>
    <row r="14" spans="2:4" x14ac:dyDescent="0.3">
      <c r="D14" s="156"/>
    </row>
    <row r="15" spans="2:4" x14ac:dyDescent="0.3">
      <c r="D15" s="156"/>
    </row>
    <row r="16" spans="2:4" x14ac:dyDescent="0.3">
      <c r="D16" s="156"/>
    </row>
    <row r="17" spans="4:4" x14ac:dyDescent="0.3">
      <c r="D17" s="156"/>
    </row>
    <row r="18" spans="4:4" x14ac:dyDescent="0.3">
      <c r="D18" s="156"/>
    </row>
    <row r="20" spans="4:4" x14ac:dyDescent="0.3">
      <c r="D20" s="156"/>
    </row>
    <row r="21" spans="4:4" x14ac:dyDescent="0.3">
      <c r="D21" s="156"/>
    </row>
    <row r="22" spans="4:4" x14ac:dyDescent="0.3">
      <c r="D22" s="156"/>
    </row>
    <row r="23" spans="4:4" x14ac:dyDescent="0.3">
      <c r="D23" s="156"/>
    </row>
    <row r="24" spans="4:4" x14ac:dyDescent="0.3">
      <c r="D24" s="156"/>
    </row>
    <row r="26" spans="4:4" x14ac:dyDescent="0.3">
      <c r="D26" s="156"/>
    </row>
    <row r="27" spans="4:4" x14ac:dyDescent="0.3">
      <c r="D27" s="156"/>
    </row>
    <row r="28" spans="4:4" x14ac:dyDescent="0.3">
      <c r="D28" s="156"/>
    </row>
    <row r="29" spans="4:4" x14ac:dyDescent="0.3">
      <c r="D29" s="156"/>
    </row>
    <row r="30" spans="4:4" x14ac:dyDescent="0.3">
      <c r="D30" s="156"/>
    </row>
    <row r="31" spans="4:4" x14ac:dyDescent="0.3">
      <c r="D31" s="156"/>
    </row>
    <row r="32" spans="4:4" x14ac:dyDescent="0.3">
      <c r="D32" s="156"/>
    </row>
    <row r="33" spans="4:4" x14ac:dyDescent="0.3">
      <c r="D33" s="156"/>
    </row>
    <row r="34" spans="4:4" x14ac:dyDescent="0.3">
      <c r="D34" s="156"/>
    </row>
    <row r="37" spans="4:4" x14ac:dyDescent="0.3">
      <c r="D37" s="156"/>
    </row>
    <row r="39" spans="4:4" x14ac:dyDescent="0.3">
      <c r="D39" s="156"/>
    </row>
    <row r="46" spans="4:4" x14ac:dyDescent="0.3">
      <c r="D46" s="156"/>
    </row>
    <row r="48" spans="4:4" x14ac:dyDescent="0.3">
      <c r="D48" s="15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4715-424D-49FD-B33A-9ADC6BCE7A8C}">
  <sheetPr>
    <tabColor rgb="FFC00000"/>
  </sheetPr>
  <dimension ref="A1:U62"/>
  <sheetViews>
    <sheetView showGridLines="0" topLeftCell="A10" zoomScale="115" zoomScaleNormal="115" workbookViewId="0">
      <selection activeCell="N43" sqref="N43"/>
    </sheetView>
  </sheetViews>
  <sheetFormatPr defaultRowHeight="14.4" x14ac:dyDescent="0.3"/>
  <cols>
    <col min="1" max="1" width="22.44140625" bestFit="1" customWidth="1"/>
    <col min="2" max="2" width="10.109375" customWidth="1"/>
    <col min="3" max="3" width="16.88671875" bestFit="1" customWidth="1"/>
    <col min="4" max="4" width="10.109375" bestFit="1" customWidth="1"/>
    <col min="8" max="8" width="11.6640625" customWidth="1"/>
    <col min="9" max="9" width="10.5546875" customWidth="1"/>
    <col min="10" max="10" width="11.109375" customWidth="1"/>
    <col min="11" max="11" width="16.88671875" bestFit="1" customWidth="1"/>
    <col min="12" max="12" width="17.109375" bestFit="1" customWidth="1"/>
    <col min="13" max="13" width="18" bestFit="1" customWidth="1"/>
    <col min="14" max="14" width="15.5546875" bestFit="1" customWidth="1"/>
  </cols>
  <sheetData>
    <row r="1" spans="1:14" x14ac:dyDescent="0.3">
      <c r="A1">
        <v>-1</v>
      </c>
    </row>
    <row r="2" spans="1:14" x14ac:dyDescent="0.3">
      <c r="A2" s="155" t="s">
        <v>86</v>
      </c>
      <c r="B2" s="154" t="s">
        <v>9</v>
      </c>
      <c r="C2" s="154" t="s">
        <v>8</v>
      </c>
      <c r="D2" s="154" t="s">
        <v>62</v>
      </c>
      <c r="E2" s="154" t="s">
        <v>61</v>
      </c>
      <c r="K2" s="33"/>
      <c r="L2" s="33" t="s">
        <v>9</v>
      </c>
      <c r="M2" s="114" t="s">
        <v>8</v>
      </c>
    </row>
    <row r="3" spans="1:14" x14ac:dyDescent="0.3">
      <c r="A3" s="153" t="s">
        <v>83</v>
      </c>
      <c r="B3" s="152">
        <f>'BĐ-LG EXW'!C3-('BĐ-LG EXW'!C27-'BĐ-LG EXW'!C28)</f>
        <v>17728411699.570045</v>
      </c>
      <c r="C3" s="152">
        <f>'BĐ-LG EXW'!G22-('BĐ-LG EXW'!G27-'BĐ-LG EXW'!G28)</f>
        <v>2878088828.0000286</v>
      </c>
      <c r="D3" s="151">
        <f t="shared" ref="D3:D11" si="0">C3-B3</f>
        <v>-14850322871.570017</v>
      </c>
      <c r="E3" s="6">
        <f t="shared" ref="E3:E11" si="1">IFERROR(D3/B3,0)</f>
        <v>-0.8376567017523725</v>
      </c>
      <c r="K3" s="33" t="s">
        <v>84</v>
      </c>
      <c r="L3" s="114">
        <v>5063579812.0372343</v>
      </c>
      <c r="M3" s="114">
        <v>-6665406624</v>
      </c>
      <c r="N3" s="18"/>
    </row>
    <row r="4" spans="1:14" x14ac:dyDescent="0.3">
      <c r="A4" s="33" t="s">
        <v>82</v>
      </c>
      <c r="B4" s="150">
        <v>-943473064</v>
      </c>
      <c r="C4" s="150">
        <v>-1662701952</v>
      </c>
      <c r="D4" s="150">
        <f t="shared" si="0"/>
        <v>-719228888</v>
      </c>
      <c r="E4" s="6">
        <f t="shared" si="1"/>
        <v>0.7623205319192875</v>
      </c>
      <c r="K4" s="291" t="s">
        <v>11</v>
      </c>
      <c r="L4" s="292">
        <f>L3-B11</f>
        <v>-0.12642288208007813</v>
      </c>
      <c r="M4" s="292">
        <f>M3-C11</f>
        <v>-2.86102294921875E-5</v>
      </c>
    </row>
    <row r="5" spans="1:14" x14ac:dyDescent="0.3">
      <c r="A5" s="33" t="s">
        <v>81</v>
      </c>
      <c r="B5" s="150">
        <v>-7598269672.2063799</v>
      </c>
      <c r="C5" s="150">
        <v>-7329810589</v>
      </c>
      <c r="D5" s="150">
        <f t="shared" si="0"/>
        <v>268459083.20637989</v>
      </c>
      <c r="E5" s="6">
        <f t="shared" si="1"/>
        <v>-3.5331607693311173E-2</v>
      </c>
    </row>
    <row r="6" spans="1:14" x14ac:dyDescent="0.3">
      <c r="A6" s="33" t="s">
        <v>80</v>
      </c>
      <c r="B6" s="150">
        <v>-2754845108.8531456</v>
      </c>
      <c r="C6" s="150">
        <v>-959718564</v>
      </c>
      <c r="D6" s="150">
        <f t="shared" si="0"/>
        <v>1795126544.8531456</v>
      </c>
      <c r="E6" s="6">
        <f t="shared" si="1"/>
        <v>-0.65162521808729379</v>
      </c>
    </row>
    <row r="7" spans="1:14" x14ac:dyDescent="0.3">
      <c r="A7" s="33" t="s">
        <v>79</v>
      </c>
      <c r="B7" s="150"/>
      <c r="C7" s="150">
        <v>-59018048</v>
      </c>
      <c r="D7" s="150">
        <f t="shared" si="0"/>
        <v>-59018048</v>
      </c>
      <c r="E7" s="6">
        <f t="shared" si="1"/>
        <v>0</v>
      </c>
    </row>
    <row r="8" spans="1:14" x14ac:dyDescent="0.3">
      <c r="A8" s="33" t="s">
        <v>78</v>
      </c>
      <c r="B8" s="150"/>
      <c r="C8" s="150">
        <v>347548135</v>
      </c>
      <c r="D8" s="150">
        <f t="shared" si="0"/>
        <v>347548135</v>
      </c>
      <c r="E8" s="6">
        <f t="shared" si="1"/>
        <v>0</v>
      </c>
    </row>
    <row r="9" spans="1:14" x14ac:dyDescent="0.3">
      <c r="A9" s="33" t="s">
        <v>85</v>
      </c>
      <c r="B9" s="150">
        <v>-433624999.99999994</v>
      </c>
      <c r="C9" s="150">
        <v>-32855301</v>
      </c>
      <c r="D9" s="150">
        <f t="shared" si="0"/>
        <v>400769698.99999994</v>
      </c>
      <c r="E9" s="6">
        <f t="shared" si="1"/>
        <v>-0.92423107293168061</v>
      </c>
      <c r="G9" s="145"/>
      <c r="H9" s="145"/>
    </row>
    <row r="10" spans="1:14" ht="15" thickBot="1" x14ac:dyDescent="0.35">
      <c r="A10" s="33" t="s">
        <v>76</v>
      </c>
      <c r="B10" s="150">
        <v>-934619042.34686375</v>
      </c>
      <c r="C10" s="150">
        <v>153060867</v>
      </c>
      <c r="D10" s="150">
        <f t="shared" si="0"/>
        <v>1087679909.3468637</v>
      </c>
      <c r="E10" s="6">
        <f t="shared" si="1"/>
        <v>-1.1637681879620796</v>
      </c>
      <c r="G10" s="95"/>
      <c r="H10" s="6"/>
    </row>
    <row r="11" spans="1:14" ht="15" thickBot="1" x14ac:dyDescent="0.35">
      <c r="A11" s="149" t="s">
        <v>84</v>
      </c>
      <c r="B11" s="148">
        <f>SUM(B3:B10)</f>
        <v>5063579812.1636572</v>
      </c>
      <c r="C11" s="148">
        <f>SUM(C3:C10)</f>
        <v>-6665406623.9999714</v>
      </c>
      <c r="D11" s="148">
        <f t="shared" si="0"/>
        <v>-11728986436.163628</v>
      </c>
      <c r="E11" s="2">
        <f t="shared" si="1"/>
        <v>-2.3163427597188115</v>
      </c>
    </row>
    <row r="14" spans="1:14" x14ac:dyDescent="0.3">
      <c r="A14" s="36"/>
      <c r="B14" s="54" t="s">
        <v>28</v>
      </c>
      <c r="C14" s="54" t="s">
        <v>27</v>
      </c>
      <c r="D14" s="54" t="s">
        <v>26</v>
      </c>
      <c r="E14" s="54" t="s">
        <v>25</v>
      </c>
      <c r="F14" s="54" t="s">
        <v>24</v>
      </c>
      <c r="I14" s="54" t="s">
        <v>26</v>
      </c>
      <c r="J14" s="54" t="s">
        <v>25</v>
      </c>
      <c r="K14" s="224" t="s">
        <v>117</v>
      </c>
    </row>
    <row r="15" spans="1:14" s="50" customFormat="1" x14ac:dyDescent="0.3">
      <c r="A15" s="102" t="str">
        <f>'BĐ-Dthu EXW'!A3</f>
        <v>KH T03</v>
      </c>
      <c r="B15" s="218">
        <f>B11</f>
        <v>5063579812.1636572</v>
      </c>
      <c r="C15" s="219"/>
      <c r="D15" s="219"/>
      <c r="E15" s="219"/>
      <c r="F15" s="219"/>
    </row>
    <row r="16" spans="1:14" x14ac:dyDescent="0.3">
      <c r="A16" s="36" t="s">
        <v>83</v>
      </c>
      <c r="B16" s="147"/>
      <c r="C16" s="146"/>
      <c r="D16" s="146">
        <f>B15</f>
        <v>5063579812.1636572</v>
      </c>
      <c r="E16" s="146">
        <f>G16+D16</f>
        <v>-9786743059.4063606</v>
      </c>
      <c r="F16" s="147"/>
      <c r="G16" s="145">
        <f t="shared" ref="G16:G23" si="2">D3</f>
        <v>-14850322871.570017</v>
      </c>
      <c r="H16" s="145">
        <f>B15+G16</f>
        <v>-9786743059.4063606</v>
      </c>
      <c r="I16" s="31">
        <f>IF(G16&gt;0,G16,0)</f>
        <v>0</v>
      </c>
      <c r="J16" s="30">
        <f>IF(G16&lt;0,-G16,0)</f>
        <v>14850322871.570017</v>
      </c>
      <c r="K16" s="225">
        <f>SUM($B$15,G$16:G16)</f>
        <v>-9786743059.4063606</v>
      </c>
    </row>
    <row r="17" spans="1:11" x14ac:dyDescent="0.3">
      <c r="A17" s="36" t="s">
        <v>82</v>
      </c>
      <c r="B17" s="147"/>
      <c r="C17" s="146">
        <f>E16</f>
        <v>-9786743059.4063606</v>
      </c>
      <c r="D17" s="146"/>
      <c r="E17" s="146">
        <f>G17</f>
        <v>-719228888</v>
      </c>
      <c r="F17" s="147"/>
      <c r="G17" s="145">
        <f t="shared" si="2"/>
        <v>-719228888</v>
      </c>
      <c r="H17" s="145">
        <f t="shared" ref="H17:H23" si="3">H16+G17</f>
        <v>-10505971947.406361</v>
      </c>
      <c r="I17" s="31">
        <f t="shared" ref="I17:I23" si="4">IF(G17&gt;0,G17,0)</f>
        <v>0</v>
      </c>
      <c r="J17" s="30">
        <f t="shared" ref="J17:J23" si="5">IF(G17&lt;0,-G17,0)</f>
        <v>719228888</v>
      </c>
      <c r="K17" s="225">
        <f>SUM($B$15,G$16:G17)</f>
        <v>-10505971947.406361</v>
      </c>
    </row>
    <row r="18" spans="1:11" x14ac:dyDescent="0.3">
      <c r="A18" s="36" t="s">
        <v>81</v>
      </c>
      <c r="B18" s="147"/>
      <c r="C18" s="146">
        <f>C17+E17-D18</f>
        <v>-10237512864.199982</v>
      </c>
      <c r="D18" s="146">
        <f>-G18</f>
        <v>-268459083.20637989</v>
      </c>
      <c r="E18" s="146"/>
      <c r="F18" s="147"/>
      <c r="G18" s="145">
        <f t="shared" si="2"/>
        <v>268459083.20637989</v>
      </c>
      <c r="H18" s="145">
        <f t="shared" si="3"/>
        <v>-10237512864.199982</v>
      </c>
      <c r="I18" s="31">
        <f t="shared" si="4"/>
        <v>268459083.20637989</v>
      </c>
      <c r="J18" s="30">
        <f t="shared" si="5"/>
        <v>0</v>
      </c>
      <c r="K18" s="225">
        <f>SUM($B$15,G$16:G18)</f>
        <v>-10237512864.199982</v>
      </c>
    </row>
    <row r="19" spans="1:11" x14ac:dyDescent="0.3">
      <c r="A19" s="36" t="s">
        <v>80</v>
      </c>
      <c r="B19" s="147"/>
      <c r="C19" s="146">
        <f>C18-D19</f>
        <v>-8442386319.3468361</v>
      </c>
      <c r="D19" s="146">
        <f>-G19</f>
        <v>-1795126544.8531456</v>
      </c>
      <c r="E19" s="146"/>
      <c r="F19" s="147"/>
      <c r="G19" s="145">
        <f t="shared" si="2"/>
        <v>1795126544.8531456</v>
      </c>
      <c r="H19" s="145">
        <f t="shared" si="3"/>
        <v>-8442386319.3468361</v>
      </c>
      <c r="I19" s="31">
        <f t="shared" si="4"/>
        <v>1795126544.8531456</v>
      </c>
      <c r="J19" s="30">
        <f t="shared" si="5"/>
        <v>0</v>
      </c>
      <c r="K19" s="225">
        <f>SUM($B$15,G$16:G19)</f>
        <v>-8442386319.3468361</v>
      </c>
    </row>
    <row r="20" spans="1:11" x14ac:dyDescent="0.3">
      <c r="A20" s="36" t="s">
        <v>79</v>
      </c>
      <c r="B20" s="147"/>
      <c r="C20" s="146">
        <f>C19</f>
        <v>-8442386319.3468361</v>
      </c>
      <c r="D20" s="146"/>
      <c r="E20" s="146">
        <f>G20</f>
        <v>-59018048</v>
      </c>
      <c r="F20" s="147"/>
      <c r="G20" s="145">
        <f t="shared" si="2"/>
        <v>-59018048</v>
      </c>
      <c r="H20" s="145">
        <f t="shared" si="3"/>
        <v>-8501404367.3468361</v>
      </c>
      <c r="I20" s="31">
        <f t="shared" si="4"/>
        <v>0</v>
      </c>
      <c r="J20" s="30">
        <f t="shared" si="5"/>
        <v>59018048</v>
      </c>
      <c r="K20" s="225">
        <f>SUM($B$15,G$16:G20)</f>
        <v>-8501404367.3468361</v>
      </c>
    </row>
    <row r="21" spans="1:11" x14ac:dyDescent="0.3">
      <c r="A21" s="36" t="s">
        <v>78</v>
      </c>
      <c r="B21" s="147"/>
      <c r="C21" s="146">
        <f>C20+E20-D21</f>
        <v>-8153856232.3468361</v>
      </c>
      <c r="D21" s="146">
        <f>-G21</f>
        <v>-347548135</v>
      </c>
      <c r="E21" s="146"/>
      <c r="F21" s="147"/>
      <c r="G21" s="145">
        <f t="shared" si="2"/>
        <v>347548135</v>
      </c>
      <c r="H21" s="145">
        <f t="shared" si="3"/>
        <v>-8153856232.3468361</v>
      </c>
      <c r="I21" s="31">
        <f t="shared" si="4"/>
        <v>347548135</v>
      </c>
      <c r="J21" s="30">
        <f t="shared" si="5"/>
        <v>0</v>
      </c>
      <c r="K21" s="225">
        <f>SUM($B$15,G$16:G21)</f>
        <v>-8153856232.3468361</v>
      </c>
    </row>
    <row r="22" spans="1:11" x14ac:dyDescent="0.3">
      <c r="A22" s="36" t="s">
        <v>77</v>
      </c>
      <c r="B22" s="147"/>
      <c r="C22" s="146">
        <f>C21+E21-D22</f>
        <v>-7753086533.3468361</v>
      </c>
      <c r="D22" s="146">
        <f>-G22</f>
        <v>-400769698.99999994</v>
      </c>
      <c r="E22" s="146"/>
      <c r="F22" s="147"/>
      <c r="G22" s="145">
        <f t="shared" si="2"/>
        <v>400769698.99999994</v>
      </c>
      <c r="H22" s="145">
        <f t="shared" si="3"/>
        <v>-7753086533.3468361</v>
      </c>
      <c r="I22" s="31">
        <f t="shared" si="4"/>
        <v>400769698.99999994</v>
      </c>
      <c r="J22" s="30">
        <f t="shared" si="5"/>
        <v>0</v>
      </c>
      <c r="K22" s="225">
        <f>SUM($B$15,G$16:G22)</f>
        <v>-7753086533.3468361</v>
      </c>
    </row>
    <row r="23" spans="1:11" x14ac:dyDescent="0.3">
      <c r="A23" s="36" t="s">
        <v>76</v>
      </c>
      <c r="B23" s="147"/>
      <c r="C23" s="146">
        <f>C22+E22-D23</f>
        <v>-6665406623.9999723</v>
      </c>
      <c r="D23" s="146">
        <f>-G23</f>
        <v>-1087679909.3468637</v>
      </c>
      <c r="E23" s="146"/>
      <c r="F23" s="147"/>
      <c r="G23" s="145">
        <f t="shared" si="2"/>
        <v>1087679909.3468637</v>
      </c>
      <c r="H23" s="145">
        <f t="shared" si="3"/>
        <v>-6665406623.9999723</v>
      </c>
      <c r="I23" s="31">
        <f t="shared" si="4"/>
        <v>1087679909.3468637</v>
      </c>
      <c r="J23" s="30">
        <f t="shared" si="5"/>
        <v>0</v>
      </c>
      <c r="K23" s="225">
        <f>SUM($B$15,G$16:G23)</f>
        <v>-6665406623.9999723</v>
      </c>
    </row>
    <row r="24" spans="1:11" s="50" customFormat="1" x14ac:dyDescent="0.3">
      <c r="A24" s="102" t="str">
        <f>'BĐ-Dthu EXW'!A17</f>
        <v>TT T03</v>
      </c>
      <c r="B24" s="219"/>
      <c r="C24" s="220"/>
      <c r="D24" s="220"/>
      <c r="E24" s="220"/>
      <c r="F24" s="218">
        <f>C23</f>
        <v>-6665406623.9999723</v>
      </c>
    </row>
    <row r="25" spans="1:11" x14ac:dyDescent="0.3">
      <c r="F25" s="145">
        <f>F24-C11</f>
        <v>0</v>
      </c>
    </row>
    <row r="27" spans="1:11" x14ac:dyDescent="0.3">
      <c r="A27" s="36" t="s">
        <v>75</v>
      </c>
      <c r="B27" s="146">
        <f>'BĐ-Dthu EXW'!C3</f>
        <v>141599491827.82724</v>
      </c>
      <c r="C27" s="146">
        <f>'BĐ-Dthu EXW'!G17</f>
        <v>173305822529.00003</v>
      </c>
    </row>
    <row r="28" spans="1:11" x14ac:dyDescent="0.3">
      <c r="B28" s="6">
        <f>B11/B27</f>
        <v>3.575987277073376E-2</v>
      </c>
      <c r="C28" s="6">
        <f>C11/C27</f>
        <v>-3.8460373268097321E-2</v>
      </c>
    </row>
    <row r="33" spans="21:21" x14ac:dyDescent="0.3">
      <c r="U33" s="6"/>
    </row>
    <row r="58" spans="2:3" x14ac:dyDescent="0.3">
      <c r="B58" s="33" t="s">
        <v>58</v>
      </c>
      <c r="C58" s="189">
        <v>-22184183115.313801</v>
      </c>
    </row>
    <row r="59" spans="2:3" x14ac:dyDescent="0.3">
      <c r="B59" s="33" t="s">
        <v>57</v>
      </c>
      <c r="C59" s="114">
        <v>-19275836708.89616</v>
      </c>
    </row>
    <row r="61" spans="2:3" x14ac:dyDescent="0.3">
      <c r="B61" s="33" t="s">
        <v>100</v>
      </c>
      <c r="C61" s="189">
        <v>-14265744972.55619</v>
      </c>
    </row>
    <row r="62" spans="2:3" x14ac:dyDescent="0.3">
      <c r="B62" s="33" t="s">
        <v>101</v>
      </c>
      <c r="C62" s="114">
        <v>-12395505806.654074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7E36-0476-4C4B-9A90-B98FBAD94D72}">
  <sheetPr codeName="Sheet7">
    <tabColor rgb="FFC00000"/>
  </sheetPr>
  <dimension ref="A2:G25"/>
  <sheetViews>
    <sheetView showGridLines="0" zoomScale="115" zoomScaleNormal="115" workbookViewId="0">
      <selection activeCell="E37" sqref="E37"/>
    </sheetView>
  </sheetViews>
  <sheetFormatPr defaultRowHeight="14.4" x14ac:dyDescent="0.3"/>
  <cols>
    <col min="1" max="1" width="4.109375" bestFit="1" customWidth="1"/>
    <col min="2" max="2" width="51.109375" bestFit="1" customWidth="1"/>
    <col min="3" max="3" width="17.6640625" customWidth="1"/>
    <col min="4" max="4" width="17.6640625" bestFit="1" customWidth="1"/>
    <col min="5" max="5" width="80.33203125" bestFit="1" customWidth="1"/>
    <col min="6" max="6" width="67.88671875" customWidth="1"/>
    <col min="7" max="7" width="9.6640625" bestFit="1" customWidth="1"/>
  </cols>
  <sheetData>
    <row r="2" spans="1:7" x14ac:dyDescent="0.3">
      <c r="C2" s="159" t="s">
        <v>91</v>
      </c>
      <c r="D2" s="160">
        <v>0</v>
      </c>
    </row>
    <row r="3" spans="1:7" x14ac:dyDescent="0.3">
      <c r="A3" s="163" t="s">
        <v>92</v>
      </c>
      <c r="B3" s="161" t="s">
        <v>93</v>
      </c>
      <c r="C3" s="162" t="s">
        <v>89</v>
      </c>
      <c r="D3" s="162" t="s">
        <v>84</v>
      </c>
      <c r="E3" s="163" t="s">
        <v>90</v>
      </c>
    </row>
    <row r="4" spans="1:7" x14ac:dyDescent="0.3">
      <c r="A4" s="226">
        <v>1</v>
      </c>
      <c r="B4" s="227" t="s">
        <v>118</v>
      </c>
      <c r="C4" s="228">
        <v>-3273353777.1722565</v>
      </c>
      <c r="D4" s="229">
        <f t="shared" ref="D4:D9" si="0">C4*(1-$D$2)</f>
        <v>-3273353777.1722565</v>
      </c>
      <c r="E4" s="227" t="s">
        <v>119</v>
      </c>
    </row>
    <row r="5" spans="1:7" x14ac:dyDescent="0.3">
      <c r="A5" s="230">
        <f>A4+1</f>
        <v>2</v>
      </c>
      <c r="B5" s="231" t="s">
        <v>120</v>
      </c>
      <c r="C5" s="232">
        <v>-3399572956.9529305</v>
      </c>
      <c r="D5" s="229">
        <f t="shared" si="0"/>
        <v>-3399572956.9529305</v>
      </c>
      <c r="E5" s="227" t="s">
        <v>121</v>
      </c>
    </row>
    <row r="6" spans="1:7" x14ac:dyDescent="0.3">
      <c r="A6" s="230">
        <f>A5+1</f>
        <v>3</v>
      </c>
      <c r="B6" s="231" t="s">
        <v>122</v>
      </c>
      <c r="C6" s="232">
        <v>-787956466</v>
      </c>
      <c r="D6" s="229">
        <f t="shared" si="0"/>
        <v>-787956466</v>
      </c>
      <c r="E6" s="231"/>
    </row>
    <row r="7" spans="1:7" x14ac:dyDescent="0.3">
      <c r="A7" s="230">
        <f t="shared" ref="A7:A10" si="1">A6+1</f>
        <v>4</v>
      </c>
      <c r="B7" s="231" t="s">
        <v>123</v>
      </c>
      <c r="C7" s="232">
        <v>-592294567</v>
      </c>
      <c r="D7" s="229">
        <f t="shared" si="0"/>
        <v>-592294567</v>
      </c>
      <c r="E7" s="231"/>
    </row>
    <row r="8" spans="1:7" x14ac:dyDescent="0.3">
      <c r="A8" s="233">
        <f>A7+1</f>
        <v>5</v>
      </c>
      <c r="B8" s="234" t="s">
        <v>124</v>
      </c>
      <c r="C8" s="235">
        <v>-1737340411.1013689</v>
      </c>
      <c r="D8" s="229">
        <f>C8*(1-$D$2)</f>
        <v>-1737340411.1013689</v>
      </c>
      <c r="E8" s="234"/>
    </row>
    <row r="9" spans="1:7" ht="15" thickBot="1" x14ac:dyDescent="0.35">
      <c r="A9" s="236">
        <f>A8+1</f>
        <v>6</v>
      </c>
      <c r="B9" s="237" t="s">
        <v>125</v>
      </c>
      <c r="C9" s="238">
        <v>-1113447612</v>
      </c>
      <c r="D9" s="239">
        <f t="shared" si="0"/>
        <v>-1113447612</v>
      </c>
      <c r="E9" s="237"/>
      <c r="G9" s="1"/>
    </row>
    <row r="10" spans="1:7" ht="15" thickBot="1" x14ac:dyDescent="0.35">
      <c r="A10" s="164">
        <f t="shared" si="1"/>
        <v>7</v>
      </c>
      <c r="B10" s="165" t="s">
        <v>0</v>
      </c>
      <c r="C10" s="166">
        <f>SUM(C4:C9)</f>
        <v>-10903965790.226555</v>
      </c>
      <c r="D10" s="166">
        <f>SUM(D4:D9)</f>
        <v>-10903965790.226555</v>
      </c>
      <c r="E10" s="166"/>
    </row>
    <row r="22" spans="2:3" x14ac:dyDescent="0.3">
      <c r="B22" s="49" t="s">
        <v>84</v>
      </c>
      <c r="C22" s="33"/>
    </row>
    <row r="23" spans="2:3" x14ac:dyDescent="0.3">
      <c r="B23" s="33" t="s">
        <v>126</v>
      </c>
      <c r="C23" s="114">
        <v>5063579812.0372343</v>
      </c>
    </row>
    <row r="24" spans="2:3" x14ac:dyDescent="0.3">
      <c r="B24" s="33" t="s">
        <v>127</v>
      </c>
      <c r="C24" s="114">
        <v>-6665406624</v>
      </c>
    </row>
    <row r="25" spans="2:3" x14ac:dyDescent="0.3">
      <c r="B25" s="240" t="s">
        <v>128</v>
      </c>
      <c r="C25" s="241">
        <f>C24-C23</f>
        <v>-11728986436.037235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AFDD2-59A5-40AE-9A10-71A2E5E7B7B7}">
  <dimension ref="B1:N46"/>
  <sheetViews>
    <sheetView tabSelected="1" zoomScale="130" zoomScaleNormal="130" workbookViewId="0">
      <selection activeCell="G30" sqref="G30"/>
    </sheetView>
  </sheetViews>
  <sheetFormatPr defaultColWidth="8.6640625" defaultRowHeight="14.4" x14ac:dyDescent="0.3"/>
  <cols>
    <col min="1" max="1" width="2.6640625" style="244" customWidth="1"/>
    <col min="2" max="2" width="5.33203125" style="244" customWidth="1"/>
    <col min="3" max="3" width="26.77734375" style="244" customWidth="1"/>
    <col min="4" max="4" width="21.6640625" style="244" customWidth="1"/>
    <col min="5" max="5" width="11.21875" style="244" customWidth="1"/>
    <col min="6" max="6" width="10.44140625" style="244" customWidth="1"/>
    <col min="7" max="7" width="14.44140625" style="244" customWidth="1"/>
    <col min="8" max="8" width="9.6640625" style="244" customWidth="1"/>
    <col min="9" max="9" width="13.88671875" style="244" customWidth="1"/>
    <col min="10" max="10" width="15.6640625" style="244" customWidth="1"/>
    <col min="11" max="11" width="9.109375" style="244" customWidth="1"/>
    <col min="12" max="12" width="13.44140625" style="244" customWidth="1"/>
    <col min="13" max="13" width="11.88671875" style="244" customWidth="1"/>
    <col min="14" max="14" width="10" style="244" customWidth="1"/>
    <col min="15" max="16384" width="8.6640625" style="244"/>
  </cols>
  <sheetData>
    <row r="1" spans="2:14" s="293" customFormat="1" x14ac:dyDescent="0.3">
      <c r="B1" s="293" t="s">
        <v>177</v>
      </c>
      <c r="C1" s="293" t="s">
        <v>177</v>
      </c>
      <c r="D1" s="293" t="s">
        <v>177</v>
      </c>
      <c r="E1" s="293" t="s">
        <v>177</v>
      </c>
      <c r="F1" s="293" t="s">
        <v>177</v>
      </c>
      <c r="G1" s="293" t="s">
        <v>177</v>
      </c>
      <c r="K1" s="293" t="s">
        <v>177</v>
      </c>
    </row>
    <row r="2" spans="2:14" ht="18" x14ac:dyDescent="0.35">
      <c r="B2" s="243" t="s">
        <v>175</v>
      </c>
    </row>
    <row r="3" spans="2:14" s="248" customFormat="1" x14ac:dyDescent="0.3">
      <c r="B3" s="245"/>
      <c r="C3" s="245"/>
      <c r="D3" s="246"/>
      <c r="E3" s="245" t="s">
        <v>193</v>
      </c>
      <c r="F3" s="247" t="s">
        <v>132</v>
      </c>
      <c r="G3" s="246" t="s">
        <v>195</v>
      </c>
      <c r="H3" s="245" t="s">
        <v>132</v>
      </c>
      <c r="I3" s="247" t="s">
        <v>194</v>
      </c>
      <c r="J3" s="247" t="s">
        <v>194</v>
      </c>
      <c r="K3" s="246"/>
      <c r="L3" s="245" t="s">
        <v>194</v>
      </c>
      <c r="M3" s="247" t="s">
        <v>194</v>
      </c>
      <c r="N3" s="246"/>
    </row>
    <row r="4" spans="2:14" s="249" customFormat="1" ht="43.2" x14ac:dyDescent="0.3">
      <c r="B4" s="279" t="s">
        <v>92</v>
      </c>
      <c r="C4" s="280" t="s">
        <v>133</v>
      </c>
      <c r="D4" s="281" t="s">
        <v>134</v>
      </c>
      <c r="E4" s="282" t="s">
        <v>135</v>
      </c>
      <c r="F4" s="283" t="s">
        <v>136</v>
      </c>
      <c r="G4" s="284" t="s">
        <v>108</v>
      </c>
      <c r="H4" s="285" t="s">
        <v>137</v>
      </c>
      <c r="I4" s="286" t="s">
        <v>138</v>
      </c>
      <c r="J4" s="286" t="s">
        <v>139</v>
      </c>
      <c r="K4" s="287" t="s">
        <v>140</v>
      </c>
      <c r="L4" s="288" t="s">
        <v>141</v>
      </c>
      <c r="M4" s="289" t="s">
        <v>84</v>
      </c>
      <c r="N4" s="290" t="s">
        <v>142</v>
      </c>
    </row>
    <row r="5" spans="2:14" ht="16.2" customHeight="1" x14ac:dyDescent="0.3">
      <c r="B5" s="294">
        <f>IF(C5&lt;&gt;"",SUBTOTAL(3,C$5:C5),"")</f>
        <v>1</v>
      </c>
      <c r="C5" s="295" t="s">
        <v>176</v>
      </c>
      <c r="D5" s="296" t="s">
        <v>144</v>
      </c>
      <c r="E5" s="307">
        <v>210100</v>
      </c>
      <c r="F5" s="298">
        <v>15852.337718307685</v>
      </c>
      <c r="G5" s="311">
        <v>3330576154.6164446</v>
      </c>
      <c r="H5" s="297">
        <f>F5*(1-K5)</f>
        <v>28354.80973138686</v>
      </c>
      <c r="I5" s="315">
        <f t="shared" ref="I5:I7" si="0">E5*H5</f>
        <v>5957345524.5643797</v>
      </c>
      <c r="J5" s="315">
        <f t="shared" ref="J5:J7" si="1">G5-I5</f>
        <v>-2626769369.9479351</v>
      </c>
      <c r="K5" s="299">
        <v>-0.78868317312217062</v>
      </c>
      <c r="L5" s="318">
        <f>G5*$E$45</f>
        <v>197767720.13891587</v>
      </c>
      <c r="M5" s="319">
        <f t="shared" ref="M5:M7" si="2">J5-L5</f>
        <v>-2824537090.0868511</v>
      </c>
      <c r="N5" s="300">
        <f t="shared" ref="N5:N7" si="3">M5/G5</f>
        <v>-0.84806260507564646</v>
      </c>
    </row>
    <row r="6" spans="2:14" ht="16.2" customHeight="1" x14ac:dyDescent="0.3">
      <c r="B6" s="294">
        <f>IF(C6&lt;&gt;"",SUBTOTAL(3,C$5:C6),"")</f>
        <v>2</v>
      </c>
      <c r="C6" s="295" t="s">
        <v>150</v>
      </c>
      <c r="D6" s="296" t="s">
        <v>148</v>
      </c>
      <c r="E6" s="307">
        <v>40500</v>
      </c>
      <c r="F6" s="298">
        <v>15791.665447785899</v>
      </c>
      <c r="G6" s="311">
        <v>639562450.63532889</v>
      </c>
      <c r="H6" s="297">
        <f t="shared" ref="H6:H7" si="4">F6*(1-K6)</f>
        <v>52854.634726457414</v>
      </c>
      <c r="I6" s="315">
        <f t="shared" si="0"/>
        <v>2140612706.4215252</v>
      </c>
      <c r="J6" s="315">
        <f t="shared" si="1"/>
        <v>-1501050255.7861962</v>
      </c>
      <c r="K6" s="299">
        <v>-2.3469955972166319</v>
      </c>
      <c r="L6" s="318">
        <f>G6*$E$45</f>
        <v>37976855.017498657</v>
      </c>
      <c r="M6" s="319">
        <f t="shared" si="2"/>
        <v>-1539027110.803695</v>
      </c>
      <c r="N6" s="300">
        <f t="shared" si="3"/>
        <v>-2.4063750291701074</v>
      </c>
    </row>
    <row r="7" spans="2:14" ht="16.2" customHeight="1" x14ac:dyDescent="0.3">
      <c r="B7" s="294">
        <f>IF(C7&lt;&gt;"",SUBTOTAL(3,C$5:C7),"")</f>
        <v>3</v>
      </c>
      <c r="C7" s="295" t="s">
        <v>178</v>
      </c>
      <c r="D7" s="296" t="s">
        <v>144</v>
      </c>
      <c r="E7" s="307">
        <v>109300</v>
      </c>
      <c r="F7" s="298">
        <v>17603.354075027913</v>
      </c>
      <c r="G7" s="311">
        <v>1924046600.4005508</v>
      </c>
      <c r="H7" s="297">
        <f t="shared" si="4"/>
        <v>28354.809731386857</v>
      </c>
      <c r="I7" s="315">
        <f t="shared" si="0"/>
        <v>3099180703.6405835</v>
      </c>
      <c r="J7" s="315">
        <f t="shared" si="1"/>
        <v>-1175134103.2400327</v>
      </c>
      <c r="K7" s="299">
        <v>-0.61076176792983672</v>
      </c>
      <c r="L7" s="318">
        <f>G7*$E$45</f>
        <v>114248794.18380071</v>
      </c>
      <c r="M7" s="319">
        <f t="shared" si="2"/>
        <v>-1289382897.4238334</v>
      </c>
      <c r="N7" s="300">
        <f t="shared" si="3"/>
        <v>-0.67014119988331244</v>
      </c>
    </row>
    <row r="8" spans="2:14" ht="16.2" customHeight="1" x14ac:dyDescent="0.3">
      <c r="B8" s="294">
        <f>IF(C8&lt;&gt;"",SUBTOTAL(3,C$5:C8),"")</f>
        <v>4</v>
      </c>
      <c r="C8" s="295" t="s">
        <v>145</v>
      </c>
      <c r="D8" s="296" t="s">
        <v>146</v>
      </c>
      <c r="E8" s="307">
        <v>154500</v>
      </c>
      <c r="F8" s="298">
        <v>16143.68932038835</v>
      </c>
      <c r="G8" s="311">
        <v>2494200000</v>
      </c>
      <c r="H8" s="297">
        <f t="shared" ref="H8:H11" si="5">F8*(1-K8)</f>
        <v>21246.656776273376</v>
      </c>
      <c r="I8" s="315">
        <f t="shared" ref="I8:I11" si="6">E8*H8</f>
        <v>3282608471.9342365</v>
      </c>
      <c r="J8" s="315">
        <f t="shared" ref="J8:J11" si="7">G8-I8</f>
        <v>-788408471.93423653</v>
      </c>
      <c r="K8" s="299">
        <v>-0.3160967331947061</v>
      </c>
      <c r="L8" s="318">
        <f t="shared" ref="L8:L11" si="8">G8*$E$45</f>
        <v>148104179.17835903</v>
      </c>
      <c r="M8" s="319">
        <f t="shared" ref="M8:M11" si="9">J8-L8</f>
        <v>-936512651.11259556</v>
      </c>
      <c r="N8" s="300">
        <f t="shared" ref="N8:N11" si="10">M8/G8</f>
        <v>-0.375476165148182</v>
      </c>
    </row>
    <row r="9" spans="2:14" ht="16.2" customHeight="1" x14ac:dyDescent="0.3">
      <c r="B9" s="294">
        <f>IF(C9&lt;&gt;"",SUBTOTAL(3,C$5:C9),"")</f>
        <v>5</v>
      </c>
      <c r="C9" s="295" t="s">
        <v>147</v>
      </c>
      <c r="D9" s="296" t="s">
        <v>148</v>
      </c>
      <c r="E9" s="307">
        <v>14250</v>
      </c>
      <c r="F9" s="298">
        <v>15996.878013232435</v>
      </c>
      <c r="G9" s="311">
        <v>227955511.68856221</v>
      </c>
      <c r="H9" s="297">
        <f t="shared" si="5"/>
        <v>52854.634726457414</v>
      </c>
      <c r="I9" s="315">
        <f t="shared" si="6"/>
        <v>753178544.85201812</v>
      </c>
      <c r="J9" s="315">
        <f t="shared" si="7"/>
        <v>-525223033.1634559</v>
      </c>
      <c r="K9" s="299">
        <v>-2.3040593722560527</v>
      </c>
      <c r="L9" s="318">
        <f t="shared" si="8"/>
        <v>13535868.79473071</v>
      </c>
      <c r="M9" s="319">
        <f t="shared" si="9"/>
        <v>-538758901.95818663</v>
      </c>
      <c r="N9" s="300">
        <f t="shared" si="10"/>
        <v>-2.3634388042095282</v>
      </c>
    </row>
    <row r="10" spans="2:14" ht="16.2" customHeight="1" x14ac:dyDescent="0.3">
      <c r="B10" s="294" t="str">
        <f>IF(C10&lt;&gt;"",SUBTOTAL(3,C$5:C10),"")</f>
        <v/>
      </c>
      <c r="C10" s="295"/>
      <c r="D10" s="296" t="s">
        <v>179</v>
      </c>
      <c r="E10" s="307">
        <v>20000</v>
      </c>
      <c r="F10" s="298">
        <v>16939.256053328183</v>
      </c>
      <c r="G10" s="311">
        <v>338785121.06656367</v>
      </c>
      <c r="H10" s="297">
        <f t="shared" si="5"/>
        <v>20383.261906976746</v>
      </c>
      <c r="I10" s="315">
        <f t="shared" si="6"/>
        <v>407665238.13953495</v>
      </c>
      <c r="J10" s="315">
        <f t="shared" si="7"/>
        <v>-68880117.072971284</v>
      </c>
      <c r="K10" s="299">
        <v>-0.20331505957558813</v>
      </c>
      <c r="L10" s="318">
        <f t="shared" si="8"/>
        <v>20116868.043222036</v>
      </c>
      <c r="M10" s="319">
        <f t="shared" si="9"/>
        <v>-88996985.116193324</v>
      </c>
      <c r="N10" s="300">
        <f t="shared" si="10"/>
        <v>-0.26269449152906399</v>
      </c>
    </row>
    <row r="11" spans="2:14" ht="16.2" customHeight="1" x14ac:dyDescent="0.3">
      <c r="B11" s="294" t="str">
        <f>IF(C11&lt;&gt;"",SUBTOTAL(3,C$5:C11),"")</f>
        <v/>
      </c>
      <c r="C11" s="295"/>
      <c r="D11" s="296" t="s">
        <v>149</v>
      </c>
      <c r="E11" s="307">
        <v>2000</v>
      </c>
      <c r="F11" s="298">
        <v>18328.144903328182</v>
      </c>
      <c r="G11" s="311">
        <v>36656289.806656368</v>
      </c>
      <c r="H11" s="297">
        <f t="shared" si="5"/>
        <v>27705.9215</v>
      </c>
      <c r="I11" s="315">
        <f t="shared" si="6"/>
        <v>55411843</v>
      </c>
      <c r="J11" s="315">
        <f t="shared" si="7"/>
        <v>-18755553.193343632</v>
      </c>
      <c r="K11" s="299">
        <v>-0.51165988953791597</v>
      </c>
      <c r="L11" s="318">
        <f t="shared" si="8"/>
        <v>2176629.666241236</v>
      </c>
      <c r="M11" s="319">
        <f t="shared" si="9"/>
        <v>-20932182.859584868</v>
      </c>
      <c r="N11" s="300">
        <f t="shared" si="10"/>
        <v>-0.57103932149139158</v>
      </c>
    </row>
    <row r="12" spans="2:14" ht="16.2" customHeight="1" x14ac:dyDescent="0.3">
      <c r="B12" s="294">
        <f>IF(C12&lt;&gt;"",SUBTOTAL(3,C$5:C12),"")</f>
        <v>6</v>
      </c>
      <c r="C12" s="295" t="s">
        <v>180</v>
      </c>
      <c r="D12" s="296" t="s">
        <v>181</v>
      </c>
      <c r="E12" s="307">
        <v>37440</v>
      </c>
      <c r="F12" s="298">
        <v>4166.6666132478631</v>
      </c>
      <c r="G12" s="311">
        <v>155999998</v>
      </c>
      <c r="H12" s="297">
        <f t="shared" ref="H12:H14" si="11">F12*(1-K12)</f>
        <v>10337.376378772111</v>
      </c>
      <c r="I12" s="315">
        <f t="shared" ref="I12:I14" si="12">E12*H12</f>
        <v>387031371.62122786</v>
      </c>
      <c r="J12" s="315">
        <f t="shared" ref="J12:J14" si="13">G12-I12</f>
        <v>-231031373.62122786</v>
      </c>
      <c r="K12" s="299">
        <v>-1.4809703627126192</v>
      </c>
      <c r="L12" s="318">
        <f t="shared" ref="L12:L14" si="14">G12*$E$45</f>
        <v>9263191.2659833413</v>
      </c>
      <c r="M12" s="319">
        <f t="shared" ref="M12:M14" si="15">J12-L12</f>
        <v>-240294564.8872112</v>
      </c>
      <c r="N12" s="300">
        <f t="shared" ref="N12:N14" si="16">M12/G12</f>
        <v>-1.5403497946660949</v>
      </c>
    </row>
    <row r="13" spans="2:14" ht="16.2" customHeight="1" x14ac:dyDescent="0.3">
      <c r="B13" s="294" t="str">
        <f>IF(C13&lt;&gt;"",SUBTOTAL(3,C$5:C13),"")</f>
        <v/>
      </c>
      <c r="C13" s="295"/>
      <c r="D13" s="296" t="s">
        <v>182</v>
      </c>
      <c r="E13" s="307">
        <v>37510</v>
      </c>
      <c r="F13" s="298">
        <v>4166.666648893628</v>
      </c>
      <c r="G13" s="311">
        <v>156291666</v>
      </c>
      <c r="H13" s="297">
        <f t="shared" si="11"/>
        <v>10232.893196572317</v>
      </c>
      <c r="I13" s="315">
        <f t="shared" si="12"/>
        <v>383835823.80342758</v>
      </c>
      <c r="J13" s="315">
        <f t="shared" si="13"/>
        <v>-227544157.80342758</v>
      </c>
      <c r="K13" s="299">
        <v>-1.4558943776530455</v>
      </c>
      <c r="L13" s="318">
        <f t="shared" si="14"/>
        <v>9280510.3461423479</v>
      </c>
      <c r="M13" s="319">
        <f t="shared" si="15"/>
        <v>-236824668.14956993</v>
      </c>
      <c r="N13" s="300">
        <f t="shared" si="16"/>
        <v>-1.5152738096065208</v>
      </c>
    </row>
    <row r="14" spans="2:14" ht="16.2" customHeight="1" x14ac:dyDescent="0.3">
      <c r="B14" s="294" t="str">
        <f>IF(C14&lt;&gt;"",SUBTOTAL(3,C$5:C14),"")</f>
        <v/>
      </c>
      <c r="C14" s="295"/>
      <c r="D14" s="296" t="s">
        <v>183</v>
      </c>
      <c r="E14" s="307">
        <v>36520</v>
      </c>
      <c r="F14" s="298">
        <v>4166.6667031763418</v>
      </c>
      <c r="G14" s="311">
        <v>152166668</v>
      </c>
      <c r="H14" s="297">
        <f t="shared" si="11"/>
        <v>8124.0787313432829</v>
      </c>
      <c r="I14" s="315">
        <f t="shared" si="12"/>
        <v>296691355.26865667</v>
      </c>
      <c r="J14" s="315">
        <f t="shared" si="13"/>
        <v>-144524687.26865667</v>
      </c>
      <c r="K14" s="299">
        <v>-0.94977887843779751</v>
      </c>
      <c r="L14" s="318">
        <f t="shared" si="14"/>
        <v>9035570.308093125</v>
      </c>
      <c r="M14" s="319">
        <f t="shared" si="15"/>
        <v>-153560257.5767498</v>
      </c>
      <c r="N14" s="300">
        <f t="shared" si="16"/>
        <v>-1.0091583103912731</v>
      </c>
    </row>
    <row r="15" spans="2:14" ht="16.2" customHeight="1" x14ac:dyDescent="0.3">
      <c r="B15" s="294">
        <f>IF(C15&lt;&gt;"",SUBTOTAL(3,C$5:C15),"")</f>
        <v>7</v>
      </c>
      <c r="C15" s="295" t="s">
        <v>151</v>
      </c>
      <c r="D15" s="296" t="s">
        <v>154</v>
      </c>
      <c r="E15" s="307">
        <v>11000</v>
      </c>
      <c r="F15" s="298">
        <v>18500</v>
      </c>
      <c r="G15" s="311">
        <v>203500000</v>
      </c>
      <c r="H15" s="297">
        <f t="shared" ref="H15:H25" si="17">F15*(1-K15)</f>
        <v>47786.684254545449</v>
      </c>
      <c r="I15" s="315">
        <f t="shared" ref="I15:I25" si="18">E15*H15</f>
        <v>525653526.79999995</v>
      </c>
      <c r="J15" s="315">
        <f t="shared" ref="J15:J25" si="19">G15-I15</f>
        <v>-322153526.79999995</v>
      </c>
      <c r="K15" s="299">
        <v>-1.5830640137592136</v>
      </c>
      <c r="L15" s="318">
        <f t="shared" ref="L15:L25" si="20">G15*$E$45</f>
        <v>12083714.4025323</v>
      </c>
      <c r="M15" s="319">
        <f t="shared" ref="M15:M25" si="21">J15-L15</f>
        <v>-334237241.20253223</v>
      </c>
      <c r="N15" s="300">
        <f t="shared" ref="N15:N25" si="22">M15/G15</f>
        <v>-1.6424434457126891</v>
      </c>
    </row>
    <row r="16" spans="2:14" ht="16.2" customHeight="1" x14ac:dyDescent="0.3">
      <c r="B16" s="294" t="str">
        <f>IF(C16&lt;&gt;"",SUBTOTAL(3,C$5:C16),"")</f>
        <v/>
      </c>
      <c r="C16" s="295"/>
      <c r="D16" s="296" t="s">
        <v>152</v>
      </c>
      <c r="E16" s="307">
        <v>38500</v>
      </c>
      <c r="F16" s="298">
        <v>18928.571428571428</v>
      </c>
      <c r="G16" s="311">
        <v>728750000</v>
      </c>
      <c r="H16" s="297">
        <f t="shared" si="17"/>
        <v>24977.832962025321</v>
      </c>
      <c r="I16" s="315">
        <f t="shared" si="18"/>
        <v>961646569.03797483</v>
      </c>
      <c r="J16" s="315">
        <f t="shared" si="19"/>
        <v>-232896569.03797483</v>
      </c>
      <c r="K16" s="299">
        <v>-0.31958362818246977</v>
      </c>
      <c r="L16" s="318">
        <f t="shared" si="20"/>
        <v>43272761.036095403</v>
      </c>
      <c r="M16" s="319">
        <f t="shared" si="21"/>
        <v>-276169330.07407022</v>
      </c>
      <c r="N16" s="300">
        <f t="shared" si="22"/>
        <v>-0.37896306013594538</v>
      </c>
    </row>
    <row r="17" spans="2:14" ht="16.2" customHeight="1" x14ac:dyDescent="0.3">
      <c r="B17" s="294" t="str">
        <f>IF(C17&lt;&gt;"",SUBTOTAL(3,C$5:C17),"")</f>
        <v/>
      </c>
      <c r="C17" s="295"/>
      <c r="D17" s="296" t="s">
        <v>153</v>
      </c>
      <c r="E17" s="307">
        <v>11000</v>
      </c>
      <c r="F17" s="298">
        <v>18500</v>
      </c>
      <c r="G17" s="311">
        <v>203500000</v>
      </c>
      <c r="H17" s="297">
        <f t="shared" si="17"/>
        <v>21943.237363636363</v>
      </c>
      <c r="I17" s="315">
        <f t="shared" si="18"/>
        <v>241375611</v>
      </c>
      <c r="J17" s="315">
        <f t="shared" si="19"/>
        <v>-37875611</v>
      </c>
      <c r="K17" s="299">
        <v>-0.18612093857493858</v>
      </c>
      <c r="L17" s="318">
        <f t="shared" si="20"/>
        <v>12083714.4025323</v>
      </c>
      <c r="M17" s="319">
        <f t="shared" si="21"/>
        <v>-49959325.402532302</v>
      </c>
      <c r="N17" s="300">
        <f t="shared" si="22"/>
        <v>-0.24550037052841425</v>
      </c>
    </row>
    <row r="18" spans="2:14" ht="16.2" customHeight="1" x14ac:dyDescent="0.3">
      <c r="B18" s="294">
        <f>IF(C18&lt;&gt;"",SUBTOTAL(3,C$5:C18),"")</f>
        <v>8</v>
      </c>
      <c r="C18" s="295" t="s">
        <v>184</v>
      </c>
      <c r="D18" s="296" t="s">
        <v>185</v>
      </c>
      <c r="E18" s="307">
        <v>77926</v>
      </c>
      <c r="F18" s="298">
        <v>11761.128413749799</v>
      </c>
      <c r="G18" s="311">
        <v>916497692.76986682</v>
      </c>
      <c r="H18" s="297">
        <f t="shared" si="17"/>
        <v>19244.965467238151</v>
      </c>
      <c r="I18" s="315">
        <f t="shared" si="18"/>
        <v>1499683179.0000002</v>
      </c>
      <c r="J18" s="315">
        <f t="shared" si="19"/>
        <v>-583185486.23013341</v>
      </c>
      <c r="K18" s="299">
        <v>-0.63631964469829994</v>
      </c>
      <c r="L18" s="318">
        <f t="shared" si="20"/>
        <v>54421112.38334576</v>
      </c>
      <c r="M18" s="319">
        <f t="shared" si="21"/>
        <v>-637606598.61347914</v>
      </c>
      <c r="N18" s="300">
        <f t="shared" si="22"/>
        <v>-0.69569907665177566</v>
      </c>
    </row>
    <row r="19" spans="2:14" ht="16.2" customHeight="1" x14ac:dyDescent="0.3">
      <c r="B19" s="294">
        <f>IF(C19&lt;&gt;"",SUBTOTAL(3,C$5:C19),"")</f>
        <v>9</v>
      </c>
      <c r="C19" s="295" t="s">
        <v>159</v>
      </c>
      <c r="D19" s="296" t="s">
        <v>154</v>
      </c>
      <c r="E19" s="307">
        <v>16500</v>
      </c>
      <c r="F19" s="298">
        <v>19455</v>
      </c>
      <c r="G19" s="311">
        <v>321007500</v>
      </c>
      <c r="H19" s="297">
        <f t="shared" si="17"/>
        <v>47786.684254545449</v>
      </c>
      <c r="I19" s="315">
        <f t="shared" si="18"/>
        <v>788480290.19999993</v>
      </c>
      <c r="J19" s="315">
        <f t="shared" si="19"/>
        <v>-467472790.19999993</v>
      </c>
      <c r="K19" s="299">
        <v>-1.4562675021611642</v>
      </c>
      <c r="L19" s="318">
        <f t="shared" si="20"/>
        <v>19061243.002805345</v>
      </c>
      <c r="M19" s="319">
        <f t="shared" si="21"/>
        <v>-486534033.20280528</v>
      </c>
      <c r="N19" s="300">
        <f t="shared" si="22"/>
        <v>-1.5156469341146399</v>
      </c>
    </row>
    <row r="20" spans="2:14" ht="16.2" customHeight="1" x14ac:dyDescent="0.3">
      <c r="B20" s="294" t="str">
        <f>IF(C20&lt;&gt;"",SUBTOTAL(3,C$5:C20),"")</f>
        <v/>
      </c>
      <c r="C20" s="295"/>
      <c r="D20" s="296" t="s">
        <v>160</v>
      </c>
      <c r="E20" s="307">
        <v>22000</v>
      </c>
      <c r="F20" s="298">
        <v>19261.363636363636</v>
      </c>
      <c r="G20" s="311">
        <v>423750000</v>
      </c>
      <c r="H20" s="297">
        <f t="shared" si="17"/>
        <v>23264.947521739123</v>
      </c>
      <c r="I20" s="315">
        <f t="shared" si="18"/>
        <v>511828845.4782607</v>
      </c>
      <c r="J20" s="315">
        <f t="shared" si="19"/>
        <v>-88078845.478260696</v>
      </c>
      <c r="K20" s="299">
        <v>-0.20785568254456815</v>
      </c>
      <c r="L20" s="318">
        <f t="shared" si="20"/>
        <v>25162034.290285319</v>
      </c>
      <c r="M20" s="319">
        <f t="shared" si="21"/>
        <v>-113240879.76854602</v>
      </c>
      <c r="N20" s="300">
        <f t="shared" si="22"/>
        <v>-0.26723511449804371</v>
      </c>
    </row>
    <row r="21" spans="2:14" ht="16.2" customHeight="1" x14ac:dyDescent="0.3">
      <c r="B21" s="294">
        <f>IF(C21&lt;&gt;"",SUBTOTAL(3,C$5:C21),"")</f>
        <v>10</v>
      </c>
      <c r="C21" s="295" t="s">
        <v>186</v>
      </c>
      <c r="D21" s="296" t="s">
        <v>144</v>
      </c>
      <c r="E21" s="307">
        <v>21000</v>
      </c>
      <c r="F21" s="298">
        <v>15852.267402935451</v>
      </c>
      <c r="G21" s="311">
        <v>332897615.46164447</v>
      </c>
      <c r="H21" s="297">
        <f t="shared" si="17"/>
        <v>28354.80973138686</v>
      </c>
      <c r="I21" s="315">
        <f t="shared" si="18"/>
        <v>595451004.35912406</v>
      </c>
      <c r="J21" s="315">
        <f t="shared" si="19"/>
        <v>-262553388.89747959</v>
      </c>
      <c r="K21" s="299">
        <v>-0.78869110712428714</v>
      </c>
      <c r="L21" s="318">
        <f t="shared" si="20"/>
        <v>19767271.30477903</v>
      </c>
      <c r="M21" s="319">
        <f t="shared" si="21"/>
        <v>-282320660.20225865</v>
      </c>
      <c r="N21" s="300">
        <f t="shared" si="22"/>
        <v>-0.84807053907776286</v>
      </c>
    </row>
    <row r="22" spans="2:14" ht="16.2" customHeight="1" x14ac:dyDescent="0.3">
      <c r="B22" s="294">
        <f>IF(C22&lt;&gt;"",SUBTOTAL(3,C$5:C22),"")</f>
        <v>11</v>
      </c>
      <c r="C22" s="295" t="s">
        <v>155</v>
      </c>
      <c r="D22" s="296" t="s">
        <v>187</v>
      </c>
      <c r="E22" s="307">
        <v>21000</v>
      </c>
      <c r="F22" s="298">
        <v>16937.182903637047</v>
      </c>
      <c r="G22" s="311">
        <v>355680840.97637796</v>
      </c>
      <c r="H22" s="297">
        <f t="shared" si="17"/>
        <v>26034.094761904766</v>
      </c>
      <c r="I22" s="315">
        <f t="shared" si="18"/>
        <v>546715990.00000012</v>
      </c>
      <c r="J22" s="315">
        <f t="shared" si="19"/>
        <v>-191035149.02362216</v>
      </c>
      <c r="K22" s="299">
        <v>-0.53709710227633367</v>
      </c>
      <c r="L22" s="318">
        <f t="shared" si="20"/>
        <v>21120126.293911837</v>
      </c>
      <c r="M22" s="319">
        <f t="shared" si="21"/>
        <v>-212155275.317534</v>
      </c>
      <c r="N22" s="300">
        <f t="shared" si="22"/>
        <v>-0.59647653422980962</v>
      </c>
    </row>
    <row r="23" spans="2:14" ht="16.2" customHeight="1" x14ac:dyDescent="0.3">
      <c r="B23" s="294">
        <f>IF(C23&lt;&gt;"",SUBTOTAL(3,C$5:C23),"")</f>
        <v>12</v>
      </c>
      <c r="C23" s="295" t="s">
        <v>158</v>
      </c>
      <c r="D23" s="296" t="s">
        <v>143</v>
      </c>
      <c r="E23" s="307">
        <v>36000</v>
      </c>
      <c r="F23" s="298">
        <v>15859.700182368259</v>
      </c>
      <c r="G23" s="311">
        <v>570949206.56525731</v>
      </c>
      <c r="H23" s="297">
        <f t="shared" si="17"/>
        <v>20292.771837837838</v>
      </c>
      <c r="I23" s="315">
        <f t="shared" si="18"/>
        <v>730539786.16216218</v>
      </c>
      <c r="J23" s="315">
        <f t="shared" si="19"/>
        <v>-159590579.59690487</v>
      </c>
      <c r="K23" s="299">
        <v>-0.27951799873228172</v>
      </c>
      <c r="L23" s="318">
        <f t="shared" si="20"/>
        <v>33902639.560132623</v>
      </c>
      <c r="M23" s="319">
        <f t="shared" si="21"/>
        <v>-193493219.1570375</v>
      </c>
      <c r="N23" s="300">
        <f t="shared" si="22"/>
        <v>-0.33889743068575745</v>
      </c>
    </row>
    <row r="24" spans="2:14" ht="16.2" customHeight="1" x14ac:dyDescent="0.3">
      <c r="B24" s="294">
        <f>IF(C24&lt;&gt;"",SUBTOTAL(3,C$5:C24),"")</f>
        <v>13</v>
      </c>
      <c r="C24" s="295" t="s">
        <v>188</v>
      </c>
      <c r="D24" s="296" t="s">
        <v>157</v>
      </c>
      <c r="E24" s="307">
        <v>108000</v>
      </c>
      <c r="F24" s="298">
        <v>19177.114990740742</v>
      </c>
      <c r="G24" s="311">
        <v>2071128419</v>
      </c>
      <c r="H24" s="297">
        <f t="shared" ref="H24" si="23">F24*(1-K24)</f>
        <v>20349.58492307692</v>
      </c>
      <c r="I24" s="315">
        <f t="shared" ref="I24" si="24">E24*H24</f>
        <v>2197755171.6923075</v>
      </c>
      <c r="J24" s="315">
        <f t="shared" ref="J24" si="25">G24-I24</f>
        <v>-126626752.69230747</v>
      </c>
      <c r="K24" s="299">
        <v>-6.1139015587187241E-2</v>
      </c>
      <c r="L24" s="318">
        <f t="shared" ref="L24" si="26">G24*$E$45</f>
        <v>122982429.02292016</v>
      </c>
      <c r="M24" s="319">
        <f t="shared" ref="M24" si="27">J24-L24</f>
        <v>-249609181.71522763</v>
      </c>
      <c r="N24" s="300">
        <f t="shared" ref="N24" si="28">M24/G24</f>
        <v>-0.12051844754066292</v>
      </c>
    </row>
    <row r="25" spans="2:14" ht="16.2" customHeight="1" x14ac:dyDescent="0.3">
      <c r="B25" s="294">
        <f>IF(C25&lt;&gt;"",SUBTOTAL(3,C$5:C25),"")</f>
        <v>14</v>
      </c>
      <c r="C25" s="295" t="s">
        <v>156</v>
      </c>
      <c r="D25" s="296" t="s">
        <v>157</v>
      </c>
      <c r="E25" s="307">
        <v>27500</v>
      </c>
      <c r="F25" s="298">
        <v>15972.222254545455</v>
      </c>
      <c r="G25" s="311">
        <v>439236112</v>
      </c>
      <c r="H25" s="297">
        <f t="shared" si="17"/>
        <v>20349.584923076927</v>
      </c>
      <c r="I25" s="315">
        <f t="shared" si="18"/>
        <v>559613585.38461554</v>
      </c>
      <c r="J25" s="315">
        <f t="shared" si="19"/>
        <v>-120377473.38461554</v>
      </c>
      <c r="K25" s="299">
        <v>-0.27406096651865325</v>
      </c>
      <c r="L25" s="318">
        <f t="shared" si="20"/>
        <v>26081590.824013222</v>
      </c>
      <c r="M25" s="319">
        <f t="shared" si="21"/>
        <v>-146459064.20862877</v>
      </c>
      <c r="N25" s="300">
        <f t="shared" si="22"/>
        <v>-0.3334403984721292</v>
      </c>
    </row>
    <row r="26" spans="2:14" s="257" customFormat="1" ht="16.2" customHeight="1" x14ac:dyDescent="0.3">
      <c r="B26" s="301">
        <f>IF(C26&lt;&gt;"",SUBTOTAL(3,C$5:C26),"")</f>
        <v>15</v>
      </c>
      <c r="C26" s="302" t="s">
        <v>161</v>
      </c>
      <c r="D26" s="303"/>
      <c r="E26" s="308">
        <f>SUM(E5:E25)</f>
        <v>1052546</v>
      </c>
      <c r="F26" s="305"/>
      <c r="G26" s="312">
        <f>SUM(G5:G25)</f>
        <v>16023137846.987255</v>
      </c>
      <c r="H26" s="304"/>
      <c r="I26" s="316">
        <f>SUM(I5:I25)</f>
        <v>25922305142.360031</v>
      </c>
      <c r="J26" s="316">
        <f>SUM(J5:J25)</f>
        <v>-9899167295.3727818</v>
      </c>
      <c r="K26" s="306">
        <f>J26/$G26</f>
        <v>-0.61780453927968104</v>
      </c>
      <c r="L26" s="320">
        <f>SUM(L5:L25)</f>
        <v>951444823.46634018</v>
      </c>
      <c r="M26" s="316">
        <f>SUM(M5:M25)</f>
        <v>-10850612118.839119</v>
      </c>
      <c r="N26" s="256">
        <f>M26/$G26</f>
        <v>-0.67718397123315655</v>
      </c>
    </row>
    <row r="27" spans="2:14" x14ac:dyDescent="0.3">
      <c r="B27" s="257" t="s">
        <v>191</v>
      </c>
      <c r="E27" s="309"/>
      <c r="G27" s="313"/>
      <c r="I27" s="313"/>
      <c r="J27" s="313"/>
      <c r="L27" s="313"/>
      <c r="M27" s="313"/>
    </row>
    <row r="28" spans="2:14" ht="16.2" customHeight="1" x14ac:dyDescent="0.3">
      <c r="B28" s="258" t="s">
        <v>162</v>
      </c>
      <c r="C28" s="250" t="s">
        <v>189</v>
      </c>
      <c r="D28" s="251" t="s">
        <v>190</v>
      </c>
      <c r="E28" s="310">
        <v>594000</v>
      </c>
      <c r="F28" s="253">
        <v>29452.717584171995</v>
      </c>
      <c r="G28" s="314">
        <v>17494914244.998165</v>
      </c>
      <c r="H28" s="252">
        <f>F28*(1-K28)</f>
        <v>28764.360365190376</v>
      </c>
      <c r="I28" s="317">
        <f>E28*H28</f>
        <v>17086030056.923082</v>
      </c>
      <c r="J28" s="317">
        <f>G28-I28</f>
        <v>408884188.07508278</v>
      </c>
      <c r="K28" s="254">
        <v>2.3371602875503227E-2</v>
      </c>
      <c r="L28" s="321">
        <f t="shared" ref="L28" si="29">G28*$E$45</f>
        <v>1038838069.9427608</v>
      </c>
      <c r="M28" s="322">
        <f>J28-L28</f>
        <v>-629953881.86767805</v>
      </c>
      <c r="N28" s="255">
        <f>M28/G28</f>
        <v>-3.6007829077972377E-2</v>
      </c>
    </row>
    <row r="29" spans="2:14" ht="16.2" customHeight="1" x14ac:dyDescent="0.3">
      <c r="B29" s="258" t="s">
        <v>196</v>
      </c>
      <c r="C29" s="250" t="s">
        <v>192</v>
      </c>
      <c r="D29" s="251" t="s">
        <v>163</v>
      </c>
      <c r="E29" s="310">
        <v>572000</v>
      </c>
      <c r="F29" s="253">
        <v>26863.555239529418</v>
      </c>
      <c r="G29" s="314">
        <v>15365953597.010828</v>
      </c>
      <c r="H29" s="252">
        <f>F29*(1-K29)</f>
        <v>25463.67325151516</v>
      </c>
      <c r="I29" s="317">
        <f>E29*H29</f>
        <v>14565221099.866671</v>
      </c>
      <c r="J29" s="317">
        <f>G29-I29</f>
        <v>800732497.14415741</v>
      </c>
      <c r="K29" s="254">
        <v>5.2110823587279573E-2</v>
      </c>
      <c r="L29" s="321">
        <f t="shared" ref="L29" si="30">G29*$E$45</f>
        <v>912421596.0139693</v>
      </c>
      <c r="M29" s="322">
        <f>J29-L29</f>
        <v>-111689098.86981189</v>
      </c>
      <c r="N29" s="255">
        <f>M29/G29</f>
        <v>-7.2686083661959652E-3</v>
      </c>
    </row>
    <row r="30" spans="2:14" x14ac:dyDescent="0.3">
      <c r="B30" s="260"/>
    </row>
    <row r="33" spans="3:7" ht="15" thickBot="1" x14ac:dyDescent="0.35"/>
    <row r="34" spans="3:7" ht="15" thickTop="1" x14ac:dyDescent="0.3">
      <c r="C34" s="267" t="s">
        <v>165</v>
      </c>
      <c r="D34" s="268">
        <v>173305822529.00003</v>
      </c>
      <c r="E34" s="269"/>
    </row>
    <row r="35" spans="3:7" x14ac:dyDescent="0.3">
      <c r="C35" s="270" t="s">
        <v>166</v>
      </c>
      <c r="D35" s="271">
        <f>SUM(D36:D39)</f>
        <v>5129218585.9999981</v>
      </c>
      <c r="E35" s="272"/>
      <c r="G35" s="261"/>
    </row>
    <row r="36" spans="3:7" x14ac:dyDescent="0.3">
      <c r="C36" s="273" t="s">
        <v>169</v>
      </c>
      <c r="D36" s="259">
        <v>1805602205</v>
      </c>
      <c r="E36" s="272"/>
    </row>
    <row r="37" spans="3:7" x14ac:dyDescent="0.3">
      <c r="C37" s="273" t="s">
        <v>170</v>
      </c>
      <c r="D37" s="259">
        <v>556120832</v>
      </c>
      <c r="E37" s="272"/>
    </row>
    <row r="38" spans="3:7" x14ac:dyDescent="0.3">
      <c r="C38" s="273" t="s">
        <v>167</v>
      </c>
      <c r="D38" s="259">
        <v>2221270799</v>
      </c>
      <c r="E38" s="272"/>
    </row>
    <row r="39" spans="3:7" x14ac:dyDescent="0.3">
      <c r="C39" s="273" t="s">
        <v>168</v>
      </c>
      <c r="D39" s="259">
        <v>546224749.99999833</v>
      </c>
      <c r="E39" s="272"/>
    </row>
    <row r="40" spans="3:7" x14ac:dyDescent="0.3">
      <c r="C40" s="270" t="s">
        <v>108</v>
      </c>
      <c r="D40" s="271">
        <f>D34-D35</f>
        <v>168176603943.00003</v>
      </c>
      <c r="E40" s="272"/>
    </row>
    <row r="41" spans="3:7" x14ac:dyDescent="0.3">
      <c r="C41" s="273" t="s">
        <v>171</v>
      </c>
      <c r="D41" s="274">
        <v>1662701952</v>
      </c>
      <c r="E41" s="275">
        <f>D41/D$40</f>
        <v>9.8866424521423819E-3</v>
      </c>
    </row>
    <row r="42" spans="3:7" x14ac:dyDescent="0.3">
      <c r="C42" s="273" t="s">
        <v>81</v>
      </c>
      <c r="D42" s="259">
        <v>7329810589</v>
      </c>
      <c r="E42" s="275">
        <f t="shared" ref="E42:E44" si="31">D42/D$40</f>
        <v>4.3584008816614513E-2</v>
      </c>
    </row>
    <row r="43" spans="3:7" x14ac:dyDescent="0.3">
      <c r="C43" s="273" t="s">
        <v>172</v>
      </c>
      <c r="D43" s="259">
        <v>959718564</v>
      </c>
      <c r="E43" s="275">
        <f t="shared" si="31"/>
        <v>5.7066116302674106E-3</v>
      </c>
    </row>
    <row r="44" spans="3:7" x14ac:dyDescent="0.3">
      <c r="C44" s="273" t="s">
        <v>173</v>
      </c>
      <c r="D44" s="259">
        <v>34000105</v>
      </c>
      <c r="E44" s="275">
        <f t="shared" si="31"/>
        <v>2.0216905445137679E-4</v>
      </c>
    </row>
    <row r="45" spans="3:7" ht="15" thickBot="1" x14ac:dyDescent="0.35">
      <c r="C45" s="277" t="s">
        <v>174</v>
      </c>
      <c r="D45" s="278"/>
      <c r="E45" s="276">
        <f>SUM(E41:E44)</f>
        <v>5.9379431953475677E-2</v>
      </c>
    </row>
    <row r="46" spans="3:7" ht="15" thickTop="1" x14ac:dyDescent="0.3"/>
  </sheetData>
  <conditionalFormatting sqref="B5:N26">
    <cfRule type="expression" dxfId="1" priority="1">
      <formula>MOD(ROW($B5),2)=0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&gt;&gt;Mth</vt:lpstr>
      <vt:lpstr>BĐ-Dthu EXW</vt:lpstr>
      <vt:lpstr>BĐ-Dthu EXW-v2</vt:lpstr>
      <vt:lpstr>.</vt:lpstr>
      <vt:lpstr>BĐ-LG EXW</vt:lpstr>
      <vt:lpstr>BĐ-LG EXW-v2</vt:lpstr>
      <vt:lpstr>||</vt:lpstr>
      <vt:lpstr>BĐ-PL</vt:lpstr>
      <vt:lpstr>Giải trình</vt:lpstr>
      <vt:lpstr>KH-SP lỗ</vt:lpstr>
      <vt:lpstr>mth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Danh, Hoàng Duy</cp:lastModifiedBy>
  <dcterms:created xsi:type="dcterms:W3CDTF">2025-09-08T09:19:54Z</dcterms:created>
  <dcterms:modified xsi:type="dcterms:W3CDTF">2026-04-12T04:17:32Z</dcterms:modified>
</cp:coreProperties>
</file>