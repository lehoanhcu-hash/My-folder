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OO\Unilever\"/>
    </mc:Choice>
  </mc:AlternateContent>
  <xr:revisionPtr revIDLastSave="0" documentId="13_ncr:1_{B8D5CA5A-EF8E-4C44-84A5-9E9CB9661E50}" xr6:coauthVersionLast="47" xr6:coauthVersionMax="47" xr10:uidLastSave="{00000000-0000-0000-0000-000000000000}"/>
  <bookViews>
    <workbookView xWindow="-110" yWindow="-110" windowWidth="19420" windowHeight="10300" xr2:uid="{B83E0F7F-6A13-4195-BD8D-B3198FA0B131}"/>
  </bookViews>
  <sheets>
    <sheet name="Sheet1" sheetId="1" r:id="rId1"/>
    <sheet name="data" sheetId="2" state="hidden" r:id="rId2"/>
  </sheets>
  <definedNames>
    <definedName name="_xlnm._FilterDatabase" localSheetId="1" hidden="1">data!$A$3:$J$585</definedName>
    <definedName name="_Key1" localSheetId="1" hidden="1">#REF!</definedName>
    <definedName name="_Key1" hidden="1">#REF!</definedName>
    <definedName name="_Sort" localSheetId="1" hidden="1">#REF!</definedName>
    <definedName name="_Sort" hidden="1">#REF!</definedName>
    <definedName name="BO00043B7E1E324A3B816B38E3ACAE0671" localSheetId="1" hidden="1">#REF!</definedName>
    <definedName name="BO00043B7E1E324A3B816B38E3ACAE0671" hidden="1">#REF!</definedName>
    <definedName name="BO001D509B859B4E6D8B03981122F6CF9A" localSheetId="1" hidden="1">#REF!</definedName>
    <definedName name="BO001D509B859B4E6D8B03981122F6CF9A" hidden="1">#REF!</definedName>
    <definedName name="BO00469B4A8FC24A3B870A9D7B502678F0" localSheetId="1" hidden="1">#REF!</definedName>
    <definedName name="BO00469B4A8FC24A3B870A9D7B502678F0" hidden="1">#REF!</definedName>
    <definedName name="BO00511179B958499598FEC41C5AC390A4" localSheetId="1" hidden="1">#REF!</definedName>
    <definedName name="BO00511179B958499598FEC41C5AC390A4" hidden="1">#REF!</definedName>
    <definedName name="BO005A577D92864FC8B40998831CDFE7A8" localSheetId="1" hidden="1">#REF!</definedName>
    <definedName name="BO005A577D92864FC8B40998831CDFE7A8" hidden="1">#REF!</definedName>
    <definedName name="BO0072FE9EACD94DEDAA496B23B65E7D1C" localSheetId="1" hidden="1">#REF!</definedName>
    <definedName name="BO0072FE9EACD94DEDAA496B23B65E7D1C" hidden="1">#REF!</definedName>
    <definedName name="BO00812175877B44EE88DDEE95E65B5A27" localSheetId="1" hidden="1">#REF!</definedName>
    <definedName name="BO00812175877B44EE88DDEE95E65B5A27" hidden="1">#REF!</definedName>
    <definedName name="BO00A6737BAC0E4619AF80A481C30796C1" localSheetId="1" hidden="1">#REF!</definedName>
    <definedName name="BO00A6737BAC0E4619AF80A481C30796C1" hidden="1">#REF!</definedName>
    <definedName name="BO00CD9D7A0C624F4BB2AF0F67622C7F91" localSheetId="1" hidden="1">#REF!</definedName>
    <definedName name="BO00CD9D7A0C624F4BB2AF0F67622C7F91" hidden="1">#REF!</definedName>
    <definedName name="BO0129892555A4411A8EC61716113918DD" localSheetId="1" hidden="1">#REF!</definedName>
    <definedName name="BO0129892555A4411A8EC61716113918DD" hidden="1">#REF!</definedName>
    <definedName name="BO018E3CCFDE224CDDABC737A9A76A8FDA" localSheetId="1" hidden="1">#REF!</definedName>
    <definedName name="BO018E3CCFDE224CDDABC737A9A76A8FDA" hidden="1">#REF!</definedName>
    <definedName name="BO020F2E97F5CF403D8F93927170418F64" localSheetId="1" hidden="1">#REF!</definedName>
    <definedName name="BO020F2E97F5CF403D8F93927170418F64" hidden="1">#REF!</definedName>
    <definedName name="BO02392633CA99433B88D46F2EF39F428A" localSheetId="1" hidden="1">#REF!</definedName>
    <definedName name="BO02392633CA99433B88D46F2EF39F428A" hidden="1">#REF!</definedName>
    <definedName name="BO02516734C6DF4EF2B0A72A47B8AABEFB" localSheetId="1" hidden="1">#REF!</definedName>
    <definedName name="BO02516734C6DF4EF2B0A72A47B8AABEFB" hidden="1">#REF!</definedName>
    <definedName name="BO028E39D140FF49049FAF8BBBD288FBDC" localSheetId="1" hidden="1">#REF!</definedName>
    <definedName name="BO028E39D140FF49049FAF8BBBD288FBDC" hidden="1">#REF!</definedName>
    <definedName name="BO0298FD225F294931811B0F63E6435B0F" localSheetId="1" hidden="1">#REF!</definedName>
    <definedName name="BO0298FD225F294931811B0F63E6435B0F" hidden="1">#REF!</definedName>
    <definedName name="BO02A5060651364F86A67E16B0D01E5044" localSheetId="1" hidden="1">#REF!</definedName>
    <definedName name="BO02A5060651364F86A67E16B0D01E5044" hidden="1">#REF!</definedName>
    <definedName name="BO02A8FD3A8942468DBAD7F1EDD7F87346" localSheetId="1" hidden="1">#REF!</definedName>
    <definedName name="BO02A8FD3A8942468DBAD7F1EDD7F87346" hidden="1">#REF!</definedName>
    <definedName name="BO02B4A629B0A64CA08F02737274717F08" localSheetId="1" hidden="1">#REF!</definedName>
    <definedName name="BO02B4A629B0A64CA08F02737274717F08" hidden="1">#REF!</definedName>
    <definedName name="BO0316956B2BAC45A481DC8002316172FC" localSheetId="1" hidden="1">#REF!</definedName>
    <definedName name="BO0316956B2BAC45A481DC8002316172FC" hidden="1">#REF!</definedName>
    <definedName name="BO031CB95051AA419CB611A1C0F7545ED6" localSheetId="1" hidden="1">#REF!</definedName>
    <definedName name="BO031CB95051AA419CB611A1C0F7545ED6" hidden="1">#REF!</definedName>
    <definedName name="BO0329DF376872482BAF40387242076A6D" localSheetId="1" hidden="1">#REF!</definedName>
    <definedName name="BO0329DF376872482BAF40387242076A6D" hidden="1">#REF!</definedName>
    <definedName name="BO034C1D37DF534343A97C0F61C184324C" localSheetId="1" hidden="1">#REF!</definedName>
    <definedName name="BO034C1D37DF534343A97C0F61C184324C" hidden="1">#REF!</definedName>
    <definedName name="BO036A36663A234B36B1D4EE07A3B64966" localSheetId="1" hidden="1">#REF!</definedName>
    <definedName name="BO036A36663A234B36B1D4EE07A3B64966" hidden="1">#REF!</definedName>
    <definedName name="BO03B0651779BF413996A5DE334F47529E" localSheetId="1" hidden="1">#REF!</definedName>
    <definedName name="BO03B0651779BF413996A5DE334F47529E" hidden="1">#REF!</definedName>
    <definedName name="BO03D993E14C9345D9A09E5317112E649E" localSheetId="1" hidden="1">#REF!</definedName>
    <definedName name="BO03D993E14C9345D9A09E5317112E649E" hidden="1">#REF!</definedName>
    <definedName name="BO03FF099F75314586A6835C388F1BF0E1" localSheetId="1" hidden="1">#REF!</definedName>
    <definedName name="BO03FF099F75314586A6835C388F1BF0E1" hidden="1">#REF!</definedName>
    <definedName name="BO0417ED1D7CBF4ED2B28EA719E997CA52" localSheetId="1" hidden="1">#REF!</definedName>
    <definedName name="BO0417ED1D7CBF4ED2B28EA719E997CA52" hidden="1">#REF!</definedName>
    <definedName name="BO0441DA88C7F74AE9BFADC1941F5CF686" localSheetId="1" hidden="1">#REF!</definedName>
    <definedName name="BO0441DA88C7F74AE9BFADC1941F5CF686" hidden="1">#REF!</definedName>
    <definedName name="BO044F0637C2AD47F09DFC37A56C115C0E" localSheetId="1" hidden="1">#REF!</definedName>
    <definedName name="BO044F0637C2AD47F09DFC37A56C115C0E" hidden="1">#REF!</definedName>
    <definedName name="BO048A491E9D8F402587ED350C273C7635" localSheetId="1" hidden="1">#REF!</definedName>
    <definedName name="BO048A491E9D8F402587ED350C273C7635" hidden="1">#REF!</definedName>
    <definedName name="BO049368304C694928BF12E8C39A084E34" localSheetId="1" hidden="1">#REF!</definedName>
    <definedName name="BO049368304C694928BF12E8C39A084E34" hidden="1">#REF!</definedName>
    <definedName name="BO049DD26879614F4D8D1A8B4DE85A5A00" localSheetId="1" hidden="1">#REF!</definedName>
    <definedName name="BO049DD26879614F4D8D1A8B4DE85A5A00" hidden="1">#REF!</definedName>
    <definedName name="BO04B25781FA1341529AF5AB3CBE3AC2CB" localSheetId="1" hidden="1">#REF!</definedName>
    <definedName name="BO04B25781FA1341529AF5AB3CBE3AC2CB" hidden="1">#REF!</definedName>
    <definedName name="BO04BF788D29F64A1989788FA25E12E023" localSheetId="1" hidden="1">#REF!</definedName>
    <definedName name="BO04BF788D29F64A1989788FA25E12E023" hidden="1">#REF!</definedName>
    <definedName name="BO051C1091726B452B8D655520FF5EE783" localSheetId="1" hidden="1">#REF!</definedName>
    <definedName name="BO051C1091726B452B8D655520FF5EE783" hidden="1">#REF!</definedName>
    <definedName name="BO053101CB6B5347D1A1EBDB90D6FB228A" localSheetId="1" hidden="1">#REF!</definedName>
    <definedName name="BO053101CB6B5347D1A1EBDB90D6FB228A" hidden="1">#REF!</definedName>
    <definedName name="BO05419C07D7B6466394350974D9D4F877" localSheetId="1" hidden="1">#REF!</definedName>
    <definedName name="BO05419C07D7B6466394350974D9D4F877" hidden="1">#REF!</definedName>
    <definedName name="BO054ED8F6C4F44487ADB29B59982252CC" localSheetId="1" hidden="1">#REF!</definedName>
    <definedName name="BO054ED8F6C4F44487ADB29B59982252CC" hidden="1">#REF!</definedName>
    <definedName name="BO055E5CFDB95646998EC626861A0C2B73" localSheetId="1" hidden="1">#REF!</definedName>
    <definedName name="BO055E5CFDB95646998EC626861A0C2B73" hidden="1">#REF!</definedName>
    <definedName name="BO05825FB84EB24E3B83FF5DCC93F10D81" localSheetId="1" hidden="1">#REF!</definedName>
    <definedName name="BO05825FB84EB24E3B83FF5DCC93F10D81" hidden="1">#REF!</definedName>
    <definedName name="BO05A3F61282EC43B3B97A691A40F7C450" localSheetId="1" hidden="1">#REF!</definedName>
    <definedName name="BO05A3F61282EC43B3B97A691A40F7C450" hidden="1">#REF!</definedName>
    <definedName name="BO05CDD744762749858557A0B082E5E0CC" localSheetId="1" hidden="1">#REF!</definedName>
    <definedName name="BO05CDD744762749858557A0B082E5E0CC" hidden="1">#REF!</definedName>
    <definedName name="BO060F8C52B3094EAC877EBE571B0DF8B1" localSheetId="1" hidden="1">#REF!</definedName>
    <definedName name="BO060F8C52B3094EAC877EBE571B0DF8B1" hidden="1">#REF!</definedName>
    <definedName name="BO0628130A34F34472B8E9063AF8F9AFC3" localSheetId="1" hidden="1">#REF!</definedName>
    <definedName name="BO0628130A34F34472B8E9063AF8F9AFC3" hidden="1">#REF!</definedName>
    <definedName name="BO06444E01A6B34207B4CD327BA584CFFF" localSheetId="1" hidden="1">#REF!</definedName>
    <definedName name="BO06444E01A6B34207B4CD327BA584CFFF" hidden="1">#REF!</definedName>
    <definedName name="BO065127342F5E49D488919F425C845667" localSheetId="1" hidden="1">#REF!</definedName>
    <definedName name="BO065127342F5E49D488919F425C845667" hidden="1">#REF!</definedName>
    <definedName name="BO0661E126B4BF4E8EACCA3FBD6C2C87CF" localSheetId="1" hidden="1">#REF!</definedName>
    <definedName name="BO0661E126B4BF4E8EACCA3FBD6C2C87CF" hidden="1">#REF!</definedName>
    <definedName name="BO06760500AD0C4142A407DB3927CE2BAE" localSheetId="1" hidden="1">#REF!</definedName>
    <definedName name="BO06760500AD0C4142A407DB3927CE2BAE" hidden="1">#REF!</definedName>
    <definedName name="BO06857A035FAF4289957CDE75EB967671" localSheetId="1" hidden="1">#REF!</definedName>
    <definedName name="BO06857A035FAF4289957CDE75EB967671" hidden="1">#REF!</definedName>
    <definedName name="BO06A1D57108984BD8BFF93A7198192A58" localSheetId="1" hidden="1">#REF!</definedName>
    <definedName name="BO06A1D57108984BD8BFF93A7198192A58" hidden="1">#REF!</definedName>
    <definedName name="BO06B55AE9F1974782A547E2592A91DC44" localSheetId="1" hidden="1">#REF!</definedName>
    <definedName name="BO06B55AE9F1974782A547E2592A91DC44" hidden="1">#REF!</definedName>
    <definedName name="BO06CDADE6119F4877A0512DB59C5C94BF" localSheetId="1" hidden="1">#REF!</definedName>
    <definedName name="BO06CDADE6119F4877A0512DB59C5C94BF" hidden="1">#REF!</definedName>
    <definedName name="BO06E32C35EADD426283277A6F4767C6B0" localSheetId="1" hidden="1">#REF!</definedName>
    <definedName name="BO06E32C35EADD426283277A6F4767C6B0" hidden="1">#REF!</definedName>
    <definedName name="BO076D271E53024E82B0564BC6E6B8C52B" localSheetId="1" hidden="1">#REF!</definedName>
    <definedName name="BO076D271E53024E82B0564BC6E6B8C52B" hidden="1">#REF!</definedName>
    <definedName name="BO07720AA381684C1982634DF097D5658D" localSheetId="1" hidden="1">#REF!</definedName>
    <definedName name="BO07720AA381684C1982634DF097D5658D" hidden="1">#REF!</definedName>
    <definedName name="BO07B5E13CAA4346C2B80A18CCB51064C0" localSheetId="1" hidden="1">#REF!</definedName>
    <definedName name="BO07B5E13CAA4346C2B80A18CCB51064C0" hidden="1">#REF!</definedName>
    <definedName name="BO07BC23E784F941FAADD17157A1CB33AD" localSheetId="1" hidden="1">#REF!</definedName>
    <definedName name="BO07BC23E784F941FAADD17157A1CB33AD" hidden="1">#REF!</definedName>
    <definedName name="BO07BEF03937C14F1F82EB8B092E03BDC0" localSheetId="1" hidden="1">#REF!</definedName>
    <definedName name="BO07BEF03937C14F1F82EB8B092E03BDC0" hidden="1">#REF!</definedName>
    <definedName name="BO07CF77C24A4B44DDB08669A0C267D9E2" localSheetId="1" hidden="1">#REF!</definedName>
    <definedName name="BO07CF77C24A4B44DDB08669A0C267D9E2" hidden="1">#REF!</definedName>
    <definedName name="BO080FC624DC7D4EC58A73B6445EFE83D5" localSheetId="1" hidden="1">#REF!</definedName>
    <definedName name="BO080FC624DC7D4EC58A73B6445EFE83D5" hidden="1">#REF!</definedName>
    <definedName name="BO0813779BF7A441E4B829B7EE15E1F5B1" localSheetId="1" hidden="1">#REF!</definedName>
    <definedName name="BO0813779BF7A441E4B829B7EE15E1F5B1" hidden="1">#REF!</definedName>
    <definedName name="BO082937E7E8384EE39F50885F11A99C90" localSheetId="1" hidden="1">#REF!</definedName>
    <definedName name="BO082937E7E8384EE39F50885F11A99C90" hidden="1">#REF!</definedName>
    <definedName name="BO0880E86E8DAA4FBE98CCD8F4F1DAC7F6" localSheetId="1" hidden="1">#REF!</definedName>
    <definedName name="BO0880E86E8DAA4FBE98CCD8F4F1DAC7F6" hidden="1">#REF!</definedName>
    <definedName name="BO08C624A094B64DA8B640575212B5C126" localSheetId="1" hidden="1">#REF!</definedName>
    <definedName name="BO08C624A094B64DA8B640575212B5C126" hidden="1">#REF!</definedName>
    <definedName name="BO08D9E70F5D7D4899B7F098067EC1CF0D" localSheetId="1" hidden="1">#REF!</definedName>
    <definedName name="BO08D9E70F5D7D4899B7F098067EC1CF0D" hidden="1">#REF!</definedName>
    <definedName name="BO08DB01CDE2CD4C38AEBBE72539089923" localSheetId="1" hidden="1">#REF!</definedName>
    <definedName name="BO08DB01CDE2CD4C38AEBBE72539089923" hidden="1">#REF!</definedName>
    <definedName name="BO08E8A4D0D99A45F4AB50AB8CCC759E80" localSheetId="1" hidden="1">#REF!</definedName>
    <definedName name="BO08E8A4D0D99A45F4AB50AB8CCC759E80" hidden="1">#REF!</definedName>
    <definedName name="BO08EF964A3F544A6A9831BD58A1BDB761" localSheetId="1" hidden="1">#REF!</definedName>
    <definedName name="BO08EF964A3F544A6A9831BD58A1BDB761" hidden="1">#REF!</definedName>
    <definedName name="BO096A288CD2B241D3B6E5D99F7CC46080" localSheetId="1" hidden="1">#REF!</definedName>
    <definedName name="BO096A288CD2B241D3B6E5D99F7CC46080" hidden="1">#REF!</definedName>
    <definedName name="BO097FA591C7F24B78A7B81D10C92CD657" localSheetId="1" hidden="1">#REF!</definedName>
    <definedName name="BO097FA591C7F24B78A7B81D10C92CD657" hidden="1">#REF!</definedName>
    <definedName name="BO09858E7F51104BCE9A132E93A02FD9A5" localSheetId="1" hidden="1">#REF!</definedName>
    <definedName name="BO09858E7F51104BCE9A132E93A02FD9A5" hidden="1">#REF!</definedName>
    <definedName name="BO09B1C52A1D8443609A270B3D7E126A13" localSheetId="1" hidden="1">#REF!</definedName>
    <definedName name="BO09B1C52A1D8443609A270B3D7E126A13" hidden="1">#REF!</definedName>
    <definedName name="BO09C22B1D529145609DEC624CE7B07293" localSheetId="1" hidden="1">#REF!</definedName>
    <definedName name="BO09C22B1D529145609DEC624CE7B07293" hidden="1">#REF!</definedName>
    <definedName name="BO09FB4DFBEE664BB5A9A0F935EDAE0910" localSheetId="1" hidden="1">#REF!</definedName>
    <definedName name="BO09FB4DFBEE664BB5A9A0F935EDAE0910" hidden="1">#REF!</definedName>
    <definedName name="BO0A23B7D284D446FE9C1DD53288BD27DE" localSheetId="1" hidden="1">#REF!</definedName>
    <definedName name="BO0A23B7D284D446FE9C1DD53288BD27DE" hidden="1">#REF!</definedName>
    <definedName name="BO0A692014A9F34BC5A0E9C318C9192144" localSheetId="1" hidden="1">#REF!</definedName>
    <definedName name="BO0A692014A9F34BC5A0E9C318C9192144" hidden="1">#REF!</definedName>
    <definedName name="BO0A748E0D694E4A95BE1F938C385817CA" localSheetId="1" hidden="1">#REF!</definedName>
    <definedName name="BO0A748E0D694E4A95BE1F938C385817CA" hidden="1">#REF!</definedName>
    <definedName name="BO0A7575E7F6E74826988292EB5B4093AE" localSheetId="1" hidden="1">#REF!</definedName>
    <definedName name="BO0A7575E7F6E74826988292EB5B4093AE" hidden="1">#REF!</definedName>
    <definedName name="BO0A920544EB81456B85FAC9B67A3FF171" localSheetId="1" hidden="1">#REF!</definedName>
    <definedName name="BO0A920544EB81456B85FAC9B67A3FF171" hidden="1">#REF!</definedName>
    <definedName name="BO0AA2FDCFA64447DF8256CCDAAF790D83" localSheetId="1" hidden="1">#REF!</definedName>
    <definedName name="BO0AA2FDCFA64447DF8256CCDAAF790D83" hidden="1">#REF!</definedName>
    <definedName name="BO0AB2BAACBF594870B22CA7819C14CABA" localSheetId="1" hidden="1">#REF!</definedName>
    <definedName name="BO0AB2BAACBF594870B22CA7819C14CABA" hidden="1">#REF!</definedName>
    <definedName name="BO0AB3771B806B45068A9904218B7C5228" localSheetId="1" hidden="1">#REF!</definedName>
    <definedName name="BO0AB3771B806B45068A9904218B7C5228" hidden="1">#REF!</definedName>
    <definedName name="BO0ADF9A38BBB74FA484953A9E1DBDB5E6" localSheetId="1" hidden="1">#REF!</definedName>
    <definedName name="BO0ADF9A38BBB74FA484953A9E1DBDB5E6" hidden="1">#REF!</definedName>
    <definedName name="BO0AE560EC229F4837AAC8130E0FC6643F" localSheetId="1" hidden="1">#REF!</definedName>
    <definedName name="BO0AE560EC229F4837AAC8130E0FC6643F" hidden="1">#REF!</definedName>
    <definedName name="BO0B15AAC55B6F4E83950274F89A679C15" localSheetId="1" hidden="1">#REF!</definedName>
    <definedName name="BO0B15AAC55B6F4E83950274F89A679C15" hidden="1">#REF!</definedName>
    <definedName name="BO0B4162F0BA614929BBA6B308050817A0" localSheetId="1" hidden="1">#REF!</definedName>
    <definedName name="BO0B4162F0BA614929BBA6B308050817A0" hidden="1">#REF!</definedName>
    <definedName name="BO0B417597CBF74CC483AEBD408A5D6361" localSheetId="1" hidden="1">#REF!</definedName>
    <definedName name="BO0B417597CBF74CC483AEBD408A5D6361" hidden="1">#REF!</definedName>
    <definedName name="BO0BBF1A7A0878418D95B9CAE48927AE44" localSheetId="1" hidden="1">#REF!</definedName>
    <definedName name="BO0BBF1A7A0878418D95B9CAE48927AE44" hidden="1">#REF!</definedName>
    <definedName name="BO0BD0AEE8541F48F3B1E2E1BA54D1700B" localSheetId="1" hidden="1">#REF!</definedName>
    <definedName name="BO0BD0AEE8541F48F3B1E2E1BA54D1700B" hidden="1">#REF!</definedName>
    <definedName name="BO0BE3A585969F49B1B1C585B4CB0CDC8D" localSheetId="1" hidden="1">#REF!</definedName>
    <definedName name="BO0BE3A585969F49B1B1C585B4CB0CDC8D" hidden="1">#REF!</definedName>
    <definedName name="BO0BE95B3C4C274F49B67AA10EF360BE54" localSheetId="1" hidden="1">#REF!</definedName>
    <definedName name="BO0BE95B3C4C274F49B67AA10EF360BE54" hidden="1">#REF!</definedName>
    <definedName name="BO0C00665F68114FC08E6F90C337B79243" localSheetId="1" hidden="1">#REF!</definedName>
    <definedName name="BO0C00665F68114FC08E6F90C337B79243" hidden="1">#REF!</definedName>
    <definedName name="BO0C0A2392D627480DAAA517D2036A1F89" localSheetId="1" hidden="1">#REF!</definedName>
    <definedName name="BO0C0A2392D627480DAAA517D2036A1F89" hidden="1">#REF!</definedName>
    <definedName name="BO0C17E817C2D144F2834C6BD18FADD8FA" localSheetId="1" hidden="1">#REF!</definedName>
    <definedName name="BO0C17E817C2D144F2834C6BD18FADD8FA" hidden="1">#REF!</definedName>
    <definedName name="BO0C38F2CF945940E5A5FE470897C4E1BF" localSheetId="1" hidden="1">#REF!</definedName>
    <definedName name="BO0C38F2CF945940E5A5FE470897C4E1BF" hidden="1">#REF!</definedName>
    <definedName name="BO0C5AC168B74E4DC5B44FC5C62A5781B6" localSheetId="1" hidden="1">#REF!</definedName>
    <definedName name="BO0C5AC168B74E4DC5B44FC5C62A5781B6" hidden="1">#REF!</definedName>
    <definedName name="BO0C6E3F00004541F98642D415C462327D" localSheetId="1" hidden="1">#REF!</definedName>
    <definedName name="BO0C6E3F00004541F98642D415C462327D" hidden="1">#REF!</definedName>
    <definedName name="BO0C8471AFC6804FFFA3591B15EACBD181" localSheetId="1" hidden="1">#REF!</definedName>
    <definedName name="BO0C8471AFC6804FFFA3591B15EACBD181" hidden="1">#REF!</definedName>
    <definedName name="BO0C8517565CE449748D03306C29DCE056" localSheetId="1" hidden="1">#REF!</definedName>
    <definedName name="BO0C8517565CE449748D03306C29DCE056" hidden="1">#REF!</definedName>
    <definedName name="BO0CD122B513B74229B1D51F8E728EC17C" localSheetId="1" hidden="1">#REF!</definedName>
    <definedName name="BO0CD122B513B74229B1D51F8E728EC17C" hidden="1">#REF!</definedName>
    <definedName name="BO0D2433943B3E48368AB07223E9910CAE" localSheetId="1" hidden="1">#REF!</definedName>
    <definedName name="BO0D2433943B3E48368AB07223E9910CAE" hidden="1">#REF!</definedName>
    <definedName name="BO0D433F8DB1E648C5BE62989780E9E6E7" localSheetId="1" hidden="1">#REF!</definedName>
    <definedName name="BO0D433F8DB1E648C5BE62989780E9E6E7" hidden="1">#REF!</definedName>
    <definedName name="BO0D8012E44B8345678130C08C96324DA3" localSheetId="1" hidden="1">#REF!</definedName>
    <definedName name="BO0D8012E44B8345678130C08C96324DA3" hidden="1">#REF!</definedName>
    <definedName name="BO0D8BA2F600A945BF86F3792D70670A12" localSheetId="1" hidden="1">#REF!</definedName>
    <definedName name="BO0D8BA2F600A945BF86F3792D70670A12" hidden="1">#REF!</definedName>
    <definedName name="BO0D95BE2323944543B198A1E5AD9E727B" localSheetId="1" hidden="1">#REF!</definedName>
    <definedName name="BO0D95BE2323944543B198A1E5AD9E727B" hidden="1">#REF!</definedName>
    <definedName name="BO0DCC56FC632247BBB9075437D1DA9F49" localSheetId="1" hidden="1">#REF!</definedName>
    <definedName name="BO0DCC56FC632247BBB9075437D1DA9F49" hidden="1">#REF!</definedName>
    <definedName name="BO0DE5B032BD554D358472765883129529" localSheetId="1" hidden="1">#REF!</definedName>
    <definedName name="BO0DE5B032BD554D358472765883129529" hidden="1">#REF!</definedName>
    <definedName name="BO0E0DCCA8662A4B7D9624048C956E2349" localSheetId="1" hidden="1">#REF!</definedName>
    <definedName name="BO0E0DCCA8662A4B7D9624048C956E2349" hidden="1">#REF!</definedName>
    <definedName name="BO0E3744B5B95B4593842CB858CD9C693E" localSheetId="1" hidden="1">#REF!</definedName>
    <definedName name="BO0E3744B5B95B4593842CB858CD9C693E" hidden="1">#REF!</definedName>
    <definedName name="BO0E92C76E22454378A2ADA4C84B066AE2" localSheetId="1" hidden="1">#REF!</definedName>
    <definedName name="BO0E92C76E22454378A2ADA4C84B066AE2" hidden="1">#REF!</definedName>
    <definedName name="BO0ED883B059E145E7AD618EAA4D4C0021" localSheetId="1" hidden="1">#REF!</definedName>
    <definedName name="BO0ED883B059E145E7AD618EAA4D4C0021" hidden="1">#REF!</definedName>
    <definedName name="BO0EFE864F0335421B9CA21E51583EA657" localSheetId="1" hidden="1">#REF!</definedName>
    <definedName name="BO0EFE864F0335421B9CA21E51583EA657" hidden="1">#REF!</definedName>
    <definedName name="BO0F2F1527902543118B3B0891D0B4342A" localSheetId="1" hidden="1">#REF!</definedName>
    <definedName name="BO0F2F1527902543118B3B0891D0B4342A" hidden="1">#REF!</definedName>
    <definedName name="BO0F4D33F674534ACBAEA5A52A9D5B3732" localSheetId="1" hidden="1">#REF!</definedName>
    <definedName name="BO0F4D33F674534ACBAEA5A52A9D5B3732" hidden="1">#REF!</definedName>
    <definedName name="BO0F5F084DF9434109A1D0148673E339CE" localSheetId="1" hidden="1">#REF!</definedName>
    <definedName name="BO0F5F084DF9434109A1D0148673E339CE" hidden="1">#REF!</definedName>
    <definedName name="BO0F607125CD504928928E6D4416EEEFC4" localSheetId="1" hidden="1">#REF!</definedName>
    <definedName name="BO0F607125CD504928928E6D4416EEEFC4" hidden="1">#REF!</definedName>
    <definedName name="BO0F8ED4536B0445B4946298F4B61EE3C4" localSheetId="1" hidden="1">#REF!</definedName>
    <definedName name="BO0F8ED4536B0445B4946298F4B61EE3C4" hidden="1">#REF!</definedName>
    <definedName name="BO0FAA206141644A4A9CC2F711A9169654" localSheetId="1" hidden="1">#REF!</definedName>
    <definedName name="BO0FAA206141644A4A9CC2F711A9169654" hidden="1">#REF!</definedName>
    <definedName name="BO0FE7F6805CD74E4EA2B3D39BD3AF18E3" localSheetId="1" hidden="1">#REF!</definedName>
    <definedName name="BO0FE7F6805CD74E4EA2B3D39BD3AF18E3" hidden="1">#REF!</definedName>
    <definedName name="BO0FF82BB103FB4B9A882AD5330EAE4FC6" localSheetId="1" hidden="1">#REF!</definedName>
    <definedName name="BO0FF82BB103FB4B9A882AD5330EAE4FC6" hidden="1">#REF!</definedName>
    <definedName name="BO101EDBA5B09D4FBEA5C83431A243009A" localSheetId="1" hidden="1">#REF!</definedName>
    <definedName name="BO101EDBA5B09D4FBEA5C83431A243009A" hidden="1">#REF!</definedName>
    <definedName name="BO1037E116A07A44E8BF4CCE2C73F3599D" localSheetId="1" hidden="1">#REF!</definedName>
    <definedName name="BO1037E116A07A44E8BF4CCE2C73F3599D" hidden="1">#REF!</definedName>
    <definedName name="BO103B44D247244130906D01A5B85452F0" localSheetId="1" hidden="1">#REF!</definedName>
    <definedName name="BO103B44D247244130906D01A5B85452F0" hidden="1">#REF!</definedName>
    <definedName name="BO104E67F80A4845CEBB2B25939F001D94" localSheetId="1" hidden="1">#REF!</definedName>
    <definedName name="BO104E67F80A4845CEBB2B25939F001D94" hidden="1">#REF!</definedName>
    <definedName name="BO10CFBC7FAF1B442DBB6CD191B6E80A4F" localSheetId="1" hidden="1">#REF!</definedName>
    <definedName name="BO10CFBC7FAF1B442DBB6CD191B6E80A4F" hidden="1">#REF!</definedName>
    <definedName name="BO10F37521359A421C8066E3BC8A799CCA" localSheetId="1" hidden="1">#REF!</definedName>
    <definedName name="BO10F37521359A421C8066E3BC8A799CCA" hidden="1">#REF!</definedName>
    <definedName name="BO10FD9B82E935477A99C13BA68F0F0892" localSheetId="1" hidden="1">#REF!</definedName>
    <definedName name="BO10FD9B82E935477A99C13BA68F0F0892" hidden="1">#REF!</definedName>
    <definedName name="BO11157839ABA24ED0B1CFAA63ED39C8AE" localSheetId="1" hidden="1">#REF!</definedName>
    <definedName name="BO11157839ABA24ED0B1CFAA63ED39C8AE" hidden="1">#REF!</definedName>
    <definedName name="BO115FA841010345EA87622617C00ED59F" localSheetId="1" hidden="1">#REF!</definedName>
    <definedName name="BO115FA841010345EA87622617C00ED59F" hidden="1">#REF!</definedName>
    <definedName name="BO115FD69D0BB94E1398EBFC921472CD65" localSheetId="1" hidden="1">#REF!</definedName>
    <definedName name="BO115FD69D0BB94E1398EBFC921472CD65" hidden="1">#REF!</definedName>
    <definedName name="BO1177CD42210745D08166DB6025B4FF48" localSheetId="1" hidden="1">#REF!</definedName>
    <definedName name="BO1177CD42210745D08166DB6025B4FF48" hidden="1">#REF!</definedName>
    <definedName name="BO1195F61C7239451DBF66E2469B3C5F36" localSheetId="1" hidden="1">#REF!</definedName>
    <definedName name="BO1195F61C7239451DBF66E2469B3C5F36" hidden="1">#REF!</definedName>
    <definedName name="BO11D45D2A380E4753A698027552BE513C" localSheetId="1" hidden="1">#REF!</definedName>
    <definedName name="BO11D45D2A380E4753A698027552BE513C" hidden="1">#REF!</definedName>
    <definedName name="BO11EAB705D2034743837BC0B8152BBB41" localSheetId="1" hidden="1">#REF!</definedName>
    <definedName name="BO11EAB705D2034743837BC0B8152BBB41" hidden="1">#REF!</definedName>
    <definedName name="BO121210BE9D85473E8E940B3B7BB1F400" localSheetId="1" hidden="1">#REF!</definedName>
    <definedName name="BO121210BE9D85473E8E940B3B7BB1F400" hidden="1">#REF!</definedName>
    <definedName name="BO1247719AFAA8494CB660516F8BCEC32F" localSheetId="1" hidden="1">#REF!</definedName>
    <definedName name="BO1247719AFAA8494CB660516F8BCEC32F" hidden="1">#REF!</definedName>
    <definedName name="BO127F6BE867F948EF815573ED75221EA1" localSheetId="1" hidden="1">#REF!</definedName>
    <definedName name="BO127F6BE867F948EF815573ED75221EA1" hidden="1">#REF!</definedName>
    <definedName name="BO128DA76DA2644090B145C6D45306439F" localSheetId="1" hidden="1">#REF!</definedName>
    <definedName name="BO128DA76DA2644090B145C6D45306439F" hidden="1">#REF!</definedName>
    <definedName name="BO12A467DD3B954167AD2B4FF98B2FCDC7" localSheetId="1" hidden="1">#REF!</definedName>
    <definedName name="BO12A467DD3B954167AD2B4FF98B2FCDC7" hidden="1">#REF!</definedName>
    <definedName name="BO12C40EA206EF41DEA0E055BF665F9DCC" localSheetId="1" hidden="1">#REF!</definedName>
    <definedName name="BO12C40EA206EF41DEA0E055BF665F9DCC" hidden="1">#REF!</definedName>
    <definedName name="BO12DC5938A45A4514A9A3F1A5168F3DED" localSheetId="1" hidden="1">#REF!</definedName>
    <definedName name="BO12DC5938A45A4514A9A3F1A5168F3DED" hidden="1">#REF!</definedName>
    <definedName name="BO12EA6B9B0705428C95E35AC2181BA78D" localSheetId="1" hidden="1">#REF!</definedName>
    <definedName name="BO12EA6B9B0705428C95E35AC2181BA78D" hidden="1">#REF!</definedName>
    <definedName name="BO12F9F287D7A04850829E8211565B6932" localSheetId="1" hidden="1">#REF!</definedName>
    <definedName name="BO12F9F287D7A04850829E8211565B6932" hidden="1">#REF!</definedName>
    <definedName name="BO1327AE4521634660B2EA04CBE197447B" localSheetId="1" hidden="1">#REF!</definedName>
    <definedName name="BO1327AE4521634660B2EA04CBE197447B" hidden="1">#REF!</definedName>
    <definedName name="BO132943BF05E04514A93936E60D34EDC6" localSheetId="1" hidden="1">#REF!</definedName>
    <definedName name="BO132943BF05E04514A93936E60D34EDC6" hidden="1">#REF!</definedName>
    <definedName name="BO13509C2E07C648D7ACC69CCC771BF5CF" localSheetId="1" hidden="1">#REF!</definedName>
    <definedName name="BO13509C2E07C648D7ACC69CCC771BF5CF" hidden="1">#REF!</definedName>
    <definedName name="BO13599CB01A8D47B4B378E70E8D7C41BC" localSheetId="1" hidden="1">#REF!</definedName>
    <definedName name="BO13599CB01A8D47B4B378E70E8D7C41BC" hidden="1">#REF!</definedName>
    <definedName name="BO13601DDCE16947E4BBE8CFA87C2969F9" localSheetId="1" hidden="1">#REF!</definedName>
    <definedName name="BO13601DDCE16947E4BBE8CFA87C2969F9" hidden="1">#REF!</definedName>
    <definedName name="BO1378F1D0A4EC4F5C83A1A4FDFA8578E9" localSheetId="1" hidden="1">#REF!</definedName>
    <definedName name="BO1378F1D0A4EC4F5C83A1A4FDFA8578E9" hidden="1">#REF!</definedName>
    <definedName name="BO1429D896D9EB44B1BB7DB6A2DCCFF7AF" localSheetId="1" hidden="1">#REF!</definedName>
    <definedName name="BO1429D896D9EB44B1BB7DB6A2DCCFF7AF" hidden="1">#REF!</definedName>
    <definedName name="BO1478593DE5BF432496448798888CD526" localSheetId="1" hidden="1">#REF!</definedName>
    <definedName name="BO1478593DE5BF432496448798888CD526" hidden="1">#REF!</definedName>
    <definedName name="BO147AF726DF344222A289DB3D24063E1C" localSheetId="1" hidden="1">#REF!</definedName>
    <definedName name="BO147AF726DF344222A289DB3D24063E1C" hidden="1">#REF!</definedName>
    <definedName name="BO1488627F89A5401EA8339050A5CD2FC3" localSheetId="1" hidden="1">#REF!</definedName>
    <definedName name="BO1488627F89A5401EA8339050A5CD2FC3" hidden="1">#REF!</definedName>
    <definedName name="BO14C3044CB93D4F5C9AED3ABC0CD1704D" localSheetId="1" hidden="1">#REF!</definedName>
    <definedName name="BO14C3044CB93D4F5C9AED3ABC0CD1704D" hidden="1">#REF!</definedName>
    <definedName name="BO14DB5AB40E69462D90B5A15B8FE2BA3C" localSheetId="1" hidden="1">#REF!</definedName>
    <definedName name="BO14DB5AB40E69462D90B5A15B8FE2BA3C" hidden="1">#REF!</definedName>
    <definedName name="BO14DD6ABB03004D7CACDDFD4CF6783330" localSheetId="1" hidden="1">#REF!</definedName>
    <definedName name="BO14DD6ABB03004D7CACDDFD4CF6783330" hidden="1">#REF!</definedName>
    <definedName name="BO150F2145D9F048989F095910F6DB863A" localSheetId="1" hidden="1">#REF!</definedName>
    <definedName name="BO150F2145D9F048989F095910F6DB863A" hidden="1">#REF!</definedName>
    <definedName name="BO152D3E36CF9A407C85522B9E34DE1E18" localSheetId="1" hidden="1">#REF!</definedName>
    <definedName name="BO152D3E36CF9A407C85522B9E34DE1E18" hidden="1">#REF!</definedName>
    <definedName name="BO158544AA7C2642BE9E99B8FEC83AE723" localSheetId="1" hidden="1">#REF!</definedName>
    <definedName name="BO158544AA7C2642BE9E99B8FEC83AE723" hidden="1">#REF!</definedName>
    <definedName name="BO15C144F4B3E0469891DC697BD9C1532A" localSheetId="1" hidden="1">#REF!</definedName>
    <definedName name="BO15C144F4B3E0469891DC697BD9C1532A" hidden="1">#REF!</definedName>
    <definedName name="BO15EDE4B451AD44888135FEEE3E0298D5" localSheetId="1" hidden="1">#REF!</definedName>
    <definedName name="BO15EDE4B451AD44888135FEEE3E0298D5" hidden="1">#REF!</definedName>
    <definedName name="BO15F32B9C3C6B413C8055C2621DDF9142" localSheetId="1" hidden="1">#REF!</definedName>
    <definedName name="BO15F32B9C3C6B413C8055C2621DDF9142" hidden="1">#REF!</definedName>
    <definedName name="BO1623BAFCAF594E84A7809584A5470354" localSheetId="1" hidden="1">#REF!</definedName>
    <definedName name="BO1623BAFCAF594E84A7809584A5470354" hidden="1">#REF!</definedName>
    <definedName name="BO16BAEA0CA1FE4C08A4AB96BAE8EA3C4D" localSheetId="1" hidden="1">#REF!</definedName>
    <definedName name="BO16BAEA0CA1FE4C08A4AB96BAE8EA3C4D" hidden="1">#REF!</definedName>
    <definedName name="BO16BEC480B13743C7B4D19D3239087E0A" localSheetId="1" hidden="1">#REF!</definedName>
    <definedName name="BO16BEC480B13743C7B4D19D3239087E0A" hidden="1">#REF!</definedName>
    <definedName name="BO171128F9C4FC4C4891D9BA50B799FCE6" localSheetId="1" hidden="1">#REF!</definedName>
    <definedName name="BO171128F9C4FC4C4891D9BA50B799FCE6" hidden="1">#REF!</definedName>
    <definedName name="BO174E8E33D1F3487195DAB1253FBC4A1A" localSheetId="1" hidden="1">#REF!</definedName>
    <definedName name="BO174E8E33D1F3487195DAB1253FBC4A1A" hidden="1">#REF!</definedName>
    <definedName name="BO17BF6E1ED3D74D5C891613E72B07CFBB" localSheetId="1" hidden="1">#REF!</definedName>
    <definedName name="BO17BF6E1ED3D74D5C891613E72B07CFBB" hidden="1">#REF!</definedName>
    <definedName name="BO17C622E24BA8475B9EEF613B3144940E" localSheetId="1" hidden="1">#REF!</definedName>
    <definedName name="BO17C622E24BA8475B9EEF613B3144940E" hidden="1">#REF!</definedName>
    <definedName name="BO17EDADCCB1F2469B880B4636F8708393" localSheetId="1" hidden="1">#REF!</definedName>
    <definedName name="BO17EDADCCB1F2469B880B4636F8708393" hidden="1">#REF!</definedName>
    <definedName name="BO17EE338A98D9485985C87A805C6D247A" localSheetId="1" hidden="1">#REF!</definedName>
    <definedName name="BO17EE338A98D9485985C87A805C6D247A" hidden="1">#REF!</definedName>
    <definedName name="BO180D5AC456C54B1AA485F04675F631C7" localSheetId="1" hidden="1">#REF!</definedName>
    <definedName name="BO180D5AC456C54B1AA485F04675F631C7" hidden="1">#REF!</definedName>
    <definedName name="BO18286B73E6C94321BA98CC7D3C230477" localSheetId="1" hidden="1">#REF!</definedName>
    <definedName name="BO18286B73E6C94321BA98CC7D3C230477" hidden="1">#REF!</definedName>
    <definedName name="BO1841E0F7D2C548279375AB6B11931155" localSheetId="1" hidden="1">#REF!</definedName>
    <definedName name="BO1841E0F7D2C548279375AB6B11931155" hidden="1">#REF!</definedName>
    <definedName name="BO1860AE00FE214A399CE58B8709759EC4" localSheetId="1" hidden="1">#REF!</definedName>
    <definedName name="BO1860AE00FE214A399CE58B8709759EC4" hidden="1">#REF!</definedName>
    <definedName name="BO186B93828BB04A65A458AA35FB43BF82" localSheetId="1" hidden="1">#REF!</definedName>
    <definedName name="BO186B93828BB04A65A458AA35FB43BF82" hidden="1">#REF!</definedName>
    <definedName name="BO189425889FCB441882A0ACDE25BC335F" localSheetId="1" hidden="1">#REF!</definedName>
    <definedName name="BO189425889FCB441882A0ACDE25BC335F" hidden="1">#REF!</definedName>
    <definedName name="BO18B8EA73DA0243A7A08A02D2737471FB" localSheetId="1" hidden="1">#REF!</definedName>
    <definedName name="BO18B8EA73DA0243A7A08A02D2737471FB" hidden="1">#REF!</definedName>
    <definedName name="BO18D6B184C7EB4992AA27ABFE268A664B" localSheetId="1" hidden="1">#REF!</definedName>
    <definedName name="BO18D6B184C7EB4992AA27ABFE268A664B" hidden="1">#REF!</definedName>
    <definedName name="BO18FD27173E114434BAF0E07DADAC899D" localSheetId="1" hidden="1">#REF!</definedName>
    <definedName name="BO18FD27173E114434BAF0E07DADAC899D" hidden="1">#REF!</definedName>
    <definedName name="BO18FF1F4F75384C64A29B08F84D535D5D" localSheetId="1" hidden="1">#REF!</definedName>
    <definedName name="BO18FF1F4F75384C64A29B08F84D535D5D" hidden="1">#REF!</definedName>
    <definedName name="BO1901F05E215441F4B85A362B44AB1606" localSheetId="1" hidden="1">#REF!</definedName>
    <definedName name="BO1901F05E215441F4B85A362B44AB1606" hidden="1">#REF!</definedName>
    <definedName name="BO19031D55D27F49D9A2A13E00425DECD2" localSheetId="1" hidden="1">#REF!</definedName>
    <definedName name="BO19031D55D27F49D9A2A13E00425DECD2" hidden="1">#REF!</definedName>
    <definedName name="BO19032ED5DCCA4E539567A43957CF8F6D" localSheetId="1" hidden="1">#REF!</definedName>
    <definedName name="BO19032ED5DCCA4E539567A43957CF8F6D" hidden="1">#REF!</definedName>
    <definedName name="BO190E33B43B6B4814BED567F6F94D0F8A" localSheetId="1" hidden="1">#REF!</definedName>
    <definedName name="BO190E33B43B6B4814BED567F6F94D0F8A" hidden="1">#REF!</definedName>
    <definedName name="BO191EB76E52D341518882C76B1B666C25" localSheetId="1" hidden="1">#REF!</definedName>
    <definedName name="BO191EB76E52D341518882C76B1B666C25" hidden="1">#REF!</definedName>
    <definedName name="BO19271774A13B4E309F1D197D8074CC60" localSheetId="1" hidden="1">#REF!</definedName>
    <definedName name="BO19271774A13B4E309F1D197D8074CC60" hidden="1">#REF!</definedName>
    <definedName name="BO1948DAE2ECF640E1AB72B496B8CC297B" localSheetId="1" hidden="1">#REF!</definedName>
    <definedName name="BO1948DAE2ECF640E1AB72B496B8CC297B" hidden="1">#REF!</definedName>
    <definedName name="BO19541F74D54F4C42844BF088836BCFF7" localSheetId="1" hidden="1">#REF!</definedName>
    <definedName name="BO19541F74D54F4C42844BF088836BCFF7" hidden="1">#REF!</definedName>
    <definedName name="BO1961457D86D84BBA95FA88A8DF50B156" localSheetId="1" hidden="1">#REF!</definedName>
    <definedName name="BO1961457D86D84BBA95FA88A8DF50B156" hidden="1">#REF!</definedName>
    <definedName name="BO196AD46038C94804B4B05CA9A5E476C0" localSheetId="1" hidden="1">#REF!</definedName>
    <definedName name="BO196AD46038C94804B4B05CA9A5E476C0" hidden="1">#REF!</definedName>
    <definedName name="BO197553773BDA4D21AFEC976B776A0563" localSheetId="1" hidden="1">#REF!</definedName>
    <definedName name="BO197553773BDA4D21AFEC976B776A0563" hidden="1">#REF!</definedName>
    <definedName name="BO197AE668082B4509A27DC19CDF4FE657" localSheetId="1" hidden="1">#REF!</definedName>
    <definedName name="BO197AE668082B4509A27DC19CDF4FE657" hidden="1">#REF!</definedName>
    <definedName name="BO198A513E10804472981802D3B027DECD" localSheetId="1" hidden="1">#REF!</definedName>
    <definedName name="BO198A513E10804472981802D3B027DECD" hidden="1">#REF!</definedName>
    <definedName name="BO1996EE9E65EB44D2A94B65EA7FA4719A" localSheetId="1" hidden="1">#REF!</definedName>
    <definedName name="BO1996EE9E65EB44D2A94B65EA7FA4719A" hidden="1">#REF!</definedName>
    <definedName name="BO19AC5E7FAAA44074AAE72C6AE25E9BCD" localSheetId="1" hidden="1">#REF!</definedName>
    <definedName name="BO19AC5E7FAAA44074AAE72C6AE25E9BCD" hidden="1">#REF!</definedName>
    <definedName name="BO1A2406B3F537422AAD62498E0B9D9268" localSheetId="1" hidden="1">#REF!</definedName>
    <definedName name="BO1A2406B3F537422AAD62498E0B9D9268" hidden="1">#REF!</definedName>
    <definedName name="BO1A6C5B1CAE1345999D9DFDEED0721750" localSheetId="1" hidden="1">#REF!</definedName>
    <definedName name="BO1A6C5B1CAE1345999D9DFDEED0721750" hidden="1">#REF!</definedName>
    <definedName name="BO1ADA73E3E9D246E7A2989225A110C045" localSheetId="1" hidden="1">#REF!</definedName>
    <definedName name="BO1ADA73E3E9D246E7A2989225A110C045" hidden="1">#REF!</definedName>
    <definedName name="BO1AE9E3C4A71942E4916D9548584CBF6D" localSheetId="1" hidden="1">#REF!</definedName>
    <definedName name="BO1AE9E3C4A71942E4916D9548584CBF6D" hidden="1">#REF!</definedName>
    <definedName name="BO1AEEEEBA4DB94394924EA5BB23DB97CD" localSheetId="1" hidden="1">#REF!</definedName>
    <definedName name="BO1AEEEEBA4DB94394924EA5BB23DB97CD" hidden="1">#REF!</definedName>
    <definedName name="BO1B0C1F3412774AAD82B1A0048F43394C" localSheetId="1" hidden="1">#REF!</definedName>
    <definedName name="BO1B0C1F3412774AAD82B1A0048F43394C" hidden="1">#REF!</definedName>
    <definedName name="BO1B6A254ADDFE4E2BB4495FF2B8DBC33D" localSheetId="1" hidden="1">#REF!</definedName>
    <definedName name="BO1B6A254ADDFE4E2BB4495FF2B8DBC33D" hidden="1">#REF!</definedName>
    <definedName name="BO1B6D4533806140F4BC15106CD0280204" localSheetId="1" hidden="1">#REF!</definedName>
    <definedName name="BO1B6D4533806140F4BC15106CD0280204" hidden="1">#REF!</definedName>
    <definedName name="BO1B85A883F95C49CEB98C6DF26555C60B" localSheetId="1" hidden="1">#REF!</definedName>
    <definedName name="BO1B85A883F95C49CEB98C6DF26555C60B" hidden="1">#REF!</definedName>
    <definedName name="BO1BA0F85FEE9946789FB634B8E9D9DBBB" localSheetId="1" hidden="1">#REF!</definedName>
    <definedName name="BO1BA0F85FEE9946789FB634B8E9D9DBBB" hidden="1">#REF!</definedName>
    <definedName name="BO1BD01FF0E4524022A25C824C6E59111D" localSheetId="1" hidden="1">#REF!</definedName>
    <definedName name="BO1BD01FF0E4524022A25C824C6E59111D" hidden="1">#REF!</definedName>
    <definedName name="BO1BD7F6ACD4384F4B9F3447154798A6E4" localSheetId="1" hidden="1">#REF!</definedName>
    <definedName name="BO1BD7F6ACD4384F4B9F3447154798A6E4" hidden="1">#REF!</definedName>
    <definedName name="BO1BF9E66E763B4EB98D25AC0291A05922" localSheetId="1" hidden="1">#REF!</definedName>
    <definedName name="BO1BF9E66E763B4EB98D25AC0291A05922" hidden="1">#REF!</definedName>
    <definedName name="BO1BFBB0B2A4FD488786350A7D065100AB" localSheetId="1" hidden="1">#REF!</definedName>
    <definedName name="BO1BFBB0B2A4FD488786350A7D065100AB" hidden="1">#REF!</definedName>
    <definedName name="BO1C212F7E93FD425EB8C7E403A359ADC4" localSheetId="1" hidden="1">#REF!</definedName>
    <definedName name="BO1C212F7E93FD425EB8C7E403A359ADC4" hidden="1">#REF!</definedName>
    <definedName name="BO1C221C7E133F46F290B6C8355CE46EEB" localSheetId="1" hidden="1">#REF!</definedName>
    <definedName name="BO1C221C7E133F46F290B6C8355CE46EEB" hidden="1">#REF!</definedName>
    <definedName name="BO1C36BC29610C42C4B8952DC4538EE635" localSheetId="1" hidden="1">#REF!</definedName>
    <definedName name="BO1C36BC29610C42C4B8952DC4538EE635" hidden="1">#REF!</definedName>
    <definedName name="BO1C5C8D2C30914762A13EA7F12F743B68" localSheetId="1" hidden="1">#REF!</definedName>
    <definedName name="BO1C5C8D2C30914762A13EA7F12F743B68" hidden="1">#REF!</definedName>
    <definedName name="BO1C971F33474941669EB07DD6AEBF0DED" localSheetId="1" hidden="1">#REF!</definedName>
    <definedName name="BO1C971F33474941669EB07DD6AEBF0DED" hidden="1">#REF!</definedName>
    <definedName name="BO1C9C013EB3684B2482400A3F3678BCBC" localSheetId="1" hidden="1">#REF!</definedName>
    <definedName name="BO1C9C013EB3684B2482400A3F3678BCBC" hidden="1">#REF!</definedName>
    <definedName name="BO1CDFABE9376F4369B49FB2A91466507B" localSheetId="1" hidden="1">#REF!</definedName>
    <definedName name="BO1CDFABE9376F4369B49FB2A91466507B" hidden="1">#REF!</definedName>
    <definedName name="BO1CE38C2DEBA34856B512C24EE3ADC823" localSheetId="1" hidden="1">#REF!</definedName>
    <definedName name="BO1CE38C2DEBA34856B512C24EE3ADC823" hidden="1">#REF!</definedName>
    <definedName name="BO1CF581918036492BA441CBB8D16F1A47" localSheetId="1" hidden="1">#REF!</definedName>
    <definedName name="BO1CF581918036492BA441CBB8D16F1A47" hidden="1">#REF!</definedName>
    <definedName name="BO1D05B246E26B4B8C8A2B36D4400529E2" localSheetId="1" hidden="1">#REF!</definedName>
    <definedName name="BO1D05B246E26B4B8C8A2B36D4400529E2" hidden="1">#REF!</definedName>
    <definedName name="BO1D4294C1EA4C4BAEBCA94586D74D1DC5" localSheetId="1" hidden="1">#REF!</definedName>
    <definedName name="BO1D4294C1EA4C4BAEBCA94586D74D1DC5" hidden="1">#REF!</definedName>
    <definedName name="BO1D4A365C386E4B4EA630D6FCE844C385" localSheetId="1" hidden="1">#REF!</definedName>
    <definedName name="BO1D4A365C386E4B4EA630D6FCE844C385" hidden="1">#REF!</definedName>
    <definedName name="BO1D951DB00F204B15B36EDAB20E703593" localSheetId="1" hidden="1">#REF!</definedName>
    <definedName name="BO1D951DB00F204B15B36EDAB20E703593" hidden="1">#REF!</definedName>
    <definedName name="BO1DB8A055D05744F090E605B1BB368519" localSheetId="1" hidden="1">#REF!</definedName>
    <definedName name="BO1DB8A055D05744F090E605B1BB368519" hidden="1">#REF!</definedName>
    <definedName name="BO1DC1363A774A4136B6D67FACEDEFA16E" localSheetId="1" hidden="1">#REF!</definedName>
    <definedName name="BO1DC1363A774A4136B6D67FACEDEFA16E" hidden="1">#REF!</definedName>
    <definedName name="BO1DD62ED34D4A4EB2A2EF53C6A29AB304" localSheetId="1" hidden="1">#REF!</definedName>
    <definedName name="BO1DD62ED34D4A4EB2A2EF53C6A29AB304" hidden="1">#REF!</definedName>
    <definedName name="BO1DE0C534720C457AADD6950A7451EF52" localSheetId="1" hidden="1">#REF!</definedName>
    <definedName name="BO1DE0C534720C457AADD6950A7451EF52" hidden="1">#REF!</definedName>
    <definedName name="BO1E2194D8CDFB4D9BA7F5D75EC1B7BF1B" localSheetId="1" hidden="1">#REF!</definedName>
    <definedName name="BO1E2194D8CDFB4D9BA7F5D75EC1B7BF1B" hidden="1">#REF!</definedName>
    <definedName name="BO1E280BFD04604DE0915A57BBF4DA734B" localSheetId="1" hidden="1">#REF!</definedName>
    <definedName name="BO1E280BFD04604DE0915A57BBF4DA734B" hidden="1">#REF!</definedName>
    <definedName name="BO1E66013F35AB46B4BB7BA3843995F77B" localSheetId="1" hidden="1">#REF!</definedName>
    <definedName name="BO1E66013F35AB46B4BB7BA3843995F77B" hidden="1">#REF!</definedName>
    <definedName name="BO1E8D0549E90A410B9A6343B381B9A6B7" localSheetId="1" hidden="1">#REF!</definedName>
    <definedName name="BO1E8D0549E90A410B9A6343B381B9A6B7" hidden="1">#REF!</definedName>
    <definedName name="BO1EEB43E5768B490D93158CAC36C32735" localSheetId="1" hidden="1">#REF!</definedName>
    <definedName name="BO1EEB43E5768B490D93158CAC36C32735" hidden="1">#REF!</definedName>
    <definedName name="BO1F1F0AC333B54AB8AA0A2B6A21DD90F9" localSheetId="1" hidden="1">#REF!</definedName>
    <definedName name="BO1F1F0AC333B54AB8AA0A2B6A21DD90F9" hidden="1">#REF!</definedName>
    <definedName name="BO1F2247B4D19F44989217F8B7B69B91A2" localSheetId="1" hidden="1">#REF!</definedName>
    <definedName name="BO1F2247B4D19F44989217F8B7B69B91A2" hidden="1">#REF!</definedName>
    <definedName name="BO1F2F2D39B9134E14BF6909B867BD7AF6" localSheetId="1" hidden="1">#REF!</definedName>
    <definedName name="BO1F2F2D39B9134E14BF6909B867BD7AF6" hidden="1">#REF!</definedName>
    <definedName name="BO1F82DEF7BC6F4ABA8238DDF74DBBDCFA" localSheetId="1" hidden="1">#REF!</definedName>
    <definedName name="BO1F82DEF7BC6F4ABA8238DDF74DBBDCFA" hidden="1">#REF!</definedName>
    <definedName name="BO1F89B89382C44E3E9EA1286F9B7631AA" localSheetId="1" hidden="1">#REF!</definedName>
    <definedName name="BO1F89B89382C44E3E9EA1286F9B7631AA" hidden="1">#REF!</definedName>
    <definedName name="BO1F8F14A650D04420837B2B50639E20F4" localSheetId="1" hidden="1">#REF!</definedName>
    <definedName name="BO1F8F14A650D04420837B2B50639E20F4" hidden="1">#REF!</definedName>
    <definedName name="BO1FC573480CA240178FF48E2670B7A4A0" localSheetId="1" hidden="1">#REF!</definedName>
    <definedName name="BO1FC573480CA240178FF48E2670B7A4A0" hidden="1">#REF!</definedName>
    <definedName name="BO2000FE749D724E9FA707A10923AA63BA" localSheetId="1" hidden="1">#REF!</definedName>
    <definedName name="BO2000FE749D724E9FA707A10923AA63BA" hidden="1">#REF!</definedName>
    <definedName name="BO20321A83463342B6BE9EED47341BE910" localSheetId="1" hidden="1">#REF!</definedName>
    <definedName name="BO20321A83463342B6BE9EED47341BE910" hidden="1">#REF!</definedName>
    <definedName name="BO2034D10499B544CB9B0F74995F6888FC" localSheetId="1" hidden="1">#REF!</definedName>
    <definedName name="BO2034D10499B544CB9B0F74995F6888FC" hidden="1">#REF!</definedName>
    <definedName name="BO203FF1C3A1E142D1B63E1B44172413DA" localSheetId="1" hidden="1">#REF!</definedName>
    <definedName name="BO203FF1C3A1E142D1B63E1B44172413DA" hidden="1">#REF!</definedName>
    <definedName name="BO204642FE513F4864BD957482DEE68B8F" localSheetId="1" hidden="1">#REF!</definedName>
    <definedName name="BO204642FE513F4864BD957482DEE68B8F" hidden="1">#REF!</definedName>
    <definedName name="BO204FF4941138448AB83E89CC50327F00" localSheetId="1" hidden="1">#REF!</definedName>
    <definedName name="BO204FF4941138448AB83E89CC50327F00" hidden="1">#REF!</definedName>
    <definedName name="BO206329EB267149C4A8AA8B5A10CA0B23" localSheetId="1" hidden="1">#REF!</definedName>
    <definedName name="BO206329EB267149C4A8AA8B5A10CA0B23" hidden="1">#REF!</definedName>
    <definedName name="BO20B1EF585C2845948F50CE07BBB23873" localSheetId="1" hidden="1">#REF!</definedName>
    <definedName name="BO20B1EF585C2845948F50CE07BBB23873" hidden="1">#REF!</definedName>
    <definedName name="BO20D1E453DC204AA7855E147F78DD6AAD" localSheetId="1" hidden="1">#REF!</definedName>
    <definedName name="BO20D1E453DC204AA7855E147F78DD6AAD" hidden="1">#REF!</definedName>
    <definedName name="BO212DD771873C47AAA57B60EB6B9F57BD" localSheetId="1" hidden="1">#REF!</definedName>
    <definedName name="BO212DD771873C47AAA57B60EB6B9F57BD" hidden="1">#REF!</definedName>
    <definedName name="BO214488B37F2C49C698D6B5AB57289540" localSheetId="1" hidden="1">#REF!</definedName>
    <definedName name="BO214488B37F2C49C698D6B5AB57289540" hidden="1">#REF!</definedName>
    <definedName name="BO214D132833814397B2BD1FE796DC5190" localSheetId="1" hidden="1">#REF!</definedName>
    <definedName name="BO214D132833814397B2BD1FE796DC5190" hidden="1">#REF!</definedName>
    <definedName name="BO215053EE872749AEBA9B00A1BB1FFEDA" localSheetId="1" hidden="1">#REF!</definedName>
    <definedName name="BO215053EE872749AEBA9B00A1BB1FFEDA" hidden="1">#REF!</definedName>
    <definedName name="BO21545020FCFF4D56B98295C96A8B077E" localSheetId="1" hidden="1">#REF!</definedName>
    <definedName name="BO21545020FCFF4D56B98295C96A8B077E" hidden="1">#REF!</definedName>
    <definedName name="BO217988AF085C4BACAAF426DE9B872531" localSheetId="1" hidden="1">#REF!</definedName>
    <definedName name="BO217988AF085C4BACAAF426DE9B872531" hidden="1">#REF!</definedName>
    <definedName name="BO2189DB829D7F4206905850992E33E0A4" localSheetId="1" hidden="1">#REF!</definedName>
    <definedName name="BO2189DB829D7F4206905850992E33E0A4" hidden="1">#REF!</definedName>
    <definedName name="BO218F81DAEFAD49AF9B3A72E321755754" localSheetId="1" hidden="1">#REF!</definedName>
    <definedName name="BO218F81DAEFAD49AF9B3A72E321755754" hidden="1">#REF!</definedName>
    <definedName name="BO21B7D6B787174BE2B8F6B01A9D6AA5FE" localSheetId="1" hidden="1">#REF!</definedName>
    <definedName name="BO21B7D6B787174BE2B8F6B01A9D6AA5FE" hidden="1">#REF!</definedName>
    <definedName name="BO21C4FB5FE3604329AEA394B58537129B" localSheetId="1" hidden="1">#REF!</definedName>
    <definedName name="BO21C4FB5FE3604329AEA394B58537129B" hidden="1">#REF!</definedName>
    <definedName name="BO21D0E81725D8466AA71608F53692D790" localSheetId="1" hidden="1">#REF!</definedName>
    <definedName name="BO21D0E81725D8466AA71608F53692D790" hidden="1">#REF!</definedName>
    <definedName name="BO21D7421808CD43AEB5C11E05C94292F9" localSheetId="1" hidden="1">#REF!</definedName>
    <definedName name="BO21D7421808CD43AEB5C11E05C94292F9" hidden="1">#REF!</definedName>
    <definedName name="BO2205B08A30A4409FA799FD8E9BEFE75F" localSheetId="1" hidden="1">#REF!</definedName>
    <definedName name="BO2205B08A30A4409FA799FD8E9BEFE75F" hidden="1">#REF!</definedName>
    <definedName name="BO220D7DC8FBCC46DB8AE26ED60EB83250" localSheetId="1" hidden="1">#REF!</definedName>
    <definedName name="BO220D7DC8FBCC46DB8AE26ED60EB83250" hidden="1">#REF!</definedName>
    <definedName name="BO22610F6E625A439A8F25394A176010A4" localSheetId="1" hidden="1">#REF!</definedName>
    <definedName name="BO22610F6E625A439A8F25394A176010A4" hidden="1">#REF!</definedName>
    <definedName name="BO22888E30CEE943998FCB14107ADFE414" localSheetId="1" hidden="1">#REF!</definedName>
    <definedName name="BO22888E30CEE943998FCB14107ADFE414" hidden="1">#REF!</definedName>
    <definedName name="BO228F47AF9DF4454598ED125BC46429B3" localSheetId="1" hidden="1">#REF!</definedName>
    <definedName name="BO228F47AF9DF4454598ED125BC46429B3" hidden="1">#REF!</definedName>
    <definedName name="BO2293E5DE2C1E4AF389A9F0A14D86F5AF" localSheetId="1" hidden="1">#REF!</definedName>
    <definedName name="BO2293E5DE2C1E4AF389A9F0A14D86F5AF" hidden="1">#REF!</definedName>
    <definedName name="BO22A1A8DA83ED4E61AB9D4458E8BFBF5E" localSheetId="1" hidden="1">#REF!</definedName>
    <definedName name="BO22A1A8DA83ED4E61AB9D4458E8BFBF5E" hidden="1">#REF!</definedName>
    <definedName name="BO22D3C349283B473E826A3190CEF9563F" localSheetId="1" hidden="1">#REF!</definedName>
    <definedName name="BO22D3C349283B473E826A3190CEF9563F" hidden="1">#REF!</definedName>
    <definedName name="BO22DAEE4154BE4F90AEB9FD073AD52242" localSheetId="1" hidden="1">#REF!</definedName>
    <definedName name="BO22DAEE4154BE4F90AEB9FD073AD52242" hidden="1">#REF!</definedName>
    <definedName name="BO23012F6BDC194152B0763334AA8DE09A" localSheetId="1" hidden="1">#REF!</definedName>
    <definedName name="BO23012F6BDC194152B0763334AA8DE09A" hidden="1">#REF!</definedName>
    <definedName name="BO23209D5E42F647BC859A30AF7205B1EB" localSheetId="1" hidden="1">#REF!</definedName>
    <definedName name="BO23209D5E42F647BC859A30AF7205B1EB" hidden="1">#REF!</definedName>
    <definedName name="BO232A1F5D59654CA6A0C19E0D0B1835E8" localSheetId="1" hidden="1">#REF!</definedName>
    <definedName name="BO232A1F5D59654CA6A0C19E0D0B1835E8" hidden="1">#REF!</definedName>
    <definedName name="BO238D5E71A2E1462CB8F96F7465F66260" localSheetId="1" hidden="1">#REF!</definedName>
    <definedName name="BO238D5E71A2E1462CB8F96F7465F66260" hidden="1">#REF!</definedName>
    <definedName name="BO239512C7B5004432BAAF1A7F1FC243C5" localSheetId="1" hidden="1">#REF!</definedName>
    <definedName name="BO239512C7B5004432BAAF1A7F1FC243C5" hidden="1">#REF!</definedName>
    <definedName name="BO23AD48D3F0FF4E00B57ABF30917F461A" localSheetId="1" hidden="1">#REF!</definedName>
    <definedName name="BO23AD48D3F0FF4E00B57ABF30917F461A" hidden="1">#REF!</definedName>
    <definedName name="BO23C11F2418AF424A9FB7F13AE8573CB8" localSheetId="1" hidden="1">#REF!</definedName>
    <definedName name="BO23C11F2418AF424A9FB7F13AE8573CB8" hidden="1">#REF!</definedName>
    <definedName name="BO23C6AAE56A2449618B0EB245E68264AA" localSheetId="1" hidden="1">#REF!</definedName>
    <definedName name="BO23C6AAE56A2449618B0EB245E68264AA" hidden="1">#REF!</definedName>
    <definedName name="BO245314F5F48D49ECB9E2294C5FD21EF4" localSheetId="1" hidden="1">#REF!</definedName>
    <definedName name="BO245314F5F48D49ECB9E2294C5FD21EF4" hidden="1">#REF!</definedName>
    <definedName name="BO246E872D11F54CBDA9CAAE7F3CEE8A3B" localSheetId="1" hidden="1">#REF!</definedName>
    <definedName name="BO246E872D11F54CBDA9CAAE7F3CEE8A3B" hidden="1">#REF!</definedName>
    <definedName name="BO248CF0663C3845EA91C27C65CD94A27B" localSheetId="1" hidden="1">#REF!</definedName>
    <definedName name="BO248CF0663C3845EA91C27C65CD94A27B" hidden="1">#REF!</definedName>
    <definedName name="BO248FCFD187D14607903BF0499FC1EB08" localSheetId="1" hidden="1">#REF!</definedName>
    <definedName name="BO248FCFD187D14607903BF0499FC1EB08" hidden="1">#REF!</definedName>
    <definedName name="BO2491BAC9A38342598DD19C9D4DB0A34F" localSheetId="1" hidden="1">#REF!</definedName>
    <definedName name="BO2491BAC9A38342598DD19C9D4DB0A34F" hidden="1">#REF!</definedName>
    <definedName name="BO2495A54824434CB189951F5549DEB370" localSheetId="1" hidden="1">#REF!</definedName>
    <definedName name="BO2495A54824434CB189951F5549DEB370" hidden="1">#REF!</definedName>
    <definedName name="BO24E609E1B65A4E6D90B359EFB6863E2A" localSheetId="1" hidden="1">#REF!</definedName>
    <definedName name="BO24E609E1B65A4E6D90B359EFB6863E2A" hidden="1">#REF!</definedName>
    <definedName name="BO2519A3AFD9904F0EA701766B92D044A5" localSheetId="1" hidden="1">#REF!</definedName>
    <definedName name="BO2519A3AFD9904F0EA701766B92D044A5" hidden="1">#REF!</definedName>
    <definedName name="BO251EB7BFC4E14C0681BE2DCEEAD845E7" localSheetId="1" hidden="1">#REF!</definedName>
    <definedName name="BO251EB7BFC4E14C0681BE2DCEEAD845E7" hidden="1">#REF!</definedName>
    <definedName name="BO252C3CBD29A243C0AEDAC1F87AD31F53" localSheetId="1" hidden="1">#REF!</definedName>
    <definedName name="BO252C3CBD29A243C0AEDAC1F87AD31F53" hidden="1">#REF!</definedName>
    <definedName name="BO253ACAECC53145009F3843BD2D2D919F" localSheetId="1" hidden="1">#REF!</definedName>
    <definedName name="BO253ACAECC53145009F3843BD2D2D919F" hidden="1">#REF!</definedName>
    <definedName name="BO25534CD9966549BBBEF5257F84D5DBE7" localSheetId="1" hidden="1">#REF!</definedName>
    <definedName name="BO25534CD9966549BBBEF5257F84D5DBE7" hidden="1">#REF!</definedName>
    <definedName name="BO258A9ECB60464A8388B0908E365683DA" localSheetId="1" hidden="1">#REF!</definedName>
    <definedName name="BO258A9ECB60464A8388B0908E365683DA" hidden="1">#REF!</definedName>
    <definedName name="BO25972B76844C4D6090FBC7E7F45106D6" localSheetId="1" hidden="1">#REF!</definedName>
    <definedName name="BO25972B76844C4D6090FBC7E7F45106D6" hidden="1">#REF!</definedName>
    <definedName name="BO25CC43297124428EB72F08A9A2E14CDC" localSheetId="1" hidden="1">#REF!</definedName>
    <definedName name="BO25CC43297124428EB72F08A9A2E14CDC" hidden="1">#REF!</definedName>
    <definedName name="BO25CE6931E52947EC9FF070514959E42A" localSheetId="1" hidden="1">#REF!</definedName>
    <definedName name="BO25CE6931E52947EC9FF070514959E42A" hidden="1">#REF!</definedName>
    <definedName name="BO25E9553CF8974A33892EB1745060FD61" localSheetId="1" hidden="1">#REF!</definedName>
    <definedName name="BO25E9553CF8974A33892EB1745060FD61" hidden="1">#REF!</definedName>
    <definedName name="BO2605237EAE654A23B72B55DAF523B6A6" localSheetId="1" hidden="1">#REF!</definedName>
    <definedName name="BO2605237EAE654A23B72B55DAF523B6A6" hidden="1">#REF!</definedName>
    <definedName name="BO260CD5A6C36945F0889CD82152A4F67D" localSheetId="1" hidden="1">#REF!</definedName>
    <definedName name="BO260CD5A6C36945F0889CD82152A4F67D" hidden="1">#REF!</definedName>
    <definedName name="BO2621C14BA85E4F63813A3AA292ECE0ED" localSheetId="1" hidden="1">#REF!</definedName>
    <definedName name="BO2621C14BA85E4F63813A3AA292ECE0ED" hidden="1">#REF!</definedName>
    <definedName name="BO263E075F494444DD84B1B7BE398676C9" localSheetId="1" hidden="1">#REF!</definedName>
    <definedName name="BO263E075F494444DD84B1B7BE398676C9" hidden="1">#REF!</definedName>
    <definedName name="BO263FD10022B946D7941BB791BCB0FFAF" localSheetId="1" hidden="1">#REF!</definedName>
    <definedName name="BO263FD10022B946D7941BB791BCB0FFAF" hidden="1">#REF!</definedName>
    <definedName name="BO2684A03C65AE4FAC9C61F096104EFFBA" localSheetId="1" hidden="1">#REF!</definedName>
    <definedName name="BO2684A03C65AE4FAC9C61F096104EFFBA" hidden="1">#REF!</definedName>
    <definedName name="BO26B4CA84091B46B0AA4A7DC046DB89D9" localSheetId="1" hidden="1">#REF!</definedName>
    <definedName name="BO26B4CA84091B46B0AA4A7DC046DB89D9" hidden="1">#REF!</definedName>
    <definedName name="BO26C7B304F6FA4B03AB8CF8A8BA949F2F" localSheetId="1" hidden="1">#REF!</definedName>
    <definedName name="BO26C7B304F6FA4B03AB8CF8A8BA949F2F" hidden="1">#REF!</definedName>
    <definedName name="BO26E084514C0D49058DBC96E0B99F9586" localSheetId="1" hidden="1">#REF!</definedName>
    <definedName name="BO26E084514C0D49058DBC96E0B99F9586" hidden="1">#REF!</definedName>
    <definedName name="BO270A5D31B3524AE3B86DF95ACF263DA5" localSheetId="1" hidden="1">#REF!</definedName>
    <definedName name="BO270A5D31B3524AE3B86DF95ACF263DA5" hidden="1">#REF!</definedName>
    <definedName name="BO2712061D2CEE4515A14E98D80E1B0F54" localSheetId="1" hidden="1">#REF!</definedName>
    <definedName name="BO2712061D2CEE4515A14E98D80E1B0F54" hidden="1">#REF!</definedName>
    <definedName name="BO2713576DE8C640EB8F34FBFBC18DC2CF" localSheetId="1" hidden="1">#REF!</definedName>
    <definedName name="BO2713576DE8C640EB8F34FBFBC18DC2CF" hidden="1">#REF!</definedName>
    <definedName name="BO2736BE2C649942CAAD9C76A4AF14A7B5" localSheetId="1" hidden="1">#REF!</definedName>
    <definedName name="BO2736BE2C649942CAAD9C76A4AF14A7B5" hidden="1">#REF!</definedName>
    <definedName name="BO2746CE4B614C491EB43F40E15D1840DF" localSheetId="1" hidden="1">#REF!</definedName>
    <definedName name="BO2746CE4B614C491EB43F40E15D1840DF" hidden="1">#REF!</definedName>
    <definedName name="BO275E25DD631F40F8B24EDCD86DD7FEC2" localSheetId="1" hidden="1">#REF!</definedName>
    <definedName name="BO275E25DD631F40F8B24EDCD86DD7FEC2" hidden="1">#REF!</definedName>
    <definedName name="BO275E4ECEE6494ABA8F39B3E706DB36F1" localSheetId="1" hidden="1">#REF!</definedName>
    <definedName name="BO275E4ECEE6494ABA8F39B3E706DB36F1" hidden="1">#REF!</definedName>
    <definedName name="BO276E5B75752E42ABA7FFE433FA7483DB" localSheetId="1" hidden="1">#REF!</definedName>
    <definedName name="BO276E5B75752E42ABA7FFE433FA7483DB" hidden="1">#REF!</definedName>
    <definedName name="BO27816D7F127044918D1598D188090C9A" localSheetId="1" hidden="1">#REF!</definedName>
    <definedName name="BO27816D7F127044918D1598D188090C9A" hidden="1">#REF!</definedName>
    <definedName name="BO27AFB7AC1D91473EA7307E41C74A7165" localSheetId="1" hidden="1">#REF!</definedName>
    <definedName name="BO27AFB7AC1D91473EA7307E41C74A7165" hidden="1">#REF!</definedName>
    <definedName name="BO27D814C769454C58B42460776C0DC153" localSheetId="1" hidden="1">#REF!</definedName>
    <definedName name="BO27D814C769454C58B42460776C0DC153" hidden="1">#REF!</definedName>
    <definedName name="BO27FD3284091B4111A920005D69671CC4" localSheetId="1" hidden="1">#REF!</definedName>
    <definedName name="BO27FD3284091B4111A920005D69671CC4" hidden="1">#REF!</definedName>
    <definedName name="BO28058A6D0D9E43548DE48D1A42EF83A4" localSheetId="1" hidden="1">#REF!</definedName>
    <definedName name="BO28058A6D0D9E43548DE48D1A42EF83A4" hidden="1">#REF!</definedName>
    <definedName name="BO2820D853115942E2941DF3C43B838765" localSheetId="1" hidden="1">#REF!</definedName>
    <definedName name="BO2820D853115942E2941DF3C43B838765" hidden="1">#REF!</definedName>
    <definedName name="BO2822CE5A46F546959CCC53503C2BEEA3" localSheetId="1" hidden="1">#REF!</definedName>
    <definedName name="BO2822CE5A46F546959CCC53503C2BEEA3" hidden="1">#REF!</definedName>
    <definedName name="BO287E7F9F8DFC4F1B9069C51543542F7E" localSheetId="1" hidden="1">#REF!</definedName>
    <definedName name="BO287E7F9F8DFC4F1B9069C51543542F7E" hidden="1">#REF!</definedName>
    <definedName name="BO289041DB794344C0BEE419C711E28AD3" localSheetId="1" hidden="1">#REF!</definedName>
    <definedName name="BO289041DB794344C0BEE419C711E28AD3" hidden="1">#REF!</definedName>
    <definedName name="BO28ADD8D60FE240D793C9FCF23B3D9EE7" localSheetId="1" hidden="1">#REF!</definedName>
    <definedName name="BO28ADD8D60FE240D793C9FCF23B3D9EE7" hidden="1">#REF!</definedName>
    <definedName name="BO28F284D5E1154013B0BD0FEA710FFC22" localSheetId="1" hidden="1">#REF!</definedName>
    <definedName name="BO28F284D5E1154013B0BD0FEA710FFC22" hidden="1">#REF!</definedName>
    <definedName name="BO29059DBAFB024C1B8E44428FD7EDBCF7" localSheetId="1" hidden="1">#REF!</definedName>
    <definedName name="BO29059DBAFB024C1B8E44428FD7EDBCF7" hidden="1">#REF!</definedName>
    <definedName name="BO292558CF2526419C8B5C330E0685DA10" localSheetId="1" hidden="1">#REF!</definedName>
    <definedName name="BO292558CF2526419C8B5C330E0685DA10" hidden="1">#REF!</definedName>
    <definedName name="BO2950441D89D4497BB606AF9DBCCFB690" localSheetId="1" hidden="1">#REF!</definedName>
    <definedName name="BO2950441D89D4497BB606AF9DBCCFB690" hidden="1">#REF!</definedName>
    <definedName name="BO29999A213FBF4583A9F7E72E99075BD1" localSheetId="1" hidden="1">#REF!</definedName>
    <definedName name="BO29999A213FBF4583A9F7E72E99075BD1" hidden="1">#REF!</definedName>
    <definedName name="BO29CFEBF42BA04B0F9EF2B73368DD7D36" localSheetId="1" hidden="1">#REF!</definedName>
    <definedName name="BO29CFEBF42BA04B0F9EF2B73368DD7D36" hidden="1">#REF!</definedName>
    <definedName name="BO29D9B6BABE6F40EDA1A64BAFBAAD0029" localSheetId="1" hidden="1">#REF!</definedName>
    <definedName name="BO29D9B6BABE6F40EDA1A64BAFBAAD0029" hidden="1">#REF!</definedName>
    <definedName name="BO29DF8390BF4D4D4C9C109B7FB0800587" localSheetId="1" hidden="1">#REF!</definedName>
    <definedName name="BO29DF8390BF4D4D4C9C109B7FB0800587" hidden="1">#REF!</definedName>
    <definedName name="BO29F37DD04DF84D13A76F83F278993FF5" localSheetId="1" hidden="1">#REF!</definedName>
    <definedName name="BO29F37DD04DF84D13A76F83F278993FF5" hidden="1">#REF!</definedName>
    <definedName name="BO2A68C8385C834137AB6A597C4C15F834" localSheetId="1" hidden="1">#REF!</definedName>
    <definedName name="BO2A68C8385C834137AB6A597C4C15F834" hidden="1">#REF!</definedName>
    <definedName name="BO2ACEC73771DA4CA29214F27324CDF669" localSheetId="1" hidden="1">#REF!</definedName>
    <definedName name="BO2ACEC73771DA4CA29214F27324CDF669" hidden="1">#REF!</definedName>
    <definedName name="BO2B35EC858E5E4498AB5E85A1F36C0B55" localSheetId="1" hidden="1">#REF!</definedName>
    <definedName name="BO2B35EC858E5E4498AB5E85A1F36C0B55" hidden="1">#REF!</definedName>
    <definedName name="BO2B3C5F919A5A4B3E98665B4E17AFD301" localSheetId="1" hidden="1">#REF!</definedName>
    <definedName name="BO2B3C5F919A5A4B3E98665B4E17AFD301" hidden="1">#REF!</definedName>
    <definedName name="BO2B4252BB76D04F66A45B9EE60EBB29B5" localSheetId="1" hidden="1">#REF!</definedName>
    <definedName name="BO2B4252BB76D04F66A45B9EE60EBB29B5" hidden="1">#REF!</definedName>
    <definedName name="BO2B6AAA2881A84B7C9BDD628A5D6EEC2D" localSheetId="1" hidden="1">#REF!</definedName>
    <definedName name="BO2B6AAA2881A84B7C9BDD628A5D6EEC2D" hidden="1">#REF!</definedName>
    <definedName name="BO2B91C0FF7A1E481CAFD2A997AED66625" localSheetId="1" hidden="1">#REF!</definedName>
    <definedName name="BO2B91C0FF7A1E481CAFD2A997AED66625" hidden="1">#REF!</definedName>
    <definedName name="BO2B9FFCE021A0461C872DCA59C3D3166F" localSheetId="1" hidden="1">#REF!</definedName>
    <definedName name="BO2B9FFCE021A0461C872DCA59C3D3166F" hidden="1">#REF!</definedName>
    <definedName name="BO2BFF76DEECCD4DF484E8CCDE5D6B2362" localSheetId="1" hidden="1">#REF!</definedName>
    <definedName name="BO2BFF76DEECCD4DF484E8CCDE5D6B2362" hidden="1">#REF!</definedName>
    <definedName name="BO2BFFFF55E91E412EAA08B005F0A65541" localSheetId="1" hidden="1">#REF!</definedName>
    <definedName name="BO2BFFFF55E91E412EAA08B005F0A65541" hidden="1">#REF!</definedName>
    <definedName name="BO2C367D597C6245EBA841FD9D9C4237E2" localSheetId="1" hidden="1">#REF!</definedName>
    <definedName name="BO2C367D597C6245EBA841FD9D9C4237E2" hidden="1">#REF!</definedName>
    <definedName name="BO2C783B4F85E24FB88F7951E6B8A86AB0" localSheetId="1" hidden="1">#REF!</definedName>
    <definedName name="BO2C783B4F85E24FB88F7951E6B8A86AB0" hidden="1">#REF!</definedName>
    <definedName name="BO2C889DD7D9D4453389EF2CC7C7400910" localSheetId="1" hidden="1">#REF!</definedName>
    <definedName name="BO2C889DD7D9D4453389EF2CC7C7400910" hidden="1">#REF!</definedName>
    <definedName name="BO2C893EF3E06045B8AAE30677A78003B4" localSheetId="1" hidden="1">#REF!</definedName>
    <definedName name="BO2C893EF3E06045B8AAE30677A78003B4" hidden="1">#REF!</definedName>
    <definedName name="BO2CAEB9A05E524B25B5984BDCD9C073D6" localSheetId="1" hidden="1">#REF!</definedName>
    <definedName name="BO2CAEB9A05E524B25B5984BDCD9C073D6" hidden="1">#REF!</definedName>
    <definedName name="BO2CB7639AD20549F3B40E039515EFF2EA" localSheetId="1" hidden="1">#REF!</definedName>
    <definedName name="BO2CB7639AD20549F3B40E039515EFF2EA" hidden="1">#REF!</definedName>
    <definedName name="BO2CFDBA12D8E94FF6AF9B5EA62A3C061E" localSheetId="1" hidden="1">#REF!</definedName>
    <definedName name="BO2CFDBA12D8E94FF6AF9B5EA62A3C061E" hidden="1">#REF!</definedName>
    <definedName name="BO2D06A4A023464C6A8482AF000275C1A3" localSheetId="1" hidden="1">#REF!</definedName>
    <definedName name="BO2D06A4A023464C6A8482AF000275C1A3" hidden="1">#REF!</definedName>
    <definedName name="BO2D26B3DF58A8486183A106C7BF1FA67E" localSheetId="1" hidden="1">#REF!</definedName>
    <definedName name="BO2D26B3DF58A8486183A106C7BF1FA67E" hidden="1">#REF!</definedName>
    <definedName name="BO2D31A6FA7EB244579F44D35B99A4A8E4" localSheetId="1" hidden="1">#REF!</definedName>
    <definedName name="BO2D31A6FA7EB244579F44D35B99A4A8E4" hidden="1">#REF!</definedName>
    <definedName name="BO2D54BAB3A82B44928B563DE60EC0FD7D" localSheetId="1" hidden="1">#REF!</definedName>
    <definedName name="BO2D54BAB3A82B44928B563DE60EC0FD7D" hidden="1">#REF!</definedName>
    <definedName name="BO2D56E23DE46E41278B653EC68C177F70" localSheetId="1" hidden="1">#REF!</definedName>
    <definedName name="BO2D56E23DE46E41278B653EC68C177F70" hidden="1">#REF!</definedName>
    <definedName name="BO2D5ED7DAF43E440CBA2EDD04007603F7" localSheetId="1" hidden="1">#REF!</definedName>
    <definedName name="BO2D5ED7DAF43E440CBA2EDD04007603F7" hidden="1">#REF!</definedName>
    <definedName name="BO2D6952FC28424398BBE67A8663C3CAAA" localSheetId="1" hidden="1">#REF!</definedName>
    <definedName name="BO2D6952FC28424398BBE67A8663C3CAAA" hidden="1">#REF!</definedName>
    <definedName name="BO2D87AEA7FFE24D6298B56D6AC2B80C69" localSheetId="1" hidden="1">#REF!</definedName>
    <definedName name="BO2D87AEA7FFE24D6298B56D6AC2B80C69" hidden="1">#REF!</definedName>
    <definedName name="BO2D8BC348CDD041779ECE70F98BC3F557" localSheetId="1" hidden="1">#REF!</definedName>
    <definedName name="BO2D8BC348CDD041779ECE70F98BC3F557" hidden="1">#REF!</definedName>
    <definedName name="BO2D8E3A6420914965BF19B696C6FDDB98" localSheetId="1" hidden="1">#REF!</definedName>
    <definedName name="BO2D8E3A6420914965BF19B696C6FDDB98" hidden="1">#REF!</definedName>
    <definedName name="BO2D9AC84D96AF42AA92BCDA8C34005373" localSheetId="1" hidden="1">#REF!</definedName>
    <definedName name="BO2D9AC84D96AF42AA92BCDA8C34005373" hidden="1">#REF!</definedName>
    <definedName name="BO2DCD5B6ED5004362994797D85763A69B" localSheetId="1" hidden="1">#REF!</definedName>
    <definedName name="BO2DCD5B6ED5004362994797D85763A69B" hidden="1">#REF!</definedName>
    <definedName name="BO2DCF80E250E645A29463073D5E33DF72" localSheetId="1" hidden="1">#REF!</definedName>
    <definedName name="BO2DCF80E250E645A29463073D5E33DF72" hidden="1">#REF!</definedName>
    <definedName name="BO2DD4678FCE224E6994B756524707755F" localSheetId="1" hidden="1">#REF!</definedName>
    <definedName name="BO2DD4678FCE224E6994B756524707755F" hidden="1">#REF!</definedName>
    <definedName name="BO2DD4E3C6BF6E4DA983890148DF40506D" localSheetId="1" hidden="1">#REF!</definedName>
    <definedName name="BO2DD4E3C6BF6E4DA983890148DF40506D" hidden="1">#REF!</definedName>
    <definedName name="BO2DED502E1D1E4D9C9CCEC23CEB3F40DD" localSheetId="1" hidden="1">#REF!</definedName>
    <definedName name="BO2DED502E1D1E4D9C9CCEC23CEB3F40DD" hidden="1">#REF!</definedName>
    <definedName name="BO2DED886FB72E452D80B8CDB76E9B61DE" localSheetId="1" hidden="1">#REF!</definedName>
    <definedName name="BO2DED886FB72E452D80B8CDB76E9B61DE" hidden="1">#REF!</definedName>
    <definedName name="BO2DF6685EBC6440CEBADE1F180B3EC72A" localSheetId="1" hidden="1">#REF!</definedName>
    <definedName name="BO2DF6685EBC6440CEBADE1F180B3EC72A" hidden="1">#REF!</definedName>
    <definedName name="BO2E0ADDF3EDA5412893AD4ACADC83B2FE" localSheetId="1" hidden="1">#REF!</definedName>
    <definedName name="BO2E0ADDF3EDA5412893AD4ACADC83B2FE" hidden="1">#REF!</definedName>
    <definedName name="BO2E0CEBF6C3334D0486E22BAF923C84FB" localSheetId="1" hidden="1">#REF!</definedName>
    <definedName name="BO2E0CEBF6C3334D0486E22BAF923C84FB" hidden="1">#REF!</definedName>
    <definedName name="BO2E9E3090B08D47EBBC36CF959D2176D1" localSheetId="1" hidden="1">#REF!</definedName>
    <definedName name="BO2E9E3090B08D47EBBC36CF959D2176D1" hidden="1">#REF!</definedName>
    <definedName name="BO2EC57A3E2D884825BA0BD928EF4AE1AD" localSheetId="1" hidden="1">#REF!</definedName>
    <definedName name="BO2EC57A3E2D884825BA0BD928EF4AE1AD" hidden="1">#REF!</definedName>
    <definedName name="BO2EDBF44490984D53A344E7B9CA6A35D0" localSheetId="1" hidden="1">#REF!</definedName>
    <definedName name="BO2EDBF44490984D53A344E7B9CA6A35D0" hidden="1">#REF!</definedName>
    <definedName name="BO2F048AD87674415EBAF572BA92AF1215" localSheetId="1" hidden="1">#REF!</definedName>
    <definedName name="BO2F048AD87674415EBAF572BA92AF1215" hidden="1">#REF!</definedName>
    <definedName name="BO2F166ED9BE3F4F8AB2267F7697917DD0" localSheetId="1" hidden="1">#REF!</definedName>
    <definedName name="BO2F166ED9BE3F4F8AB2267F7697917DD0" hidden="1">#REF!</definedName>
    <definedName name="BO2F358C635E6F441BBFA6F1602189C967" localSheetId="1" hidden="1">#REF!</definedName>
    <definedName name="BO2F358C635E6F441BBFA6F1602189C967" hidden="1">#REF!</definedName>
    <definedName name="BO2F4539B649B74DA99365C8555DF35795" localSheetId="1" hidden="1">#REF!</definedName>
    <definedName name="BO2F4539B649B74DA99365C8555DF35795" hidden="1">#REF!</definedName>
    <definedName name="BO2F4A80B58C7249F39C3A1B337E9D6D68" localSheetId="1" hidden="1">#REF!</definedName>
    <definedName name="BO2F4A80B58C7249F39C3A1B337E9D6D68" hidden="1">#REF!</definedName>
    <definedName name="BO2F6D4FCC2ECE4F8E86291FE9436839CB" localSheetId="1" hidden="1">#REF!</definedName>
    <definedName name="BO2F6D4FCC2ECE4F8E86291FE9436839CB" hidden="1">#REF!</definedName>
    <definedName name="BO2F6D718B7E994EE6A3AB38E7D4068FAD" localSheetId="1" hidden="1">#REF!</definedName>
    <definedName name="BO2F6D718B7E994EE6A3AB38E7D4068FAD" hidden="1">#REF!</definedName>
    <definedName name="BO2FC349B9327645118BC37D9143F7FAD5" localSheetId="1" hidden="1">#REF!</definedName>
    <definedName name="BO2FC349B9327645118BC37D9143F7FAD5" hidden="1">#REF!</definedName>
    <definedName name="BO2FC45C16A3F54D729E26F3464A622F47" localSheetId="1" hidden="1">#REF!</definedName>
    <definedName name="BO2FC45C16A3F54D729E26F3464A622F47" hidden="1">#REF!</definedName>
    <definedName name="BO30BB2A290A4B4A7A86CF91ABD473B52C" localSheetId="1" hidden="1">#REF!</definedName>
    <definedName name="BO30BB2A290A4B4A7A86CF91ABD473B52C" hidden="1">#REF!</definedName>
    <definedName name="BO30F82A0F45F0488B9BF672A0DD5384B3" localSheetId="1" hidden="1">#REF!</definedName>
    <definedName name="BO30F82A0F45F0488B9BF672A0DD5384B3" hidden="1">#REF!</definedName>
    <definedName name="BO312587118F00438F8D4DDD5EC86D6441" localSheetId="1" hidden="1">#REF!</definedName>
    <definedName name="BO312587118F00438F8D4DDD5EC86D6441" hidden="1">#REF!</definedName>
    <definedName name="BO3185C5AFD18F419BAA9951E27A665BEC" localSheetId="1" hidden="1">#REF!</definedName>
    <definedName name="BO3185C5AFD18F419BAA9951E27A665BEC" hidden="1">#REF!</definedName>
    <definedName name="BO31AE2847EEBD4163AFD0D5ACEBEE6896" localSheetId="1" hidden="1">#REF!</definedName>
    <definedName name="BO31AE2847EEBD4163AFD0D5ACEBEE6896" hidden="1">#REF!</definedName>
    <definedName name="BO31B1C27CA2784591B3BD7B8F97CEC20D" localSheetId="1" hidden="1">#REF!</definedName>
    <definedName name="BO31B1C27CA2784591B3BD7B8F97CEC20D" hidden="1">#REF!</definedName>
    <definedName name="BO31B3626C280842DDB0F0576C3AB66A35" localSheetId="1" hidden="1">#REF!</definedName>
    <definedName name="BO31B3626C280842DDB0F0576C3AB66A35" hidden="1">#REF!</definedName>
    <definedName name="BO31CD43A4563F48E3ADEF3B086F77F412" localSheetId="1" hidden="1">#REF!</definedName>
    <definedName name="BO31CD43A4563F48E3ADEF3B086F77F412" hidden="1">#REF!</definedName>
    <definedName name="BO31D8C066076E4283A10C0EDC7E92C950" localSheetId="1" hidden="1">#REF!</definedName>
    <definedName name="BO31D8C066076E4283A10C0EDC7E92C950" hidden="1">#REF!</definedName>
    <definedName name="BO31DA1E9AC58D4BD2AA9F8600C99DE660" localSheetId="1" hidden="1">#REF!</definedName>
    <definedName name="BO31DA1E9AC58D4BD2AA9F8600C99DE660" hidden="1">#REF!</definedName>
    <definedName name="BO31FF4845F0134E159EDFA068B8DF1456" localSheetId="1" hidden="1">#REF!</definedName>
    <definedName name="BO31FF4845F0134E159EDFA068B8DF1456" hidden="1">#REF!</definedName>
    <definedName name="BO327C7F9E4E9D4477B4611F339FE9E318" localSheetId="1" hidden="1">#REF!</definedName>
    <definedName name="BO327C7F9E4E9D4477B4611F339FE9E318" hidden="1">#REF!</definedName>
    <definedName name="BO329031B61E9B4E1CB748E2BF18453CBA" localSheetId="1" hidden="1">#REF!</definedName>
    <definedName name="BO329031B61E9B4E1CB748E2BF18453CBA" hidden="1">#REF!</definedName>
    <definedName name="BO329794FEEEA848A3A8CD1316B34A9B9B" localSheetId="1" hidden="1">#REF!</definedName>
    <definedName name="BO329794FEEEA848A3A8CD1316B34A9B9B" hidden="1">#REF!</definedName>
    <definedName name="BO32CC748630CD44A78FE35D7DD55C5CB1" localSheetId="1" hidden="1">#REF!</definedName>
    <definedName name="BO32CC748630CD44A78FE35D7DD55C5CB1" hidden="1">#REF!</definedName>
    <definedName name="BO32D8C11D52E246B8B1167589D681611B" localSheetId="1" hidden="1">#REF!</definedName>
    <definedName name="BO32D8C11D52E246B8B1167589D681611B" hidden="1">#REF!</definedName>
    <definedName name="BO32FCC3651E0F431EB99F7A93F30F5188" localSheetId="1" hidden="1">#REF!</definedName>
    <definedName name="BO32FCC3651E0F431EB99F7A93F30F5188" hidden="1">#REF!</definedName>
    <definedName name="BO333C6704208C4D37A85C8AEE75D910E8" localSheetId="1" hidden="1">#REF!</definedName>
    <definedName name="BO333C6704208C4D37A85C8AEE75D910E8" hidden="1">#REF!</definedName>
    <definedName name="BO3361CC5D96CC46409F71EB663340E25A" localSheetId="1" hidden="1">#REF!</definedName>
    <definedName name="BO3361CC5D96CC46409F71EB663340E25A" hidden="1">#REF!</definedName>
    <definedName name="BO33A986EB05E14342B05CFAE40A8B8CB3" localSheetId="1" hidden="1">#REF!</definedName>
    <definedName name="BO33A986EB05E14342B05CFAE40A8B8CB3" hidden="1">#REF!</definedName>
    <definedName name="BO33E5D2DECC00492E98BB2AE9970273F4" localSheetId="1" hidden="1">#REF!</definedName>
    <definedName name="BO33E5D2DECC00492E98BB2AE9970273F4" hidden="1">#REF!</definedName>
    <definedName name="BO3401980CAE564BF1889B707647DEED49" localSheetId="1" hidden="1">#REF!</definedName>
    <definedName name="BO3401980CAE564BF1889B707647DEED49" hidden="1">#REF!</definedName>
    <definedName name="BO34546B46330B469FB089735939C3C993" localSheetId="1" hidden="1">#REF!</definedName>
    <definedName name="BO34546B46330B469FB089735939C3C993" hidden="1">#REF!</definedName>
    <definedName name="BO348D5DD8702F4F70A5106B888B0D1864" localSheetId="1" hidden="1">#REF!</definedName>
    <definedName name="BO348D5DD8702F4F70A5106B888B0D1864" hidden="1">#REF!</definedName>
    <definedName name="BO34B0D1C3C2DF41599DDC64764EE93927" localSheetId="1" hidden="1">#REF!</definedName>
    <definedName name="BO34B0D1C3C2DF41599DDC64764EE93927" hidden="1">#REF!</definedName>
    <definedName name="BO34B7BDFF82DF4756A8B9115EECD3DD5D" localSheetId="1" hidden="1">#REF!</definedName>
    <definedName name="BO34B7BDFF82DF4756A8B9115EECD3DD5D" hidden="1">#REF!</definedName>
    <definedName name="BO34D62F43660440BF9F470BD093905410" localSheetId="1" hidden="1">#REF!</definedName>
    <definedName name="BO34D62F43660440BF9F470BD093905410" hidden="1">#REF!</definedName>
    <definedName name="BO34ECD4B14C4A4E6C9DA339E125472BD3" localSheetId="1" hidden="1">#REF!</definedName>
    <definedName name="BO34ECD4B14C4A4E6C9DA339E125472BD3" hidden="1">#REF!</definedName>
    <definedName name="BO35622FA1F1354C5196130C748559B8D8" localSheetId="1" hidden="1">#REF!</definedName>
    <definedName name="BO35622FA1F1354C5196130C748559B8D8" hidden="1">#REF!</definedName>
    <definedName name="BO35C8047FFF54448D8A6763D6C5459131" localSheetId="1" hidden="1">#REF!</definedName>
    <definedName name="BO35C8047FFF54448D8A6763D6C5459131" hidden="1">#REF!</definedName>
    <definedName name="BO35CA3E17081642D39D09C6DF175E5552" localSheetId="1" hidden="1">#REF!</definedName>
    <definedName name="BO35CA3E17081642D39D09C6DF175E5552" hidden="1">#REF!</definedName>
    <definedName name="BO35FDB2AB3FBE44869B1B8C3CB0C955E2" localSheetId="1" hidden="1">#REF!</definedName>
    <definedName name="BO35FDB2AB3FBE44869B1B8C3CB0C955E2" hidden="1">#REF!</definedName>
    <definedName name="BO361CD271CDE149DDACAFE0A75902BEA7" localSheetId="1" hidden="1">#REF!</definedName>
    <definedName name="BO361CD271CDE149DDACAFE0A75902BEA7" hidden="1">#REF!</definedName>
    <definedName name="BO36CC36EEBD19426B8489215F05CAE479" localSheetId="1" hidden="1">#REF!</definedName>
    <definedName name="BO36CC36EEBD19426B8489215F05CAE479" hidden="1">#REF!</definedName>
    <definedName name="BO36FCC1C5E1AF49029E2528DB50E43E11" localSheetId="1" hidden="1">#REF!</definedName>
    <definedName name="BO36FCC1C5E1AF49029E2528DB50E43E11" hidden="1">#REF!</definedName>
    <definedName name="BO37357DFCCF2E4C95A13F5E9BDBE13910" localSheetId="1" hidden="1">#REF!</definedName>
    <definedName name="BO37357DFCCF2E4C95A13F5E9BDBE13910" hidden="1">#REF!</definedName>
    <definedName name="BO3792264F2CE543AEB8B229F81459D3B0" localSheetId="1" hidden="1">#REF!</definedName>
    <definedName name="BO3792264F2CE543AEB8B229F81459D3B0" hidden="1">#REF!</definedName>
    <definedName name="BO37B5B0565C814B4A8335B6363188FD11" localSheetId="1" hidden="1">#REF!</definedName>
    <definedName name="BO37B5B0565C814B4A8335B6363188FD11" hidden="1">#REF!</definedName>
    <definedName name="BO37B7674CC9D940CE88895911F98A3658" localSheetId="1" hidden="1">#REF!</definedName>
    <definedName name="BO37B7674CC9D940CE88895911F98A3658" hidden="1">#REF!</definedName>
    <definedName name="BO37E5C32029EF417DBAE749FA4EA393F1" localSheetId="1" hidden="1">#REF!</definedName>
    <definedName name="BO37E5C32029EF417DBAE749FA4EA393F1" hidden="1">#REF!</definedName>
    <definedName name="BO3805FF74986D4E4E954446E3B0CA6F78" localSheetId="1" hidden="1">#REF!</definedName>
    <definedName name="BO3805FF74986D4E4E954446E3B0CA6F78" hidden="1">#REF!</definedName>
    <definedName name="BO380BDFB5B2F341DE821942CE260EF734" localSheetId="1" hidden="1">#REF!</definedName>
    <definedName name="BO380BDFB5B2F341DE821942CE260EF734" hidden="1">#REF!</definedName>
    <definedName name="BO380C1362F5C049059095DD3D5CD093B6" localSheetId="1" hidden="1">#REF!</definedName>
    <definedName name="BO380C1362F5C049059095DD3D5CD093B6" hidden="1">#REF!</definedName>
    <definedName name="BO381BA5D3D1904961827A5C2547F80342" localSheetId="1" hidden="1">#REF!</definedName>
    <definedName name="BO381BA5D3D1904961827A5C2547F80342" hidden="1">#REF!</definedName>
    <definedName name="BO382AB72B5084486E8979DEAE18FAB05E" localSheetId="1" hidden="1">#REF!</definedName>
    <definedName name="BO382AB72B5084486E8979DEAE18FAB05E" hidden="1">#REF!</definedName>
    <definedName name="BO3833AF0366A74FD49AF696A151BE080B" localSheetId="1" hidden="1">#REF!</definedName>
    <definedName name="BO3833AF0366A74FD49AF696A151BE080B" hidden="1">#REF!</definedName>
    <definedName name="BO38358F4EB3074DEA9456C0100889315C" localSheetId="1" hidden="1">#REF!</definedName>
    <definedName name="BO38358F4EB3074DEA9456C0100889315C" hidden="1">#REF!</definedName>
    <definedName name="BO3845D84FBF0F408F8AD81ECA1975371A" localSheetId="1" hidden="1">#REF!</definedName>
    <definedName name="BO3845D84FBF0F408F8AD81ECA1975371A" hidden="1">#REF!</definedName>
    <definedName name="BO3860910B7F314B8E93C1E2BDB2BC603C" localSheetId="1" hidden="1">#REF!</definedName>
    <definedName name="BO3860910B7F314B8E93C1E2BDB2BC603C" hidden="1">#REF!</definedName>
    <definedName name="BO38880C9BAD5B4C55BB1BE90ADC595507" localSheetId="1" hidden="1">#REF!</definedName>
    <definedName name="BO38880C9BAD5B4C55BB1BE90ADC595507" hidden="1">#REF!</definedName>
    <definedName name="BO38A9FA4A3B584052AB9E990F00374890" localSheetId="1" hidden="1">#REF!</definedName>
    <definedName name="BO38A9FA4A3B584052AB9E990F00374890" hidden="1">#REF!</definedName>
    <definedName name="BO38C7A245BD944E6DAF71D4CC689E700E" localSheetId="1" hidden="1">#REF!</definedName>
    <definedName name="BO38C7A245BD944E6DAF71D4CC689E700E" hidden="1">#REF!</definedName>
    <definedName name="BO38D898D4B14F4460A586C53095BA18F1" localSheetId="1" hidden="1">#REF!</definedName>
    <definedName name="BO38D898D4B14F4460A586C53095BA18F1" hidden="1">#REF!</definedName>
    <definedName name="BO38E2291784D446E59218071F4DBDB8E0" localSheetId="1" hidden="1">#REF!</definedName>
    <definedName name="BO38E2291784D446E59218071F4DBDB8E0" hidden="1">#REF!</definedName>
    <definedName name="BO3905A32D80CC4E4ABF239EBD20D3FB27" localSheetId="1" hidden="1">#REF!</definedName>
    <definedName name="BO3905A32D80CC4E4ABF239EBD20D3FB27" hidden="1">#REF!</definedName>
    <definedName name="BO39253DB67439440A8208AFD7A588CDDB" localSheetId="1" hidden="1">#REF!</definedName>
    <definedName name="BO39253DB67439440A8208AFD7A588CDDB" hidden="1">#REF!</definedName>
    <definedName name="BO392A098005984AFF8D735A33037308AD" localSheetId="1" hidden="1">#REF!</definedName>
    <definedName name="BO392A098005984AFF8D735A33037308AD" hidden="1">#REF!</definedName>
    <definedName name="BO3949FD8C43E84F93B3A81C3E9948A54A" localSheetId="1" hidden="1">#REF!</definedName>
    <definedName name="BO3949FD8C43E84F93B3A81C3E9948A54A" hidden="1">#REF!</definedName>
    <definedName name="BO399E5D7E445147B68FD2A13DF7A45368" localSheetId="1" hidden="1">#REF!</definedName>
    <definedName name="BO399E5D7E445147B68FD2A13DF7A45368" hidden="1">#REF!</definedName>
    <definedName name="BO39A392411DC44588A12AD338FD5B7171" localSheetId="1" hidden="1">#REF!</definedName>
    <definedName name="BO39A392411DC44588A12AD338FD5B7171" hidden="1">#REF!</definedName>
    <definedName name="BO39A42AF3D9DD42E98E5C5FFF35775A0D" localSheetId="1" hidden="1">#REF!</definedName>
    <definedName name="BO39A42AF3D9DD42E98E5C5FFF35775A0D" hidden="1">#REF!</definedName>
    <definedName name="BO39B7451E2AAF47BE960AD17DF0F782DE" localSheetId="1" hidden="1">#REF!</definedName>
    <definedName name="BO39B7451E2AAF47BE960AD17DF0F782DE" hidden="1">#REF!</definedName>
    <definedName name="BO39D7F0EB4B3148E7B7BE8DAB5CFD140F" localSheetId="1" hidden="1">#REF!</definedName>
    <definedName name="BO39D7F0EB4B3148E7B7BE8DAB5CFD140F" hidden="1">#REF!</definedName>
    <definedName name="BO39F1C0CF94004E2AAC6539D1393D3197" localSheetId="1" hidden="1">#REF!</definedName>
    <definedName name="BO39F1C0CF94004E2AAC6539D1393D3197" hidden="1">#REF!</definedName>
    <definedName name="BO39F8056FEEF141EAAC3CB8637657E823" localSheetId="1" hidden="1">#REF!</definedName>
    <definedName name="BO39F8056FEEF141EAAC3CB8637657E823" hidden="1">#REF!</definedName>
    <definedName name="BO3A0BA0E91DAE4579BBD495FE36F95B7E" localSheetId="1" hidden="1">#REF!</definedName>
    <definedName name="BO3A0BA0E91DAE4579BBD495FE36F95B7E" hidden="1">#REF!</definedName>
    <definedName name="BO3A309A78D58A4D8DA0112124B97664D2" localSheetId="1" hidden="1">#REF!</definedName>
    <definedName name="BO3A309A78D58A4D8DA0112124B97664D2" hidden="1">#REF!</definedName>
    <definedName name="BO3A3BDD3BEC6C4C3997F49262585037D2" localSheetId="1" hidden="1">#REF!</definedName>
    <definedName name="BO3A3BDD3BEC6C4C3997F49262585037D2" hidden="1">#REF!</definedName>
    <definedName name="BO3A9B34DFE8A742B487EF3D486DAB6796" localSheetId="1" hidden="1">#REF!</definedName>
    <definedName name="BO3A9B34DFE8A742B487EF3D486DAB6796" hidden="1">#REF!</definedName>
    <definedName name="BO3ACB7C4849DE463297CDF3DAC73C5285" localSheetId="1" hidden="1">#REF!</definedName>
    <definedName name="BO3ACB7C4849DE463297CDF3DAC73C5285" hidden="1">#REF!</definedName>
    <definedName name="BO3B02E8F8E6B94C10B3E37C67BA50F8F7" localSheetId="1" hidden="1">#REF!</definedName>
    <definedName name="BO3B02E8F8E6B94C10B3E37C67BA50F8F7" hidden="1">#REF!</definedName>
    <definedName name="BO3B303A9A732542CEB07F8235F68B611B" localSheetId="1" hidden="1">#REF!</definedName>
    <definedName name="BO3B303A9A732542CEB07F8235F68B611B" hidden="1">#REF!</definedName>
    <definedName name="BO3B46AD7B22E9452EA7B74971395C2D28" localSheetId="1" hidden="1">#REF!</definedName>
    <definedName name="BO3B46AD7B22E9452EA7B74971395C2D28" hidden="1">#REF!</definedName>
    <definedName name="BO3B704C8087B542E29B354FC73C2EB35C" localSheetId="1" hidden="1">#REF!</definedName>
    <definedName name="BO3B704C8087B542E29B354FC73C2EB35C" hidden="1">#REF!</definedName>
    <definedName name="BO3B8EDFAE9CEF4668895EF6B04607C798" localSheetId="1" hidden="1">#REF!</definedName>
    <definedName name="BO3B8EDFAE9CEF4668895EF6B04607C798" hidden="1">#REF!</definedName>
    <definedName name="BO3BB1FCE0D8D34D60B9C97911F55F888B" localSheetId="1" hidden="1">#REF!</definedName>
    <definedName name="BO3BB1FCE0D8D34D60B9C97911F55F888B" hidden="1">#REF!</definedName>
    <definedName name="BO3BFFC976FA9B48C4A3837B2DF792D717" localSheetId="1" hidden="1">#REF!</definedName>
    <definedName name="BO3BFFC976FA9B48C4A3837B2DF792D717" hidden="1">#REF!</definedName>
    <definedName name="BO3C27A8CCF46440DFA286B770A5F55B3C" localSheetId="1" hidden="1">#REF!</definedName>
    <definedName name="BO3C27A8CCF46440DFA286B770A5F55B3C" hidden="1">#REF!</definedName>
    <definedName name="BO3C98730A70FB4EF395F688F4CD7413F7" localSheetId="1" hidden="1">#REF!</definedName>
    <definedName name="BO3C98730A70FB4EF395F688F4CD7413F7" hidden="1">#REF!</definedName>
    <definedName name="BO3C99E538887C4467A365E8624D9B808D" localSheetId="1" hidden="1">#REF!</definedName>
    <definedName name="BO3C99E538887C4467A365E8624D9B808D" hidden="1">#REF!</definedName>
    <definedName name="BO3CB504CE67F84322A30047C7F65DA37A" localSheetId="1" hidden="1">#REF!</definedName>
    <definedName name="BO3CB504CE67F84322A30047C7F65DA37A" hidden="1">#REF!</definedName>
    <definedName name="BO3D04697C553443CE81E5698A9A11D376" localSheetId="1" hidden="1">#REF!</definedName>
    <definedName name="BO3D04697C553443CE81E5698A9A11D376" hidden="1">#REF!</definedName>
    <definedName name="BO3D1106863D374B788E66E383A493EFFD" localSheetId="1" hidden="1">#REF!</definedName>
    <definedName name="BO3D1106863D374B788E66E383A493EFFD" hidden="1">#REF!</definedName>
    <definedName name="BO3D5A94F872944439AEFDA585DD8D96C0" localSheetId="1" hidden="1">#REF!</definedName>
    <definedName name="BO3D5A94F872944439AEFDA585DD8D96C0" hidden="1">#REF!</definedName>
    <definedName name="BO3D63A776BB8B413697ACFD0792A79F25" localSheetId="1" hidden="1">#REF!</definedName>
    <definedName name="BO3D63A776BB8B413697ACFD0792A79F25" hidden="1">#REF!</definedName>
    <definedName name="BO3D8149A4C7DD46C098821ABD82FCCBFC" localSheetId="1" hidden="1">#REF!</definedName>
    <definedName name="BO3D8149A4C7DD46C098821ABD82FCCBFC" hidden="1">#REF!</definedName>
    <definedName name="BO3DFEB735DF724D6A8195AAA7B2170B35" localSheetId="1" hidden="1">#REF!</definedName>
    <definedName name="BO3DFEB735DF724D6A8195AAA7B2170B35" hidden="1">#REF!</definedName>
    <definedName name="BO3E07E937F13046F48C23FB837C43BEC3" localSheetId="1" hidden="1">#REF!</definedName>
    <definedName name="BO3E07E937F13046F48C23FB837C43BEC3" hidden="1">#REF!</definedName>
    <definedName name="BO3E2ABB9A8F2D4DB7A7A51D906D984800" localSheetId="1" hidden="1">#REF!</definedName>
    <definedName name="BO3E2ABB9A8F2D4DB7A7A51D906D984800" hidden="1">#REF!</definedName>
    <definedName name="BO3E4674A939C24DFAA1C88B525C373305" localSheetId="1" hidden="1">#REF!</definedName>
    <definedName name="BO3E4674A939C24DFAA1C88B525C373305" hidden="1">#REF!</definedName>
    <definedName name="BO3E47F0D838F3454DA566A603391E2CA9" localSheetId="1" hidden="1">#REF!</definedName>
    <definedName name="BO3E47F0D838F3454DA566A603391E2CA9" hidden="1">#REF!</definedName>
    <definedName name="BO3E58EA1F6C6B4B1EA49307682BA84A0D" localSheetId="1" hidden="1">#REF!</definedName>
    <definedName name="BO3E58EA1F6C6B4B1EA49307682BA84A0D" hidden="1">#REF!</definedName>
    <definedName name="BO3EB98F7D879348158884714BB62D2C9B" localSheetId="1" hidden="1">#REF!</definedName>
    <definedName name="BO3EB98F7D879348158884714BB62D2C9B" hidden="1">#REF!</definedName>
    <definedName name="BO3EDDDE35F2BC4BF9A8EAD3D01D0AFA69" localSheetId="1" hidden="1">#REF!</definedName>
    <definedName name="BO3EDDDE35F2BC4BF9A8EAD3D01D0AFA69" hidden="1">#REF!</definedName>
    <definedName name="BO3EEDD1275B594EE6931BB2B423647F40" localSheetId="1" hidden="1">#REF!</definedName>
    <definedName name="BO3EEDD1275B594EE6931BB2B423647F40" hidden="1">#REF!</definedName>
    <definedName name="BO3F00F2E605A84C248AEFDEF964BF8003" localSheetId="1" hidden="1">#REF!</definedName>
    <definedName name="BO3F00F2E605A84C248AEFDEF964BF8003" hidden="1">#REF!</definedName>
    <definedName name="BO3F0398545889487D954D70C6205F57CF" localSheetId="1" hidden="1">#REF!</definedName>
    <definedName name="BO3F0398545889487D954D70C6205F57CF" hidden="1">#REF!</definedName>
    <definedName name="BO3F1562F088B64257BDECA4996A9FB66B" localSheetId="1" hidden="1">#REF!</definedName>
    <definedName name="BO3F1562F088B64257BDECA4996A9FB66B" hidden="1">#REF!</definedName>
    <definedName name="BO3F4B598DFBCE4609B65057CE90121278" localSheetId="1" hidden="1">#REF!</definedName>
    <definedName name="BO3F4B598DFBCE4609B65057CE90121278" hidden="1">#REF!</definedName>
    <definedName name="BO3F698B30FA064BED80373131F8DA772C" localSheetId="1" hidden="1">#REF!</definedName>
    <definedName name="BO3F698B30FA064BED80373131F8DA772C" hidden="1">#REF!</definedName>
    <definedName name="BO3F9E4F72F7344C8797FE289DFD0BB660" localSheetId="1" hidden="1">#REF!</definedName>
    <definedName name="BO3F9E4F72F7344C8797FE289DFD0BB660" hidden="1">#REF!</definedName>
    <definedName name="BO3FA34D64D5DD4492A3C440A2EB0A2226" localSheetId="1" hidden="1">#REF!</definedName>
    <definedName name="BO3FA34D64D5DD4492A3C440A2EB0A2226" hidden="1">#REF!</definedName>
    <definedName name="BO3FA6B2DD0EBE48EBAE25B1625634C636" localSheetId="1" hidden="1">#REF!</definedName>
    <definedName name="BO3FA6B2DD0EBE48EBAE25B1625634C636" hidden="1">#REF!</definedName>
    <definedName name="BO3FA804A2DEEC44DF99E6D77CD74316FA" localSheetId="1" hidden="1">#REF!</definedName>
    <definedName name="BO3FA804A2DEEC44DF99E6D77CD74316FA" hidden="1">#REF!</definedName>
    <definedName name="BO3FF06A3D405D4AFEBD23C74161F7F412" localSheetId="1" hidden="1">#REF!</definedName>
    <definedName name="BO3FF06A3D405D4AFEBD23C74161F7F412" hidden="1">#REF!</definedName>
    <definedName name="BO401E6D3F698C4F018BDA573568ADC4E6" localSheetId="1" hidden="1">#REF!</definedName>
    <definedName name="BO401E6D3F698C4F018BDA573568ADC4E6" hidden="1">#REF!</definedName>
    <definedName name="BO40245ECD8B79440BBC14C8DF1C0BF8B2" localSheetId="1" hidden="1">#REF!</definedName>
    <definedName name="BO40245ECD8B79440BBC14C8DF1C0BF8B2" hidden="1">#REF!</definedName>
    <definedName name="BO403079319B0C43EEB6940DB9EBC384AB" localSheetId="1" hidden="1">#REF!</definedName>
    <definedName name="BO403079319B0C43EEB6940DB9EBC384AB" hidden="1">#REF!</definedName>
    <definedName name="BO40355E13A4AF4311A062DC0DC188997A" localSheetId="1" hidden="1">#REF!</definedName>
    <definedName name="BO40355E13A4AF4311A062DC0DC188997A" hidden="1">#REF!</definedName>
    <definedName name="BO406956B8DA1449F7A85FCAF9D714DC11" localSheetId="1" hidden="1">#REF!</definedName>
    <definedName name="BO406956B8DA1449F7A85FCAF9D714DC11" hidden="1">#REF!</definedName>
    <definedName name="BO406B5E0DD44D489B88870815BE1210AE" localSheetId="1" hidden="1">#REF!</definedName>
    <definedName name="BO406B5E0DD44D489B88870815BE1210AE" hidden="1">#REF!</definedName>
    <definedName name="BO410312A8086944CA8381547B55028E0E" localSheetId="1" hidden="1">#REF!</definedName>
    <definedName name="BO410312A8086944CA8381547B55028E0E" hidden="1">#REF!</definedName>
    <definedName name="BO41031EE5E6A248E8BA41187F37ABEDC4" localSheetId="1" hidden="1">#REF!</definedName>
    <definedName name="BO41031EE5E6A248E8BA41187F37ABEDC4" hidden="1">#REF!</definedName>
    <definedName name="BO41616448539148F68A11325B0B832164" localSheetId="1" hidden="1">#REF!</definedName>
    <definedName name="BO41616448539148F68A11325B0B832164" hidden="1">#REF!</definedName>
    <definedName name="BO41676043571047D0A758DC87F4D8C2A4" localSheetId="1" hidden="1">#REF!</definedName>
    <definedName name="BO41676043571047D0A758DC87F4D8C2A4" hidden="1">#REF!</definedName>
    <definedName name="BO41736F10648940F7980E8A794564F6D4" localSheetId="1" hidden="1">#REF!</definedName>
    <definedName name="BO41736F10648940F7980E8A794564F6D4" hidden="1">#REF!</definedName>
    <definedName name="BO418270B3A37648588D932CCCDECD1D57" localSheetId="1" hidden="1">#REF!</definedName>
    <definedName name="BO418270B3A37648588D932CCCDECD1D57" hidden="1">#REF!</definedName>
    <definedName name="BO41BB107A914849ABAE3078D2C7A0D711" localSheetId="1" hidden="1">#REF!</definedName>
    <definedName name="BO41BB107A914849ABAE3078D2C7A0D711" hidden="1">#REF!</definedName>
    <definedName name="BO41C9F9AFBDC248DF84A970BBB0C13F07" localSheetId="1" hidden="1">#REF!</definedName>
    <definedName name="BO41C9F9AFBDC248DF84A970BBB0C13F07" hidden="1">#REF!</definedName>
    <definedName name="BO41D812429BE0472984006118F1FD8940" localSheetId="1" hidden="1">#REF!</definedName>
    <definedName name="BO41D812429BE0472984006118F1FD8940" hidden="1">#REF!</definedName>
    <definedName name="BO41DD20B575EE48A98BE33181A6371F62" localSheetId="1" hidden="1">#REF!</definedName>
    <definedName name="BO41DD20B575EE48A98BE33181A6371F62" hidden="1">#REF!</definedName>
    <definedName name="BO41FF1036DC0E4DA69C38C814641389B3" localSheetId="1" hidden="1">#REF!</definedName>
    <definedName name="BO41FF1036DC0E4DA69C38C814641389B3" hidden="1">#REF!</definedName>
    <definedName name="BO41FF61B766784424AEC7FF81791873A4" localSheetId="1" hidden="1">#REF!</definedName>
    <definedName name="BO41FF61B766784424AEC7FF81791873A4" hidden="1">#REF!</definedName>
    <definedName name="BO4217883C6C8A412D9F87DEAB2DD56119" localSheetId="1" hidden="1">#REF!</definedName>
    <definedName name="BO4217883C6C8A412D9F87DEAB2DD56119" hidden="1">#REF!</definedName>
    <definedName name="BO4221A85BBAE74BFE98901247F57B8632" localSheetId="1" hidden="1">#REF!</definedName>
    <definedName name="BO4221A85BBAE74BFE98901247F57B8632" hidden="1">#REF!</definedName>
    <definedName name="BO42410C79967D49DA9246424E9F8E187C" localSheetId="1" hidden="1">#REF!</definedName>
    <definedName name="BO42410C79967D49DA9246424E9F8E187C" hidden="1">#REF!</definedName>
    <definedName name="BO429FEAEDBFA547BF85025B1F1844D466" localSheetId="1" hidden="1">#REF!</definedName>
    <definedName name="BO429FEAEDBFA547BF85025B1F1844D466" hidden="1">#REF!</definedName>
    <definedName name="BO42A0B3431CAC44BA97E83B69B05F5E78" localSheetId="1" hidden="1">#REF!</definedName>
    <definedName name="BO42A0B3431CAC44BA97E83B69B05F5E78" hidden="1">#REF!</definedName>
    <definedName name="BO42C7102A3C9549A7A1E004531E8189D3" localSheetId="1" hidden="1">#REF!</definedName>
    <definedName name="BO42C7102A3C9549A7A1E004531E8189D3" hidden="1">#REF!</definedName>
    <definedName name="BO42DB59B560DD480797F4E5A255CE0336" localSheetId="1" hidden="1">#REF!</definedName>
    <definedName name="BO42DB59B560DD480797F4E5A255CE0336" hidden="1">#REF!</definedName>
    <definedName name="BO42F344B5F6214CA8BB1AE642166F8254" localSheetId="1" hidden="1">#REF!</definedName>
    <definedName name="BO42F344B5F6214CA8BB1AE642166F8254" hidden="1">#REF!</definedName>
    <definedName name="BO431F7CF865994F508B75F0C14E72E755" localSheetId="1" hidden="1">#REF!</definedName>
    <definedName name="BO431F7CF865994F508B75F0C14E72E755" hidden="1">#REF!</definedName>
    <definedName name="BO433499B555AB4935A23F3FB59353D2EE" localSheetId="1" hidden="1">#REF!</definedName>
    <definedName name="BO433499B555AB4935A23F3FB59353D2EE" hidden="1">#REF!</definedName>
    <definedName name="BO4335FDB3189549F5BF6D0B206D64D24B" localSheetId="1" hidden="1">#REF!</definedName>
    <definedName name="BO4335FDB3189549F5BF6D0B206D64D24B" hidden="1">#REF!</definedName>
    <definedName name="BO435DD626F933429CBF3601013675993A" localSheetId="1" hidden="1">#REF!</definedName>
    <definedName name="BO435DD626F933429CBF3601013675993A" hidden="1">#REF!</definedName>
    <definedName name="BO43BB16D693FD4B14A412C62D211E4945" localSheetId="1" hidden="1">#REF!</definedName>
    <definedName name="BO43BB16D693FD4B14A412C62D211E4945" hidden="1">#REF!</definedName>
    <definedName name="BO43C6ED75220C443CB4A3CB0484EC60D0" localSheetId="1" hidden="1">#REF!</definedName>
    <definedName name="BO43C6ED75220C443CB4A3CB0484EC60D0" hidden="1">#REF!</definedName>
    <definedName name="BO43FF37EA3FEC470BAD34B6B7B9FF9C29" localSheetId="1" hidden="1">#REF!</definedName>
    <definedName name="BO43FF37EA3FEC470BAD34B6B7B9FF9C29" hidden="1">#REF!</definedName>
    <definedName name="BO4405FE650B77473191B594E32962A972" localSheetId="1" hidden="1">#REF!</definedName>
    <definedName name="BO4405FE650B77473191B594E32962A972" hidden="1">#REF!</definedName>
    <definedName name="BO442358FA8333417E864723C79749E79D" localSheetId="1" hidden="1">#REF!</definedName>
    <definedName name="BO442358FA8333417E864723C79749E79D" hidden="1">#REF!</definedName>
    <definedName name="BO44D4229713E3428698EACDF7F9B51DFC" localSheetId="1" hidden="1">#REF!</definedName>
    <definedName name="BO44D4229713E3428698EACDF7F9B51DFC" hidden="1">#REF!</definedName>
    <definedName name="BO44DA8E66CD4940489F111E91BC74453C" localSheetId="1" hidden="1">#REF!</definedName>
    <definedName name="BO44DA8E66CD4940489F111E91BC74453C" hidden="1">#REF!</definedName>
    <definedName name="BO453E695211A44670A7D5BD823FFE8B9F" localSheetId="1" hidden="1">#REF!</definedName>
    <definedName name="BO453E695211A44670A7D5BD823FFE8B9F" hidden="1">#REF!</definedName>
    <definedName name="BO454BFF91FD534BF88883176101908687" localSheetId="1" hidden="1">#REF!</definedName>
    <definedName name="BO454BFF91FD534BF88883176101908687" hidden="1">#REF!</definedName>
    <definedName name="BO454FCE682D15476BA296B3D94BCB2BFB" localSheetId="1" hidden="1">#REF!</definedName>
    <definedName name="BO454FCE682D15476BA296B3D94BCB2BFB" hidden="1">#REF!</definedName>
    <definedName name="BO4559A96E8A974B1DAC918F8F2EB94EF9" localSheetId="1" hidden="1">#REF!</definedName>
    <definedName name="BO4559A96E8A974B1DAC918F8F2EB94EF9" hidden="1">#REF!</definedName>
    <definedName name="BO45878D15BC764FF3AB65C7517F4B4468" localSheetId="1" hidden="1">#REF!</definedName>
    <definedName name="BO45878D15BC764FF3AB65C7517F4B4468" hidden="1">#REF!</definedName>
    <definedName name="BO45904099936743BABF24BA42E132C38D" localSheetId="1" hidden="1">#REF!</definedName>
    <definedName name="BO45904099936743BABF24BA42E132C38D" hidden="1">#REF!</definedName>
    <definedName name="BO46EA610EBFC643F5B313EF854D068321" localSheetId="1" hidden="1">#REF!</definedName>
    <definedName name="BO46EA610EBFC643F5B313EF854D068321" hidden="1">#REF!</definedName>
    <definedName name="BO472FDF9D1E3B4E9991920C454290CCB8" localSheetId="1" hidden="1">#REF!</definedName>
    <definedName name="BO472FDF9D1E3B4E9991920C454290CCB8" hidden="1">#REF!</definedName>
    <definedName name="BO47305FE1425C42EE8297FD2C4DE5D7DC" localSheetId="1" hidden="1">#REF!</definedName>
    <definedName name="BO47305FE1425C42EE8297FD2C4DE5D7DC" hidden="1">#REF!</definedName>
    <definedName name="BO4765F1B9752F4104B13E2D2D8439107F" localSheetId="1" hidden="1">#REF!</definedName>
    <definedName name="BO4765F1B9752F4104B13E2D2D8439107F" hidden="1">#REF!</definedName>
    <definedName name="BO47738B1418294B9889FC0348BEC8078D" localSheetId="1" hidden="1">#REF!</definedName>
    <definedName name="BO47738B1418294B9889FC0348BEC8078D" hidden="1">#REF!</definedName>
    <definedName name="BO477AF323BBAF4D949363F8CF4B007300" localSheetId="1" hidden="1">#REF!</definedName>
    <definedName name="BO477AF323BBAF4D949363F8CF4B007300" hidden="1">#REF!</definedName>
    <definedName name="BO4792AAFA02C24ED6AA0BB01C79C4D53D" localSheetId="1" hidden="1">#REF!</definedName>
    <definedName name="BO4792AAFA02C24ED6AA0BB01C79C4D53D" hidden="1">#REF!</definedName>
    <definedName name="BO47CF2416E1E4433CB14DF1CD9BB47325" localSheetId="1" hidden="1">#REF!</definedName>
    <definedName name="BO47CF2416E1E4433CB14DF1CD9BB47325" hidden="1">#REF!</definedName>
    <definedName name="BO47F43F7C60F64E7C8F5511C18A7D9150" localSheetId="1" hidden="1">#REF!</definedName>
    <definedName name="BO47F43F7C60F64E7C8F5511C18A7D9150" hidden="1">#REF!</definedName>
    <definedName name="BO47FE1908C88F4900971BC7AD61476814" localSheetId="1" hidden="1">#REF!</definedName>
    <definedName name="BO47FE1908C88F4900971BC7AD61476814" hidden="1">#REF!</definedName>
    <definedName name="BO4811BB6D363246B4B8C029A31B50EC37" localSheetId="1" hidden="1">#REF!</definedName>
    <definedName name="BO4811BB6D363246B4B8C029A31B50EC37" hidden="1">#REF!</definedName>
    <definedName name="BO4831E7C9F1E24C75885AEE45966CF51F" localSheetId="1" hidden="1">#REF!</definedName>
    <definedName name="BO4831E7C9F1E24C75885AEE45966CF51F" hidden="1">#REF!</definedName>
    <definedName name="BO484DA2D43C574948877D69CEA2096392" localSheetId="1" hidden="1">#REF!</definedName>
    <definedName name="BO484DA2D43C574948877D69CEA2096392" hidden="1">#REF!</definedName>
    <definedName name="BO4874FCDB87824222B8F51298606DB3AA" localSheetId="1" hidden="1">#REF!</definedName>
    <definedName name="BO4874FCDB87824222B8F51298606DB3AA" hidden="1">#REF!</definedName>
    <definedName name="BO48835453620245AEB7B610E2C50EAB3D" localSheetId="1" hidden="1">#REF!</definedName>
    <definedName name="BO48835453620245AEB7B610E2C50EAB3D" hidden="1">#REF!</definedName>
    <definedName name="BO48B69C9C3A4A4DA2AFD812AE32ED98F2" localSheetId="1" hidden="1">#REF!</definedName>
    <definedName name="BO48B69C9C3A4A4DA2AFD812AE32ED98F2" hidden="1">#REF!</definedName>
    <definedName name="BO48EE5418E8DD4622BB78F4DF1C2A142A" localSheetId="1" hidden="1">#REF!</definedName>
    <definedName name="BO48EE5418E8DD4622BB78F4DF1C2A142A" hidden="1">#REF!</definedName>
    <definedName name="BO491DF1B87A35419FB7FA4840BFC287E4" localSheetId="1" hidden="1">#REF!</definedName>
    <definedName name="BO491DF1B87A35419FB7FA4840BFC287E4" hidden="1">#REF!</definedName>
    <definedName name="BO49BE17222F1C4BB58D35D46E4E2F888A" localSheetId="1" hidden="1">#REF!</definedName>
    <definedName name="BO49BE17222F1C4BB58D35D46E4E2F888A" hidden="1">#REF!</definedName>
    <definedName name="BO49BE7643709D4E51B4CE6E9827246CC0" localSheetId="1" hidden="1">#REF!</definedName>
    <definedName name="BO49BE7643709D4E51B4CE6E9827246CC0" hidden="1">#REF!</definedName>
    <definedName name="BO49C03189CFB64DD2ABF19BD409F593CB" localSheetId="1" hidden="1">#REF!</definedName>
    <definedName name="BO49C03189CFB64DD2ABF19BD409F593CB" hidden="1">#REF!</definedName>
    <definedName name="BO49DCD65C43EB4DFCA8847B0CC8D9697F" localSheetId="1" hidden="1">#REF!</definedName>
    <definedName name="BO49DCD65C43EB4DFCA8847B0CC8D9697F" hidden="1">#REF!</definedName>
    <definedName name="BO4A3DBBE544E8425CA26337B568D90565" localSheetId="1" hidden="1">#REF!</definedName>
    <definedName name="BO4A3DBBE544E8425CA26337B568D90565" hidden="1">#REF!</definedName>
    <definedName name="BO4A3EA82712D4443FBE70BEF91D9E21B5" localSheetId="1" hidden="1">#REF!</definedName>
    <definedName name="BO4A3EA82712D4443FBE70BEF91D9E21B5" hidden="1">#REF!</definedName>
    <definedName name="BO4A47E059A2E64E29805369062AC0FA3B" localSheetId="1" hidden="1">#REF!</definedName>
    <definedName name="BO4A47E059A2E64E29805369062AC0FA3B" hidden="1">#REF!</definedName>
    <definedName name="BO4A648412D7AD41F39C281FF6AACFFB1C" localSheetId="1" hidden="1">#REF!</definedName>
    <definedName name="BO4A648412D7AD41F39C281FF6AACFFB1C" hidden="1">#REF!</definedName>
    <definedName name="BO4A7EDF1F721E44818AAF14D4EE421965" localSheetId="1" hidden="1">#REF!</definedName>
    <definedName name="BO4A7EDF1F721E44818AAF14D4EE421965" hidden="1">#REF!</definedName>
    <definedName name="BO4AAE3B29CE214B3288C1C3E46EDEE779" localSheetId="1" hidden="1">#REF!</definedName>
    <definedName name="BO4AAE3B29CE214B3288C1C3E46EDEE779" hidden="1">#REF!</definedName>
    <definedName name="BO4ABD4D97307B4665ADA92858FAEF49D4" localSheetId="1" hidden="1">#REF!</definedName>
    <definedName name="BO4ABD4D97307B4665ADA92858FAEF49D4" hidden="1">#REF!</definedName>
    <definedName name="BO4B55FBE7704D4E8ABFBBA6B9FCFCCE0B" localSheetId="1" hidden="1">#REF!</definedName>
    <definedName name="BO4B55FBE7704D4E8ABFBBA6B9FCFCCE0B" hidden="1">#REF!</definedName>
    <definedName name="BO4B9820C141B1499BB7BD6CD1C5A977AA" localSheetId="1" hidden="1">#REF!</definedName>
    <definedName name="BO4B9820C141B1499BB7BD6CD1C5A977AA" hidden="1">#REF!</definedName>
    <definedName name="BO4BB9A2BC1129469286DE1F8ABA253435" localSheetId="1" hidden="1">#REF!</definedName>
    <definedName name="BO4BB9A2BC1129469286DE1F8ABA253435" hidden="1">#REF!</definedName>
    <definedName name="BO4C0243B70A9541D291A1FBB0DE639578" localSheetId="1" hidden="1">#REF!</definedName>
    <definedName name="BO4C0243B70A9541D291A1FBB0DE639578" hidden="1">#REF!</definedName>
    <definedName name="BO4C1CD1D203F04562A4E31D080D642AB1" localSheetId="1" hidden="1">#REF!</definedName>
    <definedName name="BO4C1CD1D203F04562A4E31D080D642AB1" hidden="1">#REF!</definedName>
    <definedName name="BO4C322C3F08A04888A840CDEC0E0EEECC" localSheetId="1" hidden="1">#REF!</definedName>
    <definedName name="BO4C322C3F08A04888A840CDEC0E0EEECC" hidden="1">#REF!</definedName>
    <definedName name="BO4C43050B90E04C87B55DD5F46779E3E5" localSheetId="1" hidden="1">#REF!</definedName>
    <definedName name="BO4C43050B90E04C87B55DD5F46779E3E5" hidden="1">#REF!</definedName>
    <definedName name="BO4C49BA149189441D82286AD70F0DBFBA" localSheetId="1" hidden="1">#REF!</definedName>
    <definedName name="BO4C49BA149189441D82286AD70F0DBFBA" hidden="1">#REF!</definedName>
    <definedName name="BO4C59317BCB434D4AAB8264AC52E949F2" localSheetId="1" hidden="1">#REF!</definedName>
    <definedName name="BO4C59317BCB434D4AAB8264AC52E949F2" hidden="1">#REF!</definedName>
    <definedName name="BO4C748FEDC50D4D05BF6C3AE45DF27C96" localSheetId="1" hidden="1">#REF!</definedName>
    <definedName name="BO4C748FEDC50D4D05BF6C3AE45DF27C96" hidden="1">#REF!</definedName>
    <definedName name="BO4C74A53862CA458B84FB13899C4C27A0" localSheetId="1" hidden="1">#REF!</definedName>
    <definedName name="BO4C74A53862CA458B84FB13899C4C27A0" hidden="1">#REF!</definedName>
    <definedName name="BO4CA027B4B11C4E88BEA7D5AB0FBFE55C" localSheetId="1" hidden="1">#REF!</definedName>
    <definedName name="BO4CA027B4B11C4E88BEA7D5AB0FBFE55C" hidden="1">#REF!</definedName>
    <definedName name="BO4CABAE3124EC4EA3BBD9ACA318D3884A" localSheetId="1" hidden="1">#REF!</definedName>
    <definedName name="BO4CABAE3124EC4EA3BBD9ACA318D3884A" hidden="1">#REF!</definedName>
    <definedName name="BO4CD39991FB7D4B3EA474B7C8CAB5921A" localSheetId="1" hidden="1">#REF!</definedName>
    <definedName name="BO4CD39991FB7D4B3EA474B7C8CAB5921A" hidden="1">#REF!</definedName>
    <definedName name="BO4CFE4749AA3E4E43BC1AC4E546D31AFE" localSheetId="1" hidden="1">#REF!</definedName>
    <definedName name="BO4CFE4749AA3E4E43BC1AC4E546D31AFE" hidden="1">#REF!</definedName>
    <definedName name="BO4D111DFC879A4267A8F215A9F3EE7545" localSheetId="1" hidden="1">#REF!</definedName>
    <definedName name="BO4D111DFC879A4267A8F215A9F3EE7545" hidden="1">#REF!</definedName>
    <definedName name="BO4D176891D0D447959B2CE9E30A490257" localSheetId="1" hidden="1">#REF!</definedName>
    <definedName name="BO4D176891D0D447959B2CE9E30A490257" hidden="1">#REF!</definedName>
    <definedName name="BO4D217C14FE744B10921607668507E5E5" localSheetId="1" hidden="1">#REF!</definedName>
    <definedName name="BO4D217C14FE744B10921607668507E5E5" hidden="1">#REF!</definedName>
    <definedName name="BO4D4B68E0EB674E5A8741358C839FECA5" localSheetId="1" hidden="1">#REF!</definedName>
    <definedName name="BO4D4B68E0EB674E5A8741358C839FECA5" hidden="1">#REF!</definedName>
    <definedName name="BO4D622B63467C42F99F1CF3912C0F4402" localSheetId="1" hidden="1">#REF!</definedName>
    <definedName name="BO4D622B63467C42F99F1CF3912C0F4402" hidden="1">#REF!</definedName>
    <definedName name="BO4D80DEACB63F40C8B074073E6B1CCF17" localSheetId="1" hidden="1">#REF!</definedName>
    <definedName name="BO4D80DEACB63F40C8B074073E6B1CCF17" hidden="1">#REF!</definedName>
    <definedName name="BO4D95CA0E2A4B43CA8A504EE9704A811B" localSheetId="1" hidden="1">#REF!</definedName>
    <definedName name="BO4D95CA0E2A4B43CA8A504EE9704A811B" hidden="1">#REF!</definedName>
    <definedName name="BO4DF0AF32BA4041D98D60CE58B013B4E7" localSheetId="1" hidden="1">#REF!</definedName>
    <definedName name="BO4DF0AF32BA4041D98D60CE58B013B4E7" hidden="1">#REF!</definedName>
    <definedName name="BO4DF2AB7750BF42EB9D57BA4D725243B3" localSheetId="1" hidden="1">#REF!</definedName>
    <definedName name="BO4DF2AB7750BF42EB9D57BA4D725243B3" hidden="1">#REF!</definedName>
    <definedName name="BO4E224232AAA9422ABBADA09C17231477" localSheetId="1" hidden="1">#REF!</definedName>
    <definedName name="BO4E224232AAA9422ABBADA09C17231477" hidden="1">#REF!</definedName>
    <definedName name="BO4E5A5B2226B446818FD3052673DBE06E" localSheetId="1" hidden="1">#REF!</definedName>
    <definedName name="BO4E5A5B2226B446818FD3052673DBE06E" hidden="1">#REF!</definedName>
    <definedName name="BO4EABBA73A2DA454BA953C9AE702A13FB" localSheetId="1" hidden="1">#REF!</definedName>
    <definedName name="BO4EABBA73A2DA454BA953C9AE702A13FB" hidden="1">#REF!</definedName>
    <definedName name="BO4EB62A5D99B44412981CC2DBA16B65A3" localSheetId="1" hidden="1">#REF!</definedName>
    <definedName name="BO4EB62A5D99B44412981CC2DBA16B65A3" hidden="1">#REF!</definedName>
    <definedName name="BO4EC7C41902974BF0A985E634282CB07E" localSheetId="1" hidden="1">#REF!</definedName>
    <definedName name="BO4EC7C41902974BF0A985E634282CB07E" hidden="1">#REF!</definedName>
    <definedName name="BO4ED6C94AEE84498698E997DC83194ED4" localSheetId="1" hidden="1">#REF!</definedName>
    <definedName name="BO4ED6C94AEE84498698E997DC83194ED4" hidden="1">#REF!</definedName>
    <definedName name="BO4F0FF9C21C6E41768DF300AE990AF1DC" localSheetId="1" hidden="1">#REF!</definedName>
    <definedName name="BO4F0FF9C21C6E41768DF300AE990AF1DC" hidden="1">#REF!</definedName>
    <definedName name="BO4F174CF711D441F9848DE1A3F0E09B80" localSheetId="1" hidden="1">#REF!</definedName>
    <definedName name="BO4F174CF711D441F9848DE1A3F0E09B80" hidden="1">#REF!</definedName>
    <definedName name="BO4F1DDF5EB2F44AFAA8C5516DEF485905" localSheetId="1" hidden="1">#REF!</definedName>
    <definedName name="BO4F1DDF5EB2F44AFAA8C5516DEF485905" hidden="1">#REF!</definedName>
    <definedName name="BO4F28111B51394391ABC9CC6B0B64372F" localSheetId="1" hidden="1">#REF!</definedName>
    <definedName name="BO4F28111B51394391ABC9CC6B0B64372F" hidden="1">#REF!</definedName>
    <definedName name="BO4F382251407541D4B94F5AF416857C88" localSheetId="1" hidden="1">#REF!</definedName>
    <definedName name="BO4F382251407541D4B94F5AF416857C88" hidden="1">#REF!</definedName>
    <definedName name="BO4FB289186CC049ACAF17B8C85DFF71C8" localSheetId="1" hidden="1">#REF!</definedName>
    <definedName name="BO4FB289186CC049ACAF17B8C85DFF71C8" hidden="1">#REF!</definedName>
    <definedName name="BO500F607281384E709BC81BB8D0E05040" localSheetId="1" hidden="1">#REF!</definedName>
    <definedName name="BO500F607281384E709BC81BB8D0E05040" hidden="1">#REF!</definedName>
    <definedName name="BO5041B9A4B8C146FA8D61B1D6914A3DEC" localSheetId="1" hidden="1">#REF!</definedName>
    <definedName name="BO5041B9A4B8C146FA8D61B1D6914A3DEC" hidden="1">#REF!</definedName>
    <definedName name="BO5080FCBB1AFE4582AB0AEF756E02AB2A" localSheetId="1" hidden="1">#REF!</definedName>
    <definedName name="BO5080FCBB1AFE4582AB0AEF756E02AB2A" hidden="1">#REF!</definedName>
    <definedName name="BO50859751527B4027B87A739BAF1FB8E0" localSheetId="1" hidden="1">#REF!</definedName>
    <definedName name="BO50859751527B4027B87A739BAF1FB8E0" hidden="1">#REF!</definedName>
    <definedName name="BO509669C9ED7840288304BF14BF625147" localSheetId="1" hidden="1">#REF!</definedName>
    <definedName name="BO509669C9ED7840288304BF14BF625147" hidden="1">#REF!</definedName>
    <definedName name="BO50A9A9E6831241658F508DEAFE2A7553" localSheetId="1" hidden="1">#REF!</definedName>
    <definedName name="BO50A9A9E6831241658F508DEAFE2A7553" hidden="1">#REF!</definedName>
    <definedName name="BO510065BD015D4F95A15752285E2AE65E" localSheetId="1" hidden="1">#REF!</definedName>
    <definedName name="BO510065BD015D4F95A15752285E2AE65E" hidden="1">#REF!</definedName>
    <definedName name="BO513861991D7C4A5FBB93C7EA0C759CFD" localSheetId="1" hidden="1">#REF!</definedName>
    <definedName name="BO513861991D7C4A5FBB93C7EA0C759CFD" hidden="1">#REF!</definedName>
    <definedName name="BO514D95FAE90F482C849C11DE38AE8DA0" localSheetId="1" hidden="1">#REF!</definedName>
    <definedName name="BO514D95FAE90F482C849C11DE38AE8DA0" hidden="1">#REF!</definedName>
    <definedName name="BO51A8FA915C9A4F9D89273CF63EE46FE8" localSheetId="1" hidden="1">#REF!</definedName>
    <definedName name="BO51A8FA915C9A4F9D89273CF63EE46FE8" hidden="1">#REF!</definedName>
    <definedName name="BO51C8FC979EAE441F9F289915887365C5" localSheetId="1" hidden="1">#REF!</definedName>
    <definedName name="BO51C8FC979EAE441F9F289915887365C5" hidden="1">#REF!</definedName>
    <definedName name="BO5225587466CB4E64950F3A977CD53BB5" localSheetId="1" hidden="1">#REF!</definedName>
    <definedName name="BO5225587466CB4E64950F3A977CD53BB5" hidden="1">#REF!</definedName>
    <definedName name="BO522BE2FBF700464AAFC7A88746B3102A" localSheetId="1" hidden="1">#REF!</definedName>
    <definedName name="BO522BE2FBF700464AAFC7A88746B3102A" hidden="1">#REF!</definedName>
    <definedName name="BO523DE52BFFDA4227A8E78C3E253F130B" localSheetId="1" hidden="1">#REF!</definedName>
    <definedName name="BO523DE52BFFDA4227A8E78C3E253F130B" hidden="1">#REF!</definedName>
    <definedName name="BO523E151E1B1A4DEDAD3390FF9E08BB41" localSheetId="1" hidden="1">#REF!</definedName>
    <definedName name="BO523E151E1B1A4DEDAD3390FF9E08BB41" hidden="1">#REF!</definedName>
    <definedName name="BO5260A82048CC4FADAD92DC55975D9422" localSheetId="1" hidden="1">#REF!</definedName>
    <definedName name="BO5260A82048CC4FADAD92DC55975D9422" hidden="1">#REF!</definedName>
    <definedName name="BO526E08859F644BE480E6EA86F7851C8C" localSheetId="1" hidden="1">#REF!</definedName>
    <definedName name="BO526E08859F644BE480E6EA86F7851C8C" hidden="1">#REF!</definedName>
    <definedName name="BO528E13D4C0DB4D2F959E2E0AE4BF6A43" localSheetId="1" hidden="1">#REF!</definedName>
    <definedName name="BO528E13D4C0DB4D2F959E2E0AE4BF6A43" hidden="1">#REF!</definedName>
    <definedName name="BO52BE609CECE24F668D2E97E40E865353" localSheetId="1" hidden="1">#REF!</definedName>
    <definedName name="BO52BE609CECE24F668D2E97E40E865353" hidden="1">#REF!</definedName>
    <definedName name="BO52D5C0A0C34646D0A9DBF31C7B4681BE" localSheetId="1" hidden="1">#REF!</definedName>
    <definedName name="BO52D5C0A0C34646D0A9DBF31C7B4681BE" hidden="1">#REF!</definedName>
    <definedName name="BO53076DABED03457BA1A6CC7DE8E548B8" localSheetId="1" hidden="1">#REF!</definedName>
    <definedName name="BO53076DABED03457BA1A6CC7DE8E548B8" hidden="1">#REF!</definedName>
    <definedName name="BO531951EF37274BB4BA6B253AABF3B259" localSheetId="1" hidden="1">#REF!</definedName>
    <definedName name="BO531951EF37274BB4BA6B253AABF3B259" hidden="1">#REF!</definedName>
    <definedName name="BO531F40EBDFD2499781D4ACD8FBBC913E" localSheetId="1" hidden="1">#REF!</definedName>
    <definedName name="BO531F40EBDFD2499781D4ACD8FBBC913E" hidden="1">#REF!</definedName>
    <definedName name="BO5325677A58DD4E678732C8AB1BFC801A" localSheetId="1" hidden="1">#REF!</definedName>
    <definedName name="BO5325677A58DD4E678732C8AB1BFC801A" hidden="1">#REF!</definedName>
    <definedName name="BO537518734AB84AB49EB5AAA63CCE1585" localSheetId="1" hidden="1">#REF!</definedName>
    <definedName name="BO537518734AB84AB49EB5AAA63CCE1585" hidden="1">#REF!</definedName>
    <definedName name="BO53795B0958F44E0282061BA77BFBA6DD" localSheetId="1" hidden="1">#REF!</definedName>
    <definedName name="BO53795B0958F44E0282061BA77BFBA6DD" hidden="1">#REF!</definedName>
    <definedName name="BO53A13D7951334900A0A1A872901E57A2" localSheetId="1" hidden="1">#REF!</definedName>
    <definedName name="BO53A13D7951334900A0A1A872901E57A2" hidden="1">#REF!</definedName>
    <definedName name="BO53AB5D3CCB4A413EA144664C99503047" localSheetId="1" hidden="1">#REF!</definedName>
    <definedName name="BO53AB5D3CCB4A413EA144664C99503047" hidden="1">#REF!</definedName>
    <definedName name="BO53EB7E26F34145258939F9D27853A768" localSheetId="1" hidden="1">#REF!</definedName>
    <definedName name="BO53EB7E26F34145258939F9D27853A768" hidden="1">#REF!</definedName>
    <definedName name="BO53FD180040484DF9AD12C0F43F525431" localSheetId="1" hidden="1">#REF!</definedName>
    <definedName name="BO53FD180040484DF9AD12C0F43F525431" hidden="1">#REF!</definedName>
    <definedName name="BO54170C69A5B443B9A46A563B24D7A02A" localSheetId="1" hidden="1">#REF!</definedName>
    <definedName name="BO54170C69A5B443B9A46A563B24D7A02A" hidden="1">#REF!</definedName>
    <definedName name="BO541B429733D9464BAA0F472DC5A390A6" localSheetId="1" hidden="1">#REF!</definedName>
    <definedName name="BO541B429733D9464BAA0F472DC5A390A6" hidden="1">#REF!</definedName>
    <definedName name="BO5428BC2AC15245C392FAD48AC0E1D1D3" localSheetId="1" hidden="1">#REF!</definedName>
    <definedName name="BO5428BC2AC15245C392FAD48AC0E1D1D3" hidden="1">#REF!</definedName>
    <definedName name="BO54379D2A778B4EDC8D666466E7F51442" localSheetId="1" hidden="1">#REF!</definedName>
    <definedName name="BO54379D2A778B4EDC8D666466E7F51442" hidden="1">#REF!</definedName>
    <definedName name="BO547D617DA19944FD9F05968F08E6D309" localSheetId="1" hidden="1">#REF!</definedName>
    <definedName name="BO547D617DA19944FD9F05968F08E6D309" hidden="1">#REF!</definedName>
    <definedName name="BO5480837E22434DED90AE7C00C082A9A1" localSheetId="1" hidden="1">#REF!</definedName>
    <definedName name="BO5480837E22434DED90AE7C00C082A9A1" hidden="1">#REF!</definedName>
    <definedName name="BO5484F71A0B8B45979B9D569008231679" localSheetId="1" hidden="1">#REF!</definedName>
    <definedName name="BO5484F71A0B8B45979B9D569008231679" hidden="1">#REF!</definedName>
    <definedName name="BO54966A0B410A4295A1BBC4E266509877" localSheetId="1" hidden="1">#REF!</definedName>
    <definedName name="BO54966A0B410A4295A1BBC4E266509877" hidden="1">#REF!</definedName>
    <definedName name="BO54BC5EA573944120A2762F060194BA1E" localSheetId="1" hidden="1">#REF!</definedName>
    <definedName name="BO54BC5EA573944120A2762F060194BA1E" hidden="1">#REF!</definedName>
    <definedName name="BO54E8BAC9CCCE44BC963133C9AE4B630A" localSheetId="1" hidden="1">#REF!</definedName>
    <definedName name="BO54E8BAC9CCCE44BC963133C9AE4B630A" hidden="1">#REF!</definedName>
    <definedName name="BO5507E6215F3F4FC097A3E11986F2AC10" localSheetId="1" hidden="1">#REF!</definedName>
    <definedName name="BO5507E6215F3F4FC097A3E11986F2AC10" hidden="1">#REF!</definedName>
    <definedName name="BO550B27D935D4459DBAD38DC3153E9204" localSheetId="1" hidden="1">#REF!</definedName>
    <definedName name="BO550B27D935D4459DBAD38DC3153E9204" hidden="1">#REF!</definedName>
    <definedName name="BO553136AC6422422C818B96B66C2C3990" localSheetId="1" hidden="1">#REF!</definedName>
    <definedName name="BO553136AC6422422C818B96B66C2C3990" hidden="1">#REF!</definedName>
    <definedName name="BO555B1633F11C47E89A1801F074518A32" localSheetId="1" hidden="1">#REF!</definedName>
    <definedName name="BO555B1633F11C47E89A1801F074518A32" hidden="1">#REF!</definedName>
    <definedName name="BO5567A7BED87F42A9B8315385DA7E9968" localSheetId="1" hidden="1">#REF!</definedName>
    <definedName name="BO5567A7BED87F42A9B8315385DA7E9968" hidden="1">#REF!</definedName>
    <definedName name="BO556F9D67D63B485490BE4A5B2DAA0424" localSheetId="1" hidden="1">#REF!</definedName>
    <definedName name="BO556F9D67D63B485490BE4A5B2DAA0424" hidden="1">#REF!</definedName>
    <definedName name="BO5573662C4A00410AA097D755481BE91F" localSheetId="1" hidden="1">#REF!</definedName>
    <definedName name="BO5573662C4A00410AA097D755481BE91F" hidden="1">#REF!</definedName>
    <definedName name="BO560251BCD11740889928CA8EA1D6C8BB" localSheetId="1" hidden="1">#REF!</definedName>
    <definedName name="BO560251BCD11740889928CA8EA1D6C8BB" hidden="1">#REF!</definedName>
    <definedName name="BO56511C056B644925BB9E09A5CE15BBF3" localSheetId="1" hidden="1">#REF!</definedName>
    <definedName name="BO56511C056B644925BB9E09A5CE15BBF3" hidden="1">#REF!</definedName>
    <definedName name="BO565771992FE84D6C9DDDD43E6049AEA8" localSheetId="1" hidden="1">#REF!</definedName>
    <definedName name="BO565771992FE84D6C9DDDD43E6049AEA8" hidden="1">#REF!</definedName>
    <definedName name="BO569A5FBFD6F24C0C8A17193DE8B0987E" localSheetId="1" hidden="1">#REF!</definedName>
    <definedName name="BO569A5FBFD6F24C0C8A17193DE8B0987E" hidden="1">#REF!</definedName>
    <definedName name="BO56C93C031ADA4A8CB9AA79E06B808B71" localSheetId="1" hidden="1">#REF!</definedName>
    <definedName name="BO56C93C031ADA4A8CB9AA79E06B808B71" hidden="1">#REF!</definedName>
    <definedName name="BO56DC94197E294360B6A59153FF03457A" localSheetId="1" hidden="1">#REF!</definedName>
    <definedName name="BO56DC94197E294360B6A59153FF03457A" hidden="1">#REF!</definedName>
    <definedName name="BO56E22477476841508EDA127C8CFBE0CB" localSheetId="1" hidden="1">#REF!</definedName>
    <definedName name="BO56E22477476841508EDA127C8CFBE0CB" hidden="1">#REF!</definedName>
    <definedName name="BO57492025E3734968B443F2156F6E5611" localSheetId="1" hidden="1">#REF!</definedName>
    <definedName name="BO57492025E3734968B443F2156F6E5611" hidden="1">#REF!</definedName>
    <definedName name="BO57544A4DD8D040EE8060E1C9E846EC7F" localSheetId="1" hidden="1">#REF!</definedName>
    <definedName name="BO57544A4DD8D040EE8060E1C9E846EC7F" hidden="1">#REF!</definedName>
    <definedName name="BO575F08F36F1744AB9596B19069D05C38" localSheetId="1" hidden="1">#REF!</definedName>
    <definedName name="BO575F08F36F1744AB9596B19069D05C38" hidden="1">#REF!</definedName>
    <definedName name="BO578F669344B943B2ACBCC36BC4A76D24" localSheetId="1" hidden="1">#REF!</definedName>
    <definedName name="BO578F669344B943B2ACBCC36BC4A76D24" hidden="1">#REF!</definedName>
    <definedName name="BO5799DF1DC6FF4B2DB3252E6FB0A0F139" localSheetId="1" hidden="1">#REF!</definedName>
    <definedName name="BO5799DF1DC6FF4B2DB3252E6FB0A0F139" hidden="1">#REF!</definedName>
    <definedName name="BO57A6BD4AE8E243E494577EAD1CBE5386" localSheetId="1" hidden="1">#REF!</definedName>
    <definedName name="BO57A6BD4AE8E243E494577EAD1CBE5386" hidden="1">#REF!</definedName>
    <definedName name="BO57B95B501F9743B1975E90BCF4891783" localSheetId="1" hidden="1">#REF!</definedName>
    <definedName name="BO57B95B501F9743B1975E90BCF4891783" hidden="1">#REF!</definedName>
    <definedName name="BO57D32E0CD41A495289CBDB65D3B5BAA9" localSheetId="1" hidden="1">#REF!</definedName>
    <definedName name="BO57D32E0CD41A495289CBDB65D3B5BAA9" hidden="1">#REF!</definedName>
    <definedName name="BO57E3E16B3039468C918A2851F2906987" localSheetId="1" hidden="1">#REF!</definedName>
    <definedName name="BO57E3E16B3039468C918A2851F2906987" hidden="1">#REF!</definedName>
    <definedName name="BO57FDDF1F6FFB4E55A7F2E13CB281DAF1" localSheetId="1" hidden="1">#REF!</definedName>
    <definedName name="BO57FDDF1F6FFB4E55A7F2E13CB281DAF1" hidden="1">#REF!</definedName>
    <definedName name="BO581F7C20F3F0407099EF769043553AFA" localSheetId="1" hidden="1">#REF!</definedName>
    <definedName name="BO581F7C20F3F0407099EF769043553AFA" hidden="1">#REF!</definedName>
    <definedName name="BO583B69D2114749F5A55CE9DF13098368" localSheetId="1" hidden="1">#REF!</definedName>
    <definedName name="BO583B69D2114749F5A55CE9DF13098368" hidden="1">#REF!</definedName>
    <definedName name="BO583C6F5C29CF4F41A54EA713AA1355F6" localSheetId="1" hidden="1">#REF!</definedName>
    <definedName name="BO583C6F5C29CF4F41A54EA713AA1355F6" hidden="1">#REF!</definedName>
    <definedName name="BO58B56024014C4E80B3014C3EBF2F4731" localSheetId="1" hidden="1">#REF!</definedName>
    <definedName name="BO58B56024014C4E80B3014C3EBF2F4731" hidden="1">#REF!</definedName>
    <definedName name="BO58C0409804204ACC886A26B469A98FCA" localSheetId="1" hidden="1">#REF!</definedName>
    <definedName name="BO58C0409804204ACC886A26B469A98FCA" hidden="1">#REF!</definedName>
    <definedName name="BO58CB515C808C48BEBC52F4E8A8B10863" localSheetId="1" hidden="1">#REF!</definedName>
    <definedName name="BO58CB515C808C48BEBC52F4E8A8B10863" hidden="1">#REF!</definedName>
    <definedName name="BO58F664DD369B413BBE0AA6C680221346" localSheetId="1" hidden="1">#REF!</definedName>
    <definedName name="BO58F664DD369B413BBE0AA6C680221346" hidden="1">#REF!</definedName>
    <definedName name="BO592E3D457DC3430DB54EBC54823DCBC4" localSheetId="1" hidden="1">#REF!</definedName>
    <definedName name="BO592E3D457DC3430DB54EBC54823DCBC4" hidden="1">#REF!</definedName>
    <definedName name="BO59384E7DCDEE4351A4263865DC557B5A" localSheetId="1" hidden="1">#REF!</definedName>
    <definedName name="BO59384E7DCDEE4351A4263865DC557B5A" hidden="1">#REF!</definedName>
    <definedName name="BO593C02F3586C400B9C127B9BEFF5A3A3" localSheetId="1" hidden="1">#REF!</definedName>
    <definedName name="BO593C02F3586C400B9C127B9BEFF5A3A3" hidden="1">#REF!</definedName>
    <definedName name="BO594059A6BB774C32931101FDBA9AA2A6" localSheetId="1" hidden="1">#REF!</definedName>
    <definedName name="BO594059A6BB774C32931101FDBA9AA2A6" hidden="1">#REF!</definedName>
    <definedName name="BO594A5066E3D64A9B96E87EEE60E35000" localSheetId="1" hidden="1">#REF!</definedName>
    <definedName name="BO594A5066E3D64A9B96E87EEE60E35000" hidden="1">#REF!</definedName>
    <definedName name="BO5956D9BCE4364C56A9714DB73C6D3E8D" localSheetId="1" hidden="1">#REF!</definedName>
    <definedName name="BO5956D9BCE4364C56A9714DB73C6D3E8D" hidden="1">#REF!</definedName>
    <definedName name="BO597DDE6E95004F7F9C963613977B9F66" localSheetId="1" hidden="1">#REF!</definedName>
    <definedName name="BO597DDE6E95004F7F9C963613977B9F66" hidden="1">#REF!</definedName>
    <definedName name="BO599B6CBC43504E33AD45ECD15A182A0F" localSheetId="1" hidden="1">#REF!</definedName>
    <definedName name="BO599B6CBC43504E33AD45ECD15A182A0F" hidden="1">#REF!</definedName>
    <definedName name="BO59C567DB691F4B6DB56F5A3F1EBC5DED" localSheetId="1" hidden="1">#REF!</definedName>
    <definedName name="BO59C567DB691F4B6DB56F5A3F1EBC5DED" hidden="1">#REF!</definedName>
    <definedName name="BO59EABF3D307B40AA89D51822A5BF1DDB" localSheetId="1" hidden="1">#REF!</definedName>
    <definedName name="BO59EABF3D307B40AA89D51822A5BF1DDB" hidden="1">#REF!</definedName>
    <definedName name="BO59FCCD41CD2D4A809251677722F31B4F" localSheetId="1" hidden="1">#REF!</definedName>
    <definedName name="BO59FCCD41CD2D4A809251677722F31B4F" hidden="1">#REF!</definedName>
    <definedName name="BO5A3ED020BCED4A83ABA0A0B88F8487AC" localSheetId="1" hidden="1">#REF!</definedName>
    <definedName name="BO5A3ED020BCED4A83ABA0A0B88F8487AC" hidden="1">#REF!</definedName>
    <definedName name="BO5A6A224EDF754A9C8DAE2269DFAFB953" localSheetId="1" hidden="1">#REF!</definedName>
    <definedName name="BO5A6A224EDF754A9C8DAE2269DFAFB953" hidden="1">#REF!</definedName>
    <definedName name="BO5A6B60F0E8034ECCBE9A1A4C0EFC6987" localSheetId="1" hidden="1">#REF!</definedName>
    <definedName name="BO5A6B60F0E8034ECCBE9A1A4C0EFC6987" hidden="1">#REF!</definedName>
    <definedName name="BO5A81CA1FE8AD4707A0412775188A8DEC" localSheetId="1" hidden="1">#REF!</definedName>
    <definedName name="BO5A81CA1FE8AD4707A0412775188A8DEC" hidden="1">#REF!</definedName>
    <definedName name="BO5ADD7A0B4F8643948793596858585348" localSheetId="1" hidden="1">#REF!</definedName>
    <definedName name="BO5ADD7A0B4F8643948793596858585348" hidden="1">#REF!</definedName>
    <definedName name="BO5AF15FD77702431BBFEC3BE53FAFC51F" localSheetId="1" hidden="1">#REF!</definedName>
    <definedName name="BO5AF15FD77702431BBFEC3BE53FAFC51F" hidden="1">#REF!</definedName>
    <definedName name="BO5B17EB1DC2314204AAAB4C10CD014779" localSheetId="1" hidden="1">#REF!</definedName>
    <definedName name="BO5B17EB1DC2314204AAAB4C10CD014779" hidden="1">#REF!</definedName>
    <definedName name="BO5B20057ECFD04152B0F8766338210D8E" localSheetId="1" hidden="1">#REF!</definedName>
    <definedName name="BO5B20057ECFD04152B0F8766338210D8E" hidden="1">#REF!</definedName>
    <definedName name="BO5B27E855FA5040EB86FED41A3DE59A24" localSheetId="1" hidden="1">#REF!</definedName>
    <definedName name="BO5B27E855FA5040EB86FED41A3DE59A24" hidden="1">#REF!</definedName>
    <definedName name="BO5B2C521B9D9A42D49C89CDF8F4742308" localSheetId="1" hidden="1">#REF!</definedName>
    <definedName name="BO5B2C521B9D9A42D49C89CDF8F4742308" hidden="1">#REF!</definedName>
    <definedName name="BO5B3F6E178E114DF088F00C8568A47DBA" localSheetId="1" hidden="1">#REF!,#REF!,#REF!</definedName>
    <definedName name="BO5B3F6E178E114DF088F00C8568A47DBA" hidden="1">#REF!,#REF!,#REF!</definedName>
    <definedName name="BO5B4F0CF744DC4B488CF71D96F8AA06B0" localSheetId="1" hidden="1">#REF!</definedName>
    <definedName name="BO5B4F0CF744DC4B488CF71D96F8AA06B0" hidden="1">#REF!</definedName>
    <definedName name="BO5B52615A450A4CC1B8803DBA2D89031C" localSheetId="1" hidden="1">#REF!</definedName>
    <definedName name="BO5B52615A450A4CC1B8803DBA2D89031C" hidden="1">#REF!</definedName>
    <definedName name="BO5B6647E500B64C49A067CFE98195A323" localSheetId="1" hidden="1">#REF!</definedName>
    <definedName name="BO5B6647E500B64C49A067CFE98195A323" hidden="1">#REF!</definedName>
    <definedName name="BO5B9CA8ABC9A346AEA3B9F7CB5CF6A740" localSheetId="1" hidden="1">#REF!</definedName>
    <definedName name="BO5B9CA8ABC9A346AEA3B9F7CB5CF6A740" hidden="1">#REF!</definedName>
    <definedName name="BO5BB0B277A3394326AFBAAAF6450E4E42" localSheetId="1" hidden="1">#REF!</definedName>
    <definedName name="BO5BB0B277A3394326AFBAAAF6450E4E42" hidden="1">#REF!</definedName>
    <definedName name="BO5BB90F35827F4C8CB35EB5880E3DFBF5" localSheetId="1" hidden="1">#REF!</definedName>
    <definedName name="BO5BB90F35827F4C8CB35EB5880E3DFBF5" hidden="1">#REF!</definedName>
    <definedName name="BO5BC31258B8F8431DBC9B1836B8016102" localSheetId="1" hidden="1">#REF!</definedName>
    <definedName name="BO5BC31258B8F8431DBC9B1836B8016102" hidden="1">#REF!</definedName>
    <definedName name="BO5BD8EB8E62ED48D6BA69F65CED12804D" localSheetId="1" hidden="1">#REF!</definedName>
    <definedName name="BO5BD8EB8E62ED48D6BA69F65CED12804D" hidden="1">#REF!</definedName>
    <definedName name="BO5BE732993B4846D58B3911D46AD6038D" localSheetId="1" hidden="1">#REF!</definedName>
    <definedName name="BO5BE732993B4846D58B3911D46AD6038D" hidden="1">#REF!</definedName>
    <definedName name="BO5C6AE5D18D554D7E8159E2BAE8FA382F" localSheetId="1" hidden="1">#REF!</definedName>
    <definedName name="BO5C6AE5D18D554D7E8159E2BAE8FA382F" hidden="1">#REF!</definedName>
    <definedName name="BO5C73CAE6A2834A4B94D14E18B48EAF16" localSheetId="1" hidden="1">#REF!</definedName>
    <definedName name="BO5C73CAE6A2834A4B94D14E18B48EAF16" hidden="1">#REF!</definedName>
    <definedName name="BO5C8124D2D9FB4EAAB76560D5A15737B8" localSheetId="1" hidden="1">#REF!</definedName>
    <definedName name="BO5C8124D2D9FB4EAAB76560D5A15737B8" hidden="1">#REF!</definedName>
    <definedName name="BO5C920D0B5B1345BABC2366B7DA1C5E25" localSheetId="1" hidden="1">#REF!</definedName>
    <definedName name="BO5C920D0B5B1345BABC2366B7DA1C5E25" hidden="1">#REF!</definedName>
    <definedName name="BO5D3A29F492374C6C925AC1A20ED66BEB" localSheetId="1" hidden="1">#REF!</definedName>
    <definedName name="BO5D3A29F492374C6C925AC1A20ED66BEB" hidden="1">#REF!</definedName>
    <definedName name="BO5D46C9AD71BC4FDD877EA97718D4BBE9" localSheetId="1" hidden="1">#REF!</definedName>
    <definedName name="BO5D46C9AD71BC4FDD877EA97718D4BBE9" hidden="1">#REF!</definedName>
    <definedName name="BO5D5F2491E93B4AA3B9D27F259616BD98" localSheetId="1" hidden="1">#REF!</definedName>
    <definedName name="BO5D5F2491E93B4AA3B9D27F259616BD98" hidden="1">#REF!</definedName>
    <definedName name="BO5DBC1413A4EF4004B35971E058515E30" localSheetId="1" hidden="1">#REF!</definedName>
    <definedName name="BO5DBC1413A4EF4004B35971E058515E30" hidden="1">#REF!</definedName>
    <definedName name="BO5DCAB14EFA5C4FE3BFD9A86392942047" localSheetId="1" hidden="1">#REF!</definedName>
    <definedName name="BO5DCAB14EFA5C4FE3BFD9A86392942047" hidden="1">#REF!</definedName>
    <definedName name="BO5DFCB56992D44322ADC1421A3B901C42" localSheetId="1" hidden="1">#REF!</definedName>
    <definedName name="BO5DFCB56992D44322ADC1421A3B901C42" hidden="1">#REF!</definedName>
    <definedName name="BO5DFF17F65E144CB0837C415C67612916" localSheetId="1" hidden="1">#REF!</definedName>
    <definedName name="BO5DFF17F65E144CB0837C415C67612916" hidden="1">#REF!</definedName>
    <definedName name="BO5E3AEC809E10421B846FB0743CBC6A3D" localSheetId="1" hidden="1">#REF!</definedName>
    <definedName name="BO5E3AEC809E10421B846FB0743CBC6A3D" hidden="1">#REF!</definedName>
    <definedName name="BO5E3D11B36BB24ABE9E39A8B7C3313197" localSheetId="1" hidden="1">#REF!</definedName>
    <definedName name="BO5E3D11B36BB24ABE9E39A8B7C3313197" hidden="1">#REF!</definedName>
    <definedName name="BO5E543CAB34A54B94A48D330415EE4DD1" localSheetId="1" hidden="1">#REF!</definedName>
    <definedName name="BO5E543CAB34A54B94A48D330415EE4DD1" hidden="1">#REF!</definedName>
    <definedName name="BO5E6433AEBB09449AAB690755E35CE034" localSheetId="1" hidden="1">#REF!</definedName>
    <definedName name="BO5E6433AEBB09449AAB690755E35CE034" hidden="1">#REF!</definedName>
    <definedName name="BO5E6F18A1750D4760B7498A21B6D88CA2" localSheetId="1" hidden="1">#REF!</definedName>
    <definedName name="BO5E6F18A1750D4760B7498A21B6D88CA2" hidden="1">#REF!</definedName>
    <definedName name="BO5EABBF3BF19F4A4A85944C3DAEA4DB28" localSheetId="1" hidden="1">#REF!</definedName>
    <definedName name="BO5EABBF3BF19F4A4A85944C3DAEA4DB28" hidden="1">#REF!</definedName>
    <definedName name="BO5EB3A4D52BE74C6EAB70B27B3AF53D6A" localSheetId="1" hidden="1">#REF!</definedName>
    <definedName name="BO5EB3A4D52BE74C6EAB70B27B3AF53D6A" hidden="1">#REF!</definedName>
    <definedName name="BO5EB64E23C1AF448B84C2883AC71C22E3" localSheetId="1" hidden="1">#REF!</definedName>
    <definedName name="BO5EB64E23C1AF448B84C2883AC71C22E3" hidden="1">#REF!</definedName>
    <definedName name="BO5EBBE63C669F462BAFB60AE49A5A162A" localSheetId="1" hidden="1">#REF!</definedName>
    <definedName name="BO5EBBE63C669F462BAFB60AE49A5A162A" hidden="1">#REF!</definedName>
    <definedName name="BO5EFD84FDD9014E5C905F42675B5FBB6D" localSheetId="1" hidden="1">#REF!</definedName>
    <definedName name="BO5EFD84FDD9014E5C905F42675B5FBB6D" hidden="1">#REF!</definedName>
    <definedName name="BO5EFF581C31E94D0B9DC78606248B24D7" localSheetId="1" hidden="1">#REF!</definedName>
    <definedName name="BO5EFF581C31E94D0B9DC78606248B24D7" hidden="1">#REF!</definedName>
    <definedName name="BO5F0E4A5C4627496F99950E09FB952717" localSheetId="1" hidden="1">#REF!</definedName>
    <definedName name="BO5F0E4A5C4627496F99950E09FB952717" hidden="1">#REF!</definedName>
    <definedName name="BO5F169185BC3A43F783223A4E39E97CA7" localSheetId="1" hidden="1">#REF!</definedName>
    <definedName name="BO5F169185BC3A43F783223A4E39E97CA7" hidden="1">#REF!</definedName>
    <definedName name="BO5F183ECE0B6F4CD582CE8D75DE8E61A1" localSheetId="1" hidden="1">#REF!</definedName>
    <definedName name="BO5F183ECE0B6F4CD582CE8D75DE8E61A1" hidden="1">#REF!</definedName>
    <definedName name="BO5F3A3B097B6E405593E1AEEA4240D978" localSheetId="1" hidden="1">#REF!</definedName>
    <definedName name="BO5F3A3B097B6E405593E1AEEA4240D978" hidden="1">#REF!</definedName>
    <definedName name="BO5F459209386748FDB50D8C98E6A67013" localSheetId="1" hidden="1">#REF!</definedName>
    <definedName name="BO5F459209386748FDB50D8C98E6A67013" hidden="1">#REF!</definedName>
    <definedName name="BO5F4D61EC1AC0466F99DDD0262E888D3D" localSheetId="1" hidden="1">#REF!</definedName>
    <definedName name="BO5F4D61EC1AC0466F99DDD0262E888D3D" hidden="1">#REF!</definedName>
    <definedName name="BO5F7BA0B96A7C4F7A90ACFCB804B8F5F2" localSheetId="1" hidden="1">#REF!</definedName>
    <definedName name="BO5F7BA0B96A7C4F7A90ACFCB804B8F5F2" hidden="1">#REF!</definedName>
    <definedName name="BO5F905E63F3BB424BB231F0911BD9D24C" localSheetId="1" hidden="1">#REF!</definedName>
    <definedName name="BO5F905E63F3BB424BB231F0911BD9D24C" hidden="1">#REF!</definedName>
    <definedName name="BO5F92419A2B2042A88CF6F07560803C22" localSheetId="1" hidden="1">#REF!</definedName>
    <definedName name="BO5F92419A2B2042A88CF6F07560803C22" hidden="1">#REF!</definedName>
    <definedName name="BO5FA9FE156258454F97E163543A3F3899" localSheetId="1" hidden="1">#REF!</definedName>
    <definedName name="BO5FA9FE156258454F97E163543A3F3899" hidden="1">#REF!</definedName>
    <definedName name="BO5FC82D2B3FCB499BAA5955760CB32BD2" localSheetId="1" hidden="1">#REF!</definedName>
    <definedName name="BO5FC82D2B3FCB499BAA5955760CB32BD2" hidden="1">#REF!</definedName>
    <definedName name="BO5FD18E77AE8647D2B1214CC539C6DD9C" localSheetId="1" hidden="1">#REF!</definedName>
    <definedName name="BO5FD18E77AE8647D2B1214CC539C6DD9C" hidden="1">#REF!</definedName>
    <definedName name="BO603BD3EE00A0424498DAF2F7E091225B" localSheetId="1" hidden="1">#REF!</definedName>
    <definedName name="BO603BD3EE00A0424498DAF2F7E091225B" hidden="1">#REF!</definedName>
    <definedName name="BO604736B173DB48DA8E4B59C73C561390" localSheetId="1" hidden="1">#REF!</definedName>
    <definedName name="BO604736B173DB48DA8E4B59C73C561390" hidden="1">#REF!</definedName>
    <definedName name="BO60496C515CE8453080E955E01CE46F24" localSheetId="1" hidden="1">#REF!</definedName>
    <definedName name="BO60496C515CE8453080E955E01CE46F24" hidden="1">#REF!</definedName>
    <definedName name="BO604C0B294184428DB9B66E0FCEDFD21D" localSheetId="1" hidden="1">#REF!</definedName>
    <definedName name="BO604C0B294184428DB9B66E0FCEDFD21D" hidden="1">#REF!</definedName>
    <definedName name="BO607D9A60550B4FA7A677D228FC06A7CB" localSheetId="1" hidden="1">#REF!</definedName>
    <definedName name="BO607D9A60550B4FA7A677D228FC06A7CB" hidden="1">#REF!</definedName>
    <definedName name="BO60BD75B8DBEA4387803CB4AFC1DE479F" localSheetId="1" hidden="1">#REF!</definedName>
    <definedName name="BO60BD75B8DBEA4387803CB4AFC1DE479F" hidden="1">#REF!</definedName>
    <definedName name="BO613F759C26A74335BB3EF9023610D70E" localSheetId="1" hidden="1">#REF!</definedName>
    <definedName name="BO613F759C26A74335BB3EF9023610D70E" hidden="1">#REF!</definedName>
    <definedName name="BO615909B743C44F0A96BD891389726A2E" localSheetId="1" hidden="1">#REF!</definedName>
    <definedName name="BO615909B743C44F0A96BD891389726A2E" hidden="1">#REF!</definedName>
    <definedName name="BO615D15D8CAE34558B13E3F0CC5844365" localSheetId="1" hidden="1">#REF!</definedName>
    <definedName name="BO615D15D8CAE34558B13E3F0CC5844365" hidden="1">#REF!</definedName>
    <definedName name="BO616BD729B62B4825946A716B2C525B15" localSheetId="1" hidden="1">#REF!</definedName>
    <definedName name="BO616BD729B62B4825946A716B2C525B15" hidden="1">#REF!</definedName>
    <definedName name="BO61724CCC0F794E86A985D3AADDC1FA83" localSheetId="1" hidden="1">#REF!</definedName>
    <definedName name="BO61724CCC0F794E86A985D3AADDC1FA83" hidden="1">#REF!</definedName>
    <definedName name="BO617494DDEDE24BE9B3FA2D5E1CC6872A" localSheetId="1" hidden="1">#REF!</definedName>
    <definedName name="BO617494DDEDE24BE9B3FA2D5E1CC6872A" hidden="1">#REF!</definedName>
    <definedName name="BO6176C8ADB7DA45CAB2379E250E1F35F3" localSheetId="1" hidden="1">#REF!</definedName>
    <definedName name="BO6176C8ADB7DA45CAB2379E250E1F35F3" hidden="1">#REF!</definedName>
    <definedName name="BO61939F664A7B4148A014D08C0F83009E" localSheetId="1" hidden="1">#REF!</definedName>
    <definedName name="BO61939F664A7B4148A014D08C0F83009E" hidden="1">#REF!</definedName>
    <definedName name="BO61BF0D9724194D4B90626961658132AD" localSheetId="1" hidden="1">#REF!</definedName>
    <definedName name="BO61BF0D9724194D4B90626961658132AD" hidden="1">#REF!</definedName>
    <definedName name="BO61C4C9B3A4784662A302783044378B55" localSheetId="1" hidden="1">#REF!</definedName>
    <definedName name="BO61C4C9B3A4784662A302783044378B55" hidden="1">#REF!</definedName>
    <definedName name="BO6255D22CCF4A48E2927E16A99513F380" localSheetId="1" hidden="1">#REF!</definedName>
    <definedName name="BO6255D22CCF4A48E2927E16A99513F380" hidden="1">#REF!</definedName>
    <definedName name="BO6259BB8601F74518B211D5FED555AD9C" localSheetId="1" hidden="1">#REF!</definedName>
    <definedName name="BO6259BB8601F74518B211D5FED555AD9C" hidden="1">#REF!</definedName>
    <definedName name="BO62A1E4942FED470D874ED59DCC2A4AA5" localSheetId="1" hidden="1">#REF!</definedName>
    <definedName name="BO62A1E4942FED470D874ED59DCC2A4AA5" hidden="1">#REF!</definedName>
    <definedName name="BO62A400A078E0451CB6563EF81DF7EB35" localSheetId="1" hidden="1">#REF!</definedName>
    <definedName name="BO62A400A078E0451CB6563EF81DF7EB35" hidden="1">#REF!</definedName>
    <definedName name="BO62D36540D0034AA48DE063297A413BDD" localSheetId="1" hidden="1">#REF!</definedName>
    <definedName name="BO62D36540D0034AA48DE063297A413BDD" hidden="1">#REF!</definedName>
    <definedName name="BO62EA898CF22D44DF8EF3BDDF92CB0D5D" localSheetId="1" hidden="1">#REF!</definedName>
    <definedName name="BO62EA898CF22D44DF8EF3BDDF92CB0D5D" hidden="1">#REF!</definedName>
    <definedName name="BO632F30B76259416E8B4AABED4E04E9C1" localSheetId="1" hidden="1">#REF!</definedName>
    <definedName name="BO632F30B76259416E8B4AABED4E04E9C1" hidden="1">#REF!</definedName>
    <definedName name="BO63342495192B4BB3926FE91DBC7CDF80" localSheetId="1" hidden="1">#REF!</definedName>
    <definedName name="BO63342495192B4BB3926FE91DBC7CDF80" hidden="1">#REF!</definedName>
    <definedName name="BO634873F74EAC469682BBECE9867D6B58" localSheetId="1" hidden="1">#REF!</definedName>
    <definedName name="BO634873F74EAC469682BBECE9867D6B58" hidden="1">#REF!</definedName>
    <definedName name="BO63594AD2F89C441C93AEE7BA06352B19" localSheetId="1" hidden="1">#REF!</definedName>
    <definedName name="BO63594AD2F89C441C93AEE7BA06352B19" hidden="1">#REF!</definedName>
    <definedName name="BO63EA90CDEA784E94B8AFC4EC8E6D4E1D" localSheetId="1" hidden="1">#REF!</definedName>
    <definedName name="BO63EA90CDEA784E94B8AFC4EC8E6D4E1D" hidden="1">#REF!</definedName>
    <definedName name="BO63EB694AE718408AAD85F588618E2E06" localSheetId="1" hidden="1">#REF!</definedName>
    <definedName name="BO63EB694AE718408AAD85F588618E2E06" hidden="1">#REF!</definedName>
    <definedName name="BO64159BC2B6EB41A7AEDE3EC6A5A731B5" localSheetId="1" hidden="1">#REF!</definedName>
    <definedName name="BO64159BC2B6EB41A7AEDE3EC6A5A731B5" hidden="1">#REF!</definedName>
    <definedName name="BO6423233F3D194C0D8979ED4AE7B7CDB9" localSheetId="1" hidden="1">#REF!</definedName>
    <definedName name="BO6423233F3D194C0D8979ED4AE7B7CDB9" hidden="1">#REF!</definedName>
    <definedName name="BO6423CEBDDD0A412CBBFAAB3898A9206F" localSheetId="1" hidden="1">#REF!</definedName>
    <definedName name="BO6423CEBDDD0A412CBBFAAB3898A9206F" hidden="1">#REF!</definedName>
    <definedName name="BO6433583BE03A4C8795312841BAC5EF1E" localSheetId="1" hidden="1">#REF!</definedName>
    <definedName name="BO6433583BE03A4C8795312841BAC5EF1E" hidden="1">#REF!</definedName>
    <definedName name="BO643487FBABFD47D1B9671E6FF468E5ED" localSheetId="1" hidden="1">#REF!</definedName>
    <definedName name="BO643487FBABFD47D1B9671E6FF468E5ED" hidden="1">#REF!</definedName>
    <definedName name="BO645EE44B4E7D4700B1DFD7503111F62B" localSheetId="1" hidden="1">#REF!</definedName>
    <definedName name="BO645EE44B4E7D4700B1DFD7503111F62B" hidden="1">#REF!</definedName>
    <definedName name="BO6462179A1619417A83A9792363E455E4" localSheetId="1" hidden="1">#REF!</definedName>
    <definedName name="BO6462179A1619417A83A9792363E455E4" hidden="1">#REF!</definedName>
    <definedName name="BO6483DEE8FC8B40C7B8F594FC1921C0AB" localSheetId="1" hidden="1">#REF!</definedName>
    <definedName name="BO6483DEE8FC8B40C7B8F594FC1921C0AB" hidden="1">#REF!</definedName>
    <definedName name="BO64859DECF7D341928F046D284A3663C8" localSheetId="1" hidden="1">#REF!</definedName>
    <definedName name="BO64859DECF7D341928F046D284A3663C8" hidden="1">#REF!</definedName>
    <definedName name="BO6497356C7659467F83DE769F74DB2C5F" localSheetId="1" hidden="1">#REF!</definedName>
    <definedName name="BO6497356C7659467F83DE769F74DB2C5F" hidden="1">#REF!</definedName>
    <definedName name="BO64B9D18A339B4E82BEB117EFBA715E4B" localSheetId="1" hidden="1">#REF!</definedName>
    <definedName name="BO64B9D18A339B4E82BEB117EFBA715E4B" hidden="1">#REF!</definedName>
    <definedName name="BO64DD43D1C5F943F18128ECE58B8A02BC" localSheetId="1" hidden="1">#REF!</definedName>
    <definedName name="BO64DD43D1C5F943F18128ECE58B8A02BC" hidden="1">#REF!</definedName>
    <definedName name="BO6532AD466881482590E03ADF20DC051D" localSheetId="1" hidden="1">#REF!</definedName>
    <definedName name="BO6532AD466881482590E03ADF20DC051D" hidden="1">#REF!</definedName>
    <definedName name="BO653AC79F78084F98BF30F3686F64DB4D" localSheetId="1" hidden="1">#REF!</definedName>
    <definedName name="BO653AC79F78084F98BF30F3686F64DB4D" hidden="1">#REF!</definedName>
    <definedName name="BO6544D5D30FE94C7893711F5903A3B5D9" localSheetId="1" hidden="1">#REF!</definedName>
    <definedName name="BO6544D5D30FE94C7893711F5903A3B5D9" hidden="1">#REF!</definedName>
    <definedName name="BO6575576B73CA4712BEFB29A3A9A228F9" localSheetId="1" hidden="1">#REF!</definedName>
    <definedName name="BO6575576B73CA4712BEFB29A3A9A228F9" hidden="1">#REF!</definedName>
    <definedName name="BO65AF0ADBEA604FABB6F823015E2A0312" localSheetId="1" hidden="1">#REF!</definedName>
    <definedName name="BO65AF0ADBEA604FABB6F823015E2A0312" hidden="1">#REF!</definedName>
    <definedName name="BO65BA49055D564A788303C1D5B6B70FAE" localSheetId="1" hidden="1">#REF!</definedName>
    <definedName name="BO65BA49055D564A788303C1D5B6B70FAE" hidden="1">#REF!</definedName>
    <definedName name="BO65D4C34990C749D99149EFB3442902EC" localSheetId="1" hidden="1">#REF!</definedName>
    <definedName name="BO65D4C34990C749D99149EFB3442902EC" hidden="1">#REF!</definedName>
    <definedName name="BO65D9F3B0FD514C85A62029A7AF689E83" localSheetId="1" hidden="1">#REF!</definedName>
    <definedName name="BO65D9F3B0FD514C85A62029A7AF689E83" hidden="1">#REF!</definedName>
    <definedName name="BO66029D8B1A41481A90060C3EA1F21888" localSheetId="1" hidden="1">#REF!</definedName>
    <definedName name="BO66029D8B1A41481A90060C3EA1F21888" hidden="1">#REF!</definedName>
    <definedName name="BO660F27E76F2743E0A9CA43DB71AE88AD" localSheetId="1" hidden="1">#REF!</definedName>
    <definedName name="BO660F27E76F2743E0A9CA43DB71AE88AD" hidden="1">#REF!</definedName>
    <definedName name="BO662440E41F1741A2A2721ECCCA48BE17" localSheetId="1" hidden="1">#REF!</definedName>
    <definedName name="BO662440E41F1741A2A2721ECCCA48BE17" hidden="1">#REF!</definedName>
    <definedName name="BO6627790CD7274958AD09391A717C7A39" localSheetId="1" hidden="1">#REF!</definedName>
    <definedName name="BO6627790CD7274958AD09391A717C7A39" hidden="1">#REF!</definedName>
    <definedName name="BO662B6CEAD0AF4B30B7CBEFE678A5085C" localSheetId="1" hidden="1">#REF!</definedName>
    <definedName name="BO662B6CEAD0AF4B30B7CBEFE678A5085C" hidden="1">#REF!</definedName>
    <definedName name="BO664A2099EDCA4D7DBF42D984D09C77F0" localSheetId="1" hidden="1">#REF!</definedName>
    <definedName name="BO664A2099EDCA4D7DBF42D984D09C77F0" hidden="1">#REF!</definedName>
    <definedName name="BO666B53C5597A48199D7B652E49ACE44D" localSheetId="1" hidden="1">#REF!</definedName>
    <definedName name="BO666B53C5597A48199D7B652E49ACE44D" hidden="1">#REF!</definedName>
    <definedName name="BO667A065EC72B4C18B71122F74A6AA78A" localSheetId="1" hidden="1">#REF!</definedName>
    <definedName name="BO667A065EC72B4C18B71122F74A6AA78A" hidden="1">#REF!</definedName>
    <definedName name="BO66986FCDE027458FA62A037F00F43F61" localSheetId="1" hidden="1">#REF!</definedName>
    <definedName name="BO66986FCDE027458FA62A037F00F43F61" hidden="1">#REF!</definedName>
    <definedName name="BO66BB94EBB1DA4F5B9588AE37EECDD337" localSheetId="1" hidden="1">#REF!</definedName>
    <definedName name="BO66BB94EBB1DA4F5B9588AE37EECDD337" hidden="1">#REF!</definedName>
    <definedName name="BO66CAA06315CE4A0D83632A168E695E98" localSheetId="1" hidden="1">#REF!</definedName>
    <definedName name="BO66CAA06315CE4A0D83632A168E695E98" hidden="1">#REF!</definedName>
    <definedName name="BO66D2B05D857142ADB41334DF2CA1C491" localSheetId="1" hidden="1">#REF!</definedName>
    <definedName name="BO66D2B05D857142ADB41334DF2CA1C491" hidden="1">#REF!</definedName>
    <definedName name="BO66ED4AA2CC034116BDB91C024F555558" localSheetId="1" hidden="1">#REF!</definedName>
    <definedName name="BO66ED4AA2CC034116BDB91C024F555558" hidden="1">#REF!</definedName>
    <definedName name="BO66F41CB22A0E4A64B013AF3850EBED07" localSheetId="1" hidden="1">#REF!</definedName>
    <definedName name="BO66F41CB22A0E4A64B013AF3850EBED07" hidden="1">#REF!</definedName>
    <definedName name="BO670E0CA6E03A4A80B1636E22CFB5D3A8" localSheetId="1" hidden="1">#REF!</definedName>
    <definedName name="BO670E0CA6E03A4A80B1636E22CFB5D3A8" hidden="1">#REF!</definedName>
    <definedName name="BO67127D65C8B244B5BB412DE17003715D" localSheetId="1" hidden="1">#REF!</definedName>
    <definedName name="BO67127D65C8B244B5BB412DE17003715D" hidden="1">#REF!</definedName>
    <definedName name="BO671688DCDB4B483A894E29F6D231299E" localSheetId="1" hidden="1">#REF!</definedName>
    <definedName name="BO671688DCDB4B483A894E29F6D231299E" hidden="1">#REF!</definedName>
    <definedName name="BO672E8FDFBD36414597A72D4B7E94182B" localSheetId="1" hidden="1">#REF!</definedName>
    <definedName name="BO672E8FDFBD36414597A72D4B7E94182B" hidden="1">#REF!</definedName>
    <definedName name="BO6739F45E8554427FB54A8E466A8E249A" localSheetId="1" hidden="1">#REF!</definedName>
    <definedName name="BO6739F45E8554427FB54A8E466A8E249A" hidden="1">#REF!</definedName>
    <definedName name="BO6749F6A4197B4D6E9187ADBD4C6D3E9A" localSheetId="1" hidden="1">#REF!</definedName>
    <definedName name="BO6749F6A4197B4D6E9187ADBD4C6D3E9A" hidden="1">#REF!</definedName>
    <definedName name="BO67D49399466648019AA41AA9784A31C6" localSheetId="1" hidden="1">#REF!</definedName>
    <definedName name="BO67D49399466648019AA41AA9784A31C6" hidden="1">#REF!</definedName>
    <definedName name="BO67E874D176F9487AB65D8ED364F1979D" localSheetId="1" hidden="1">#REF!</definedName>
    <definedName name="BO67E874D176F9487AB65D8ED364F1979D" hidden="1">#REF!</definedName>
    <definedName name="BO680A36C2E43E4245934EE681ECC82FC1" localSheetId="1" hidden="1">#REF!</definedName>
    <definedName name="BO680A36C2E43E4245934EE681ECC82FC1" hidden="1">#REF!</definedName>
    <definedName name="BO68175D75669744F7AF9A63EEA9BB3D66" localSheetId="1" hidden="1">#REF!</definedName>
    <definedName name="BO68175D75669744F7AF9A63EEA9BB3D66" hidden="1">#REF!</definedName>
    <definedName name="BO682A4AEBA1664BAAADB94A3FAC074D26" localSheetId="1" hidden="1">#REF!</definedName>
    <definedName name="BO682A4AEBA1664BAAADB94A3FAC074D26" hidden="1">#REF!</definedName>
    <definedName name="BO684ADD0D089040709774B5CFD2C3443B" localSheetId="1" hidden="1">#REF!</definedName>
    <definedName name="BO684ADD0D089040709774B5CFD2C3443B" hidden="1">#REF!</definedName>
    <definedName name="BO6875B76CC8C447C0B62021C394829A61" localSheetId="1" hidden="1">#REF!</definedName>
    <definedName name="BO6875B76CC8C447C0B62021C394829A61" hidden="1">#REF!</definedName>
    <definedName name="BO6877ECFB96CD4021B816A19E43C7EA90" localSheetId="1" hidden="1">#REF!</definedName>
    <definedName name="BO6877ECFB96CD4021B816A19E43C7EA90" hidden="1">#REF!</definedName>
    <definedName name="BO6885C2074E0345E486028EA8690C5A58" localSheetId="1" hidden="1">#REF!</definedName>
    <definedName name="BO6885C2074E0345E486028EA8690C5A58" hidden="1">#REF!</definedName>
    <definedName name="BO68A52EDB58B047EBAB692AD4AD9092B4" localSheetId="1" hidden="1">#REF!</definedName>
    <definedName name="BO68A52EDB58B047EBAB692AD4AD9092B4" hidden="1">#REF!</definedName>
    <definedName name="BO68B5D0347A3B4C45B93128A49F2C24BC" localSheetId="1" hidden="1">#REF!</definedName>
    <definedName name="BO68B5D0347A3B4C45B93128A49F2C24BC" hidden="1">#REF!</definedName>
    <definedName name="BO68CBB64A056C4E64BB288A7CB4A517C5" localSheetId="1" hidden="1">#REF!</definedName>
    <definedName name="BO68CBB64A056C4E64BB288A7CB4A517C5" hidden="1">#REF!</definedName>
    <definedName name="BO68D12A85E19F4B13A5B938E85DFDE2C3" localSheetId="1" hidden="1">#REF!</definedName>
    <definedName name="BO68D12A85E19F4B13A5B938E85DFDE2C3" hidden="1">#REF!</definedName>
    <definedName name="BO68E69B5C80AA460C8EB65FD70C065684" localSheetId="1" hidden="1">#REF!</definedName>
    <definedName name="BO68E69B5C80AA460C8EB65FD70C065684" hidden="1">#REF!</definedName>
    <definedName name="BO693117EFAD7746E0A2E0AED86126C5BC" localSheetId="1" hidden="1">#REF!</definedName>
    <definedName name="BO693117EFAD7746E0A2E0AED86126C5BC" hidden="1">#REF!</definedName>
    <definedName name="BO6932CE89466A4A42B78148CFA7240123" localSheetId="1" hidden="1">#REF!</definedName>
    <definedName name="BO6932CE89466A4A42B78148CFA7240123" hidden="1">#REF!</definedName>
    <definedName name="BO696156486CFD4840B0BCEC1EFF93B48D" localSheetId="1" hidden="1">#REF!</definedName>
    <definedName name="BO696156486CFD4840B0BCEC1EFF93B48D" hidden="1">#REF!</definedName>
    <definedName name="BO69AA4ECF12B044EEAFD9A73AA05E9DD3" localSheetId="1" hidden="1">#REF!</definedName>
    <definedName name="BO69AA4ECF12B044EEAFD9A73AA05E9DD3" hidden="1">#REF!</definedName>
    <definedName name="BO69B6C97168F643EBAEAF15C4252B386D" localSheetId="1" hidden="1">#REF!</definedName>
    <definedName name="BO69B6C97168F643EBAEAF15C4252B386D" hidden="1">#REF!</definedName>
    <definedName name="BO69BB0513E70142D1A0A910E1E9902F95" localSheetId="1" hidden="1">#REF!</definedName>
    <definedName name="BO69BB0513E70142D1A0A910E1E9902F95" hidden="1">#REF!</definedName>
    <definedName name="BO69C80D35123349E5BF90B92945C649EC" localSheetId="1" hidden="1">#REF!</definedName>
    <definedName name="BO69C80D35123349E5BF90B92945C649EC" hidden="1">#REF!</definedName>
    <definedName name="BO69CD81248F9B4AA3802DF8219F9F278E" localSheetId="1" hidden="1">#REF!</definedName>
    <definedName name="BO69CD81248F9B4AA3802DF8219F9F278E" hidden="1">#REF!</definedName>
    <definedName name="BO69E3955CB2274252BFEEB4D5CEFF48BD" localSheetId="1" hidden="1">#REF!</definedName>
    <definedName name="BO69E3955CB2274252BFEEB4D5CEFF48BD" hidden="1">#REF!</definedName>
    <definedName name="BO69EFFF11C1D64A69977193D988175ABD" localSheetId="1" hidden="1">#REF!</definedName>
    <definedName name="BO69EFFF11C1D64A69977193D988175ABD" hidden="1">#REF!</definedName>
    <definedName name="BO6A0F97D1C1E44CB5AF6CF13D3CFF16C9" localSheetId="1" hidden="1">#REF!</definedName>
    <definedName name="BO6A0F97D1C1E44CB5AF6CF13D3CFF16C9" hidden="1">#REF!</definedName>
    <definedName name="BO6A3DDA6506544E82B855C0D104B49B31" localSheetId="1" hidden="1">#REF!</definedName>
    <definedName name="BO6A3DDA6506544E82B855C0D104B49B31" hidden="1">#REF!</definedName>
    <definedName name="BO6A5FD84F6F2D4ACA986DAF8954370CFC" localSheetId="1" hidden="1">#REF!</definedName>
    <definedName name="BO6A5FD84F6F2D4ACA986DAF8954370CFC" hidden="1">#REF!</definedName>
    <definedName name="BO6A6A105B80F247498AEB7B7C2424902B" localSheetId="1" hidden="1">#REF!</definedName>
    <definedName name="BO6A6A105B80F247498AEB7B7C2424902B" hidden="1">#REF!</definedName>
    <definedName name="BO6A75FD17C5F84A5B895D0872AAC774EA" localSheetId="1" hidden="1">#REF!</definedName>
    <definedName name="BO6A75FD17C5F84A5B895D0872AAC774EA" hidden="1">#REF!</definedName>
    <definedName name="BO6ABD9CCC4D25488E99F8208B897C4684" localSheetId="1" hidden="1">#REF!</definedName>
    <definedName name="BO6ABD9CCC4D25488E99F8208B897C4684" hidden="1">#REF!</definedName>
    <definedName name="BO6ADA4A7B015A47E48CE18453C09A9A28" localSheetId="1" hidden="1">#REF!</definedName>
    <definedName name="BO6ADA4A7B015A47E48CE18453C09A9A28" hidden="1">#REF!</definedName>
    <definedName name="BO6B633C7623204F9094615B141A8633A2" localSheetId="1" hidden="1">#REF!</definedName>
    <definedName name="BO6B633C7623204F9094615B141A8633A2" hidden="1">#REF!</definedName>
    <definedName name="BO6B71F895F44643F6AAD789C645D0E8E0" localSheetId="1" hidden="1">#REF!</definedName>
    <definedName name="BO6B71F895F44643F6AAD789C645D0E8E0" hidden="1">#REF!</definedName>
    <definedName name="BO6B9278E652164F859465D5128E6C2661" localSheetId="1" hidden="1">#REF!</definedName>
    <definedName name="BO6B9278E652164F859465D5128E6C2661" hidden="1">#REF!</definedName>
    <definedName name="BO6B97BB91ACFB4324BA4CFC955A81ADAA" localSheetId="1" hidden="1">#REF!</definedName>
    <definedName name="BO6B97BB91ACFB4324BA4CFC955A81ADAA" hidden="1">#REF!</definedName>
    <definedName name="BO6BC86BAA41A547468F6E9AD7931F5287" localSheetId="1" hidden="1">#REF!</definedName>
    <definedName name="BO6BC86BAA41A547468F6E9AD7931F5287" hidden="1">#REF!</definedName>
    <definedName name="BO6BCCBE0EB9B748A89BDEE5D538ACCDED" localSheetId="1" hidden="1">#REF!</definedName>
    <definedName name="BO6BCCBE0EB9B748A89BDEE5D538ACCDED" hidden="1">#REF!</definedName>
    <definedName name="BO6BCFA7C129A2467E97E597A5147106E1" localSheetId="1" hidden="1">#REF!</definedName>
    <definedName name="BO6BCFA7C129A2467E97E597A5147106E1" hidden="1">#REF!</definedName>
    <definedName name="BO6BD7D8156ED44891A5AF1DABF35D4404" localSheetId="1" hidden="1">#REF!</definedName>
    <definedName name="BO6BD7D8156ED44891A5AF1DABF35D4404" hidden="1">#REF!</definedName>
    <definedName name="BO6C05F334454F41C8B0B3678171CEC732" localSheetId="1" hidden="1">#REF!</definedName>
    <definedName name="BO6C05F334454F41C8B0B3678171CEC732" hidden="1">#REF!</definedName>
    <definedName name="BO6C082E03050E482090B01D3CEE896CE6" localSheetId="1" hidden="1">#REF!</definedName>
    <definedName name="BO6C082E03050E482090B01D3CEE896CE6" hidden="1">#REF!</definedName>
    <definedName name="BO6C32A595014942B9A3831CB8C8F5E2EA" localSheetId="1" hidden="1">#REF!</definedName>
    <definedName name="BO6C32A595014942B9A3831CB8C8F5E2EA" hidden="1">#REF!</definedName>
    <definedName name="BO6C68BCC504F8443F856209C9C3C616C1" localSheetId="1" hidden="1">#REF!</definedName>
    <definedName name="BO6C68BCC504F8443F856209C9C3C616C1" hidden="1">#REF!</definedName>
    <definedName name="BO6C8F4C54FA22481EA25C9A6E14DB3EE0" localSheetId="1" hidden="1">#REF!</definedName>
    <definedName name="BO6C8F4C54FA22481EA25C9A6E14DB3EE0" hidden="1">#REF!</definedName>
    <definedName name="BO6CA34BCFD336480891D464857FAA1BFF" localSheetId="1" hidden="1">#REF!</definedName>
    <definedName name="BO6CA34BCFD336480891D464857FAA1BFF" hidden="1">#REF!</definedName>
    <definedName name="BO6D216F35BD0F4066AC051FA2D670BD8D" localSheetId="1" hidden="1">#REF!</definedName>
    <definedName name="BO6D216F35BD0F4066AC051FA2D670BD8D" hidden="1">#REF!</definedName>
    <definedName name="BO6D36F5B3B1B24C41BA7F9A26F47F6E6F" localSheetId="1" hidden="1">#REF!</definedName>
    <definedName name="BO6D36F5B3B1B24C41BA7F9A26F47F6E6F" hidden="1">#REF!</definedName>
    <definedName name="BO6D446ED435C340BBB7D6E1DABF2612F9" localSheetId="1" hidden="1">#REF!</definedName>
    <definedName name="BO6D446ED435C340BBB7D6E1DABF2612F9" hidden="1">#REF!</definedName>
    <definedName name="BO6D48B3A216EA475B9802212D00F2F43D" localSheetId="1" hidden="1">#REF!</definedName>
    <definedName name="BO6D48B3A216EA475B9802212D00F2F43D" hidden="1">#REF!</definedName>
    <definedName name="BO6E20ACC79B454036B34808A961B58196" localSheetId="1" hidden="1">#REF!</definedName>
    <definedName name="BO6E20ACC79B454036B34808A961B58196" hidden="1">#REF!</definedName>
    <definedName name="BO6E21344F47774A6EB1FA9F73B7BD2423" localSheetId="1" hidden="1">#REF!</definedName>
    <definedName name="BO6E21344F47774A6EB1FA9F73B7BD2423" hidden="1">#REF!</definedName>
    <definedName name="BO6E2C21D508264F6B8B5C46A44C349884" localSheetId="1" hidden="1">#REF!</definedName>
    <definedName name="BO6E2C21D508264F6B8B5C46A44C349884" hidden="1">#REF!</definedName>
    <definedName name="BO6E3F7562572A4DBB9CCB8552A974008A" localSheetId="1" hidden="1">#REF!</definedName>
    <definedName name="BO6E3F7562572A4DBB9CCB8552A974008A" hidden="1">#REF!</definedName>
    <definedName name="BO6E525CCAF5C14CE58AA18850F7DD1E07" localSheetId="1" hidden="1">#REF!</definedName>
    <definedName name="BO6E525CCAF5C14CE58AA18850F7DD1E07" hidden="1">#REF!</definedName>
    <definedName name="BO6EAC14737525425DB3D048A74D3C2555" localSheetId="1" hidden="1">#REF!</definedName>
    <definedName name="BO6EAC14737525425DB3D048A74D3C2555" hidden="1">#REF!</definedName>
    <definedName name="BO6EB9FF4451774C2DB2F4D3926A2E04F6" localSheetId="1" hidden="1">#REF!</definedName>
    <definedName name="BO6EB9FF4451774C2DB2F4D3926A2E04F6" hidden="1">#REF!</definedName>
    <definedName name="BO6EDC325F257E4ED6ACC7EAE5B7ACFF4E" localSheetId="1" hidden="1">#REF!</definedName>
    <definedName name="BO6EDC325F257E4ED6ACC7EAE5B7ACFF4E" hidden="1">#REF!</definedName>
    <definedName name="BO6EFECEF948934EE8B681373562125C2A" localSheetId="1" hidden="1">#REF!</definedName>
    <definedName name="BO6EFECEF948934EE8B681373562125C2A" hidden="1">#REF!</definedName>
    <definedName name="BO6F1385820D1146F59BF8E33FCC8B729C" localSheetId="1" hidden="1">#REF!</definedName>
    <definedName name="BO6F1385820D1146F59BF8E33FCC8B729C" hidden="1">#REF!</definedName>
    <definedName name="BO6F1609D75ECD4FF6BC0FF6228940675C" localSheetId="1" hidden="1">#REF!</definedName>
    <definedName name="BO6F1609D75ECD4FF6BC0FF6228940675C" hidden="1">#REF!</definedName>
    <definedName name="BO6F1E1F5F203B44BC9BB6CFF0E412E2D8" localSheetId="1" hidden="1">#REF!</definedName>
    <definedName name="BO6F1E1F5F203B44BC9BB6CFF0E412E2D8" hidden="1">#REF!</definedName>
    <definedName name="BO6F536741FBB948678BFEC393C691E5D5" localSheetId="1" hidden="1">#REF!</definedName>
    <definedName name="BO6F536741FBB948678BFEC393C691E5D5" hidden="1">#REF!</definedName>
    <definedName name="BO6F70F171E044490BBAE91DB164C68637" localSheetId="1" hidden="1">#REF!</definedName>
    <definedName name="BO6F70F171E044490BBAE91DB164C68637" hidden="1">#REF!</definedName>
    <definedName name="BO6F7397E62F854ABC9A4B8569B35A4877" localSheetId="1" hidden="1">#REF!</definedName>
    <definedName name="BO6F7397E62F854ABC9A4B8569B35A4877" hidden="1">#REF!</definedName>
    <definedName name="BO6F876995575C4527A03B04DA744B73FB" localSheetId="1" hidden="1">#REF!</definedName>
    <definedName name="BO6F876995575C4527A03B04DA744B73FB" hidden="1">#REF!</definedName>
    <definedName name="BO6FA2D2E1C86D45A9AAD071B3BB6FAF17" localSheetId="1" hidden="1">#REF!</definedName>
    <definedName name="BO6FA2D2E1C86D45A9AAD071B3BB6FAF17" hidden="1">#REF!</definedName>
    <definedName name="BO6FA69CEBBC6742018331746C19B43A60" localSheetId="1" hidden="1">#REF!</definedName>
    <definedName name="BO6FA69CEBBC6742018331746C19B43A60" hidden="1">#REF!</definedName>
    <definedName name="BO6FC7AAE6DE0245BF93272BB56E0A78F5" localSheetId="1" hidden="1">#REF!</definedName>
    <definedName name="BO6FC7AAE6DE0245BF93272BB56E0A78F5" hidden="1">#REF!</definedName>
    <definedName name="BO6FDA6E7D206B4B7B81E7695256A17B10" localSheetId="1" hidden="1">#REF!</definedName>
    <definedName name="BO6FDA6E7D206B4B7B81E7695256A17B10" hidden="1">#REF!</definedName>
    <definedName name="BO6FED0E09E17C44269179A5BC3F6CC318" localSheetId="1" hidden="1">#REF!</definedName>
    <definedName name="BO6FED0E09E17C44269179A5BC3F6CC318" hidden="1">#REF!</definedName>
    <definedName name="BO700D962BEB2C4A76B4DB1654681DB4D5" localSheetId="1" hidden="1">#REF!</definedName>
    <definedName name="BO700D962BEB2C4A76B4DB1654681DB4D5" hidden="1">#REF!</definedName>
    <definedName name="BO703AED9A8E984D3DB066D87D9CC0AAF8" localSheetId="1" hidden="1">#REF!</definedName>
    <definedName name="BO703AED9A8E984D3DB066D87D9CC0AAF8" hidden="1">#REF!</definedName>
    <definedName name="BO7051D964B75444359686A6D8EA8EE8AB" localSheetId="1" hidden="1">#REF!</definedName>
    <definedName name="BO7051D964B75444359686A6D8EA8EE8AB" hidden="1">#REF!</definedName>
    <definedName name="BO705CF1DFE0DE4D389EF730530C15C154" localSheetId="1" hidden="1">#REF!</definedName>
    <definedName name="BO705CF1DFE0DE4D389EF730530C15C154" hidden="1">#REF!</definedName>
    <definedName name="BO7094E562A1184812844CD42EA41E280A" localSheetId="1" hidden="1">#REF!</definedName>
    <definedName name="BO7094E562A1184812844CD42EA41E280A" hidden="1">#REF!</definedName>
    <definedName name="BO70B2AA6445EA47EDB7786D6CD3A62236" localSheetId="1" hidden="1">#REF!</definedName>
    <definedName name="BO70B2AA6445EA47EDB7786D6CD3A62236" hidden="1">#REF!</definedName>
    <definedName name="BO70BDCDFEA7D14BD68ED91DF4F317EEA2" localSheetId="1" hidden="1">#REF!</definedName>
    <definedName name="BO70BDCDFEA7D14BD68ED91DF4F317EEA2" hidden="1">#REF!</definedName>
    <definedName name="BO70ECA966E29F418D9D52FC442E1E8353" localSheetId="1" hidden="1">#REF!</definedName>
    <definedName name="BO70ECA966E29F418D9D52FC442E1E8353" hidden="1">#REF!</definedName>
    <definedName name="BO7106DC84060C4E658091D86955D71B96" localSheetId="1" hidden="1">#REF!</definedName>
    <definedName name="BO7106DC84060C4E658091D86955D71B96" hidden="1">#REF!</definedName>
    <definedName name="BO71325101CDD14BD4847E605FB812E00E" localSheetId="1" hidden="1">#REF!</definedName>
    <definedName name="BO71325101CDD14BD4847E605FB812E00E" hidden="1">#REF!</definedName>
    <definedName name="BO71392F77D91448CF871C0C981693FA2E" localSheetId="1" hidden="1">#REF!</definedName>
    <definedName name="BO71392F77D91448CF871C0C981693FA2E" hidden="1">#REF!</definedName>
    <definedName name="BO713ED7417A1C4961A087E5B2B6BF355D" localSheetId="1" hidden="1">#REF!</definedName>
    <definedName name="BO713ED7417A1C4961A087E5B2B6BF355D" hidden="1">#REF!</definedName>
    <definedName name="BO71B3C99DBD0646128A15EEAB772F5CED" localSheetId="1" hidden="1">#REF!</definedName>
    <definedName name="BO71B3C99DBD0646128A15EEAB772F5CED" hidden="1">#REF!</definedName>
    <definedName name="BO71B62A503F0F4126B139358A87402C5F" localSheetId="1" hidden="1">#REF!</definedName>
    <definedName name="BO71B62A503F0F4126B139358A87402C5F" hidden="1">#REF!</definedName>
    <definedName name="BO71CBB851E18B4919B08BECFF7D168564" localSheetId="1" hidden="1">#REF!</definedName>
    <definedName name="BO71CBB851E18B4919B08BECFF7D168564" hidden="1">#REF!</definedName>
    <definedName name="BO71D22361E628411D99E583D71033DC8A" localSheetId="1" hidden="1">#REF!</definedName>
    <definedName name="BO71D22361E628411D99E583D71033DC8A" hidden="1">#REF!</definedName>
    <definedName name="BO71E3CA1F3102488E93395246AD1ED12F" localSheetId="1" hidden="1">#REF!</definedName>
    <definedName name="BO71E3CA1F3102488E93395246AD1ED12F" hidden="1">#REF!</definedName>
    <definedName name="BO71F834AEB5174A799F92A83D02A96630" localSheetId="1" hidden="1">#REF!</definedName>
    <definedName name="BO71F834AEB5174A799F92A83D02A96630" hidden="1">#REF!</definedName>
    <definedName name="BO72215A72BC8D474AA13A45CAD99CBE96" localSheetId="1" hidden="1">#REF!</definedName>
    <definedName name="BO72215A72BC8D474AA13A45CAD99CBE96" hidden="1">#REF!</definedName>
    <definedName name="BO723F3F9D1C9D4E4984DAF709942090DC" localSheetId="1" hidden="1">#REF!</definedName>
    <definedName name="BO723F3F9D1C9D4E4984DAF709942090DC" hidden="1">#REF!</definedName>
    <definedName name="BO72594168DF2A494A91D06EC22DAB422F" localSheetId="1" hidden="1">#REF!</definedName>
    <definedName name="BO72594168DF2A494A91D06EC22DAB422F" hidden="1">#REF!</definedName>
    <definedName name="BO7279B40C726743AEA1D10F4FDA82E066" localSheetId="1" hidden="1">#REF!</definedName>
    <definedName name="BO7279B40C726743AEA1D10F4FDA82E066" hidden="1">#REF!</definedName>
    <definedName name="BO729C7144BF3B410F86A028559201D1BC" localSheetId="1" hidden="1">#REF!</definedName>
    <definedName name="BO729C7144BF3B410F86A028559201D1BC" hidden="1">#REF!</definedName>
    <definedName name="BO72E529392E8C430F8DEA197B49A0A5F6" localSheetId="1" hidden="1">#REF!</definedName>
    <definedName name="BO72E529392E8C430F8DEA197B49A0A5F6" hidden="1">#REF!</definedName>
    <definedName name="BO72E60F5DCCF74F1B93CFA3ADB443A3E4" localSheetId="1" hidden="1">#REF!</definedName>
    <definedName name="BO72E60F5DCCF74F1B93CFA3ADB443A3E4" hidden="1">#REF!</definedName>
    <definedName name="BO73C8D12805554866BDCFE518BBA0B179" localSheetId="1" hidden="1">#REF!</definedName>
    <definedName name="BO73C8D12805554866BDCFE518BBA0B179" hidden="1">#REF!</definedName>
    <definedName name="BO73D5E3CE0DB6414399F7EE6D4D82A5D9" localSheetId="1" hidden="1">#REF!</definedName>
    <definedName name="BO73D5E3CE0DB6414399F7EE6D4D82A5D9" hidden="1">#REF!</definedName>
    <definedName name="BO740BD9ACD53D4068A50D01FBE388B184" localSheetId="1" hidden="1">#REF!</definedName>
    <definedName name="BO740BD9ACD53D4068A50D01FBE388B184" hidden="1">#REF!</definedName>
    <definedName name="BO745C72726784433CA2465633D103E307" localSheetId="1" hidden="1">#REF!</definedName>
    <definedName name="BO745C72726784433CA2465633D103E307" hidden="1">#REF!</definedName>
    <definedName name="BO747581AAE69340A3AA55D7E0E33F3BD2" localSheetId="1" hidden="1">#REF!</definedName>
    <definedName name="BO747581AAE69340A3AA55D7E0E33F3BD2" hidden="1">#REF!</definedName>
    <definedName name="BO74850815E6B1496FB74F7BD6E50A4B3F" localSheetId="1" hidden="1">#REF!</definedName>
    <definedName name="BO74850815E6B1496FB74F7BD6E50A4B3F" hidden="1">#REF!</definedName>
    <definedName name="BO748A034528AC408E83941B792E8FA572" localSheetId="1" hidden="1">#REF!</definedName>
    <definedName name="BO748A034528AC408E83941B792E8FA572" hidden="1">#REF!</definedName>
    <definedName name="BO74E54C7D3DB246FD92CE6991D9B2A618" localSheetId="1" hidden="1">#REF!</definedName>
    <definedName name="BO74E54C7D3DB246FD92CE6991D9B2A618" hidden="1">#REF!</definedName>
    <definedName name="BO74EBB284B6E44D8F991552BD3F66BCEE" localSheetId="1" hidden="1">#REF!</definedName>
    <definedName name="BO74EBB284B6E44D8F991552BD3F66BCEE" hidden="1">#REF!</definedName>
    <definedName name="BO74F61FD7579A48E9B280208A620C9635" localSheetId="1" hidden="1">#REF!</definedName>
    <definedName name="BO74F61FD7579A48E9B280208A620C9635" hidden="1">#REF!</definedName>
    <definedName name="BO74FB646248E345A29000CB6D66A465DD" localSheetId="1" hidden="1">#REF!</definedName>
    <definedName name="BO74FB646248E345A29000CB6D66A465DD" hidden="1">#REF!</definedName>
    <definedName name="BO751BB62B928C4F22B20A477A18A85A03" localSheetId="1" hidden="1">#REF!</definedName>
    <definedName name="BO751BB62B928C4F22B20A477A18A85A03" hidden="1">#REF!</definedName>
    <definedName name="BO755BFAF8F1BE47CE93D2E222DC51550B" localSheetId="1" hidden="1">#REF!</definedName>
    <definedName name="BO755BFAF8F1BE47CE93D2E222DC51550B" hidden="1">#REF!</definedName>
    <definedName name="BO75691212455E4A329A200FEED489F25F" localSheetId="1" hidden="1">#REF!</definedName>
    <definedName name="BO75691212455E4A329A200FEED489F25F" hidden="1">#REF!</definedName>
    <definedName name="BO756E3C1445D247469896FA894EC4F005" localSheetId="1" hidden="1">#REF!</definedName>
    <definedName name="BO756E3C1445D247469896FA894EC4F005" hidden="1">#REF!</definedName>
    <definedName name="BO7580E6D7B3D94206932D02E17C652894" localSheetId="1" hidden="1">#REF!</definedName>
    <definedName name="BO7580E6D7B3D94206932D02E17C652894" hidden="1">#REF!</definedName>
    <definedName name="BO759F8AE7EA794C918C72E12E9DCF68A2" localSheetId="1" hidden="1">#REF!</definedName>
    <definedName name="BO759F8AE7EA794C918C72E12E9DCF68A2" hidden="1">#REF!</definedName>
    <definedName name="BO75A2E743AECE46AFA74D486D82926E01" localSheetId="1" hidden="1">#REF!</definedName>
    <definedName name="BO75A2E743AECE46AFA74D486D82926E01" hidden="1">#REF!</definedName>
    <definedName name="BO75ADB4F32A9B4C6B9B23A6F06C77B2FA" localSheetId="1" hidden="1">#REF!</definedName>
    <definedName name="BO75ADB4F32A9B4C6B9B23A6F06C77B2FA" hidden="1">#REF!</definedName>
    <definedName name="BO75B1AFE3E773475FB97325EBA97E15D4" localSheetId="1" hidden="1">#REF!</definedName>
    <definedName name="BO75B1AFE3E773475FB97325EBA97E15D4" hidden="1">#REF!</definedName>
    <definedName name="BO75C4101A9A9A47BE958056E317701004" localSheetId="1" hidden="1">#REF!</definedName>
    <definedName name="BO75C4101A9A9A47BE958056E317701004" hidden="1">#REF!</definedName>
    <definedName name="BO75EC821199834E478B5ABFB12B4E254B" localSheetId="1" hidden="1">#REF!</definedName>
    <definedName name="BO75EC821199834E478B5ABFB12B4E254B" hidden="1">#REF!</definedName>
    <definedName name="BO75FF3FD4DDA84CB39C4F91511EB9CE55" localSheetId="1" hidden="1">#REF!</definedName>
    <definedName name="BO75FF3FD4DDA84CB39C4F91511EB9CE55" hidden="1">#REF!</definedName>
    <definedName name="BO76000B08B14A42FA8E260991624932B5" localSheetId="1" hidden="1">#REF!</definedName>
    <definedName name="BO76000B08B14A42FA8E260991624932B5" hidden="1">#REF!</definedName>
    <definedName name="BO7663B46CDF5746FEA8D1B90DAA9D7343" localSheetId="1" hidden="1">#REF!</definedName>
    <definedName name="BO7663B46CDF5746FEA8D1B90DAA9D7343" hidden="1">#REF!</definedName>
    <definedName name="BO76AB248C19CA4AC8A89A4E53C9FA6D85" localSheetId="1" hidden="1">#REF!</definedName>
    <definedName name="BO76AB248C19CA4AC8A89A4E53C9FA6D85" hidden="1">#REF!</definedName>
    <definedName name="BO76CA88E084EC4A54AEC7CA1F00F2CFC4" localSheetId="1" hidden="1">#REF!</definedName>
    <definedName name="BO76CA88E084EC4A54AEC7CA1F00F2CFC4" hidden="1">#REF!</definedName>
    <definedName name="BO76DA8C49D5AC48959D01ACC0A51323E6" localSheetId="1" hidden="1">#REF!</definedName>
    <definedName name="BO76DA8C49D5AC48959D01ACC0A51323E6" hidden="1">#REF!</definedName>
    <definedName name="BO76DE8D9A64C642A29533096617FC630B" localSheetId="1" hidden="1">#REF!</definedName>
    <definedName name="BO76DE8D9A64C642A29533096617FC630B" hidden="1">#REF!</definedName>
    <definedName name="BO77161466E3A248C6B42360A44488D5EB" localSheetId="1" hidden="1">#REF!</definedName>
    <definedName name="BO77161466E3A248C6B42360A44488D5EB" hidden="1">#REF!</definedName>
    <definedName name="BO772857C878F74C8EBAC2132A89BCE5D2" localSheetId="1" hidden="1">#REF!</definedName>
    <definedName name="BO772857C878F74C8EBAC2132A89BCE5D2" hidden="1">#REF!</definedName>
    <definedName name="BO773483D3E1804CA69CB9EBAB8EDF44E2" localSheetId="1" hidden="1">#REF!</definedName>
    <definedName name="BO773483D3E1804CA69CB9EBAB8EDF44E2" hidden="1">#REF!</definedName>
    <definedName name="BO7735543194A245FBAB0BB9E8F74851DA" localSheetId="1" hidden="1">#REF!</definedName>
    <definedName name="BO7735543194A245FBAB0BB9E8F74851DA" hidden="1">#REF!</definedName>
    <definedName name="BO77723F0E62C44BD3A26ABA5DD53B4F2A" localSheetId="1" hidden="1">#REF!</definedName>
    <definedName name="BO77723F0E62C44BD3A26ABA5DD53B4F2A" hidden="1">#REF!</definedName>
    <definedName name="BO77A82294730E49ADA1F07FC8F00AA69D" localSheetId="1" hidden="1">#REF!</definedName>
    <definedName name="BO77A82294730E49ADA1F07FC8F00AA69D" hidden="1">#REF!</definedName>
    <definedName name="BO77CC4968C6FB4AE891D9203BB882D196" localSheetId="1" hidden="1">#REF!</definedName>
    <definedName name="BO77CC4968C6FB4AE891D9203BB882D196" hidden="1">#REF!</definedName>
    <definedName name="BO77E21B89C8AB4C31920492CF930D9D60" localSheetId="1" hidden="1">#REF!</definedName>
    <definedName name="BO77E21B89C8AB4C31920492CF930D9D60" hidden="1">#REF!</definedName>
    <definedName name="BO77E3BD8340C8474DA7D45CEC71ECC2E7" localSheetId="1" hidden="1">#REF!</definedName>
    <definedName name="BO77E3BD8340C8474DA7D45CEC71ECC2E7" hidden="1">#REF!</definedName>
    <definedName name="BO780FE6F4A17D423CAAAE5E547813AF83" localSheetId="1" hidden="1">#REF!</definedName>
    <definedName name="BO780FE6F4A17D423CAAAE5E547813AF83" hidden="1">#REF!</definedName>
    <definedName name="BO7825A254A3284232B88DD51D44537CE6" localSheetId="1" hidden="1">#REF!</definedName>
    <definedName name="BO7825A254A3284232B88DD51D44537CE6" hidden="1">#REF!</definedName>
    <definedName name="BO78293AB6CE91423691629BC52DBE67C5" localSheetId="1" hidden="1">#REF!</definedName>
    <definedName name="BO78293AB6CE91423691629BC52DBE67C5" hidden="1">#REF!</definedName>
    <definedName name="BO786482A3A5514950BBE4162F7C12A46A" localSheetId="1" hidden="1">#REF!</definedName>
    <definedName name="BO786482A3A5514950BBE4162F7C12A46A" hidden="1">#REF!</definedName>
    <definedName name="BO788ED74ED939412CB753298F77C36E43" localSheetId="1" hidden="1">#REF!</definedName>
    <definedName name="BO788ED74ED939412CB753298F77C36E43" hidden="1">#REF!</definedName>
    <definedName name="BO7893E4A0FDDA4DEFB6C87748B1C0D7E5" localSheetId="1" hidden="1">#REF!</definedName>
    <definedName name="BO7893E4A0FDDA4DEFB6C87748B1C0D7E5" hidden="1">#REF!</definedName>
    <definedName name="BO78A26449E14A4E0898706C634FB8920A" localSheetId="1" hidden="1">#REF!</definedName>
    <definedName name="BO78A26449E14A4E0898706C634FB8920A" hidden="1">#REF!</definedName>
    <definedName name="BO78C24C51799B48EC9BAD7647746A6F2F" localSheetId="1" hidden="1">#REF!</definedName>
    <definedName name="BO78C24C51799B48EC9BAD7647746A6F2F" hidden="1">#REF!</definedName>
    <definedName name="BO78CEEB703E4C4D78A579EE8F6D76D929" localSheetId="1" hidden="1">#REF!</definedName>
    <definedName name="BO78CEEB703E4C4D78A579EE8F6D76D929" hidden="1">#REF!</definedName>
    <definedName name="BO7900DBEF3E8C481CB1DBCA63E0704C8E" localSheetId="1" hidden="1">#REF!</definedName>
    <definedName name="BO7900DBEF3E8C481CB1DBCA63E0704C8E" hidden="1">#REF!</definedName>
    <definedName name="BO796520ECF0BA480DBCDDCB64C9832C4C" localSheetId="1" hidden="1">#REF!</definedName>
    <definedName name="BO796520ECF0BA480DBCDDCB64C9832C4C" hidden="1">#REF!</definedName>
    <definedName name="BO797DA6191F9E43AB8625A5F6351A1609" localSheetId="1" hidden="1">#REF!</definedName>
    <definedName name="BO797DA6191F9E43AB8625A5F6351A1609" hidden="1">#REF!</definedName>
    <definedName name="BO798FD8E248DE4C92A7F81EAC0A8F29A7" localSheetId="1" hidden="1">#REF!</definedName>
    <definedName name="BO798FD8E248DE4C92A7F81EAC0A8F29A7" hidden="1">#REF!</definedName>
    <definedName name="BO79F79C58C8A641CF81752FDEA72C10D9" localSheetId="1" hidden="1">#REF!</definedName>
    <definedName name="BO79F79C58C8A641CF81752FDEA72C10D9" hidden="1">#REF!</definedName>
    <definedName name="BO7A3E4B6B1E6246EAA461969DE7AEB47B" localSheetId="1" hidden="1">#REF!</definedName>
    <definedName name="BO7A3E4B6B1E6246EAA461969DE7AEB47B" hidden="1">#REF!</definedName>
    <definedName name="BO7A56D81323D346BCB253ED202182F14C" localSheetId="1" hidden="1">#REF!</definedName>
    <definedName name="BO7A56D81323D346BCB253ED202182F14C" hidden="1">#REF!</definedName>
    <definedName name="BO7A67D1A3C2D1457494C925FBF571D683" localSheetId="1" hidden="1">#REF!</definedName>
    <definedName name="BO7A67D1A3C2D1457494C925FBF571D683" hidden="1">#REF!</definedName>
    <definedName name="BO7A84B87F8EDA4FDBAFF63724D92A7D16" localSheetId="1" hidden="1">#REF!</definedName>
    <definedName name="BO7A84B87F8EDA4FDBAFF63724D92A7D16" hidden="1">#REF!</definedName>
    <definedName name="BO7AECE17A45E947888D280C0A3669697F" localSheetId="1" hidden="1">#REF!</definedName>
    <definedName name="BO7AECE17A45E947888D280C0A3669697F" hidden="1">#REF!</definedName>
    <definedName name="BO7AF2782FB7104FC28CFE46F4B181C0A8" localSheetId="1" hidden="1">#REF!</definedName>
    <definedName name="BO7AF2782FB7104FC28CFE46F4B181C0A8" hidden="1">#REF!</definedName>
    <definedName name="BO7B3F57C7D37A4D9F932F412B50E3A9C5" localSheetId="1" hidden="1">#REF!</definedName>
    <definedName name="BO7B3F57C7D37A4D9F932F412B50E3A9C5" hidden="1">#REF!</definedName>
    <definedName name="BO7B4C1F4DCA5C4F91BE3808330ED991B4" localSheetId="1" hidden="1">#REF!</definedName>
    <definedName name="BO7B4C1F4DCA5C4F91BE3808330ED991B4" hidden="1">#REF!</definedName>
    <definedName name="BO7B5705FA795B4415A95726BFE7507495" localSheetId="1" hidden="1">#REF!</definedName>
    <definedName name="BO7B5705FA795B4415A95726BFE7507495" hidden="1">#REF!</definedName>
    <definedName name="BO7BBECD97126749A5BD63E736BE94A255" localSheetId="1" hidden="1">#REF!</definedName>
    <definedName name="BO7BBECD97126749A5BD63E736BE94A255" hidden="1">#REF!</definedName>
    <definedName name="BO7BC170CD198B41C692619BD0B2829984" localSheetId="1" hidden="1">#REF!</definedName>
    <definedName name="BO7BC170CD198B41C692619BD0B2829984" hidden="1">#REF!</definedName>
    <definedName name="BO7BFEA2FCFFCB48E5B36F4809D85D5E7B" localSheetId="1" hidden="1">#REF!</definedName>
    <definedName name="BO7BFEA2FCFFCB48E5B36F4809D85D5E7B" hidden="1">#REF!</definedName>
    <definedName name="BO7BFF594E1FEE4946BBAF27C54ADD6291" localSheetId="1" hidden="1">#REF!</definedName>
    <definedName name="BO7BFF594E1FEE4946BBAF27C54ADD6291" hidden="1">#REF!</definedName>
    <definedName name="BO7C16913B80E24B5DBA9EBB5E5FE3FBBC" localSheetId="1" hidden="1">#REF!</definedName>
    <definedName name="BO7C16913B80E24B5DBA9EBB5E5FE3FBBC" hidden="1">#REF!</definedName>
    <definedName name="BO7C4CD6B9E9C044EB9EC6C389774E6C65" localSheetId="1" hidden="1">#REF!</definedName>
    <definedName name="BO7C4CD6B9E9C044EB9EC6C389774E6C65" hidden="1">#REF!</definedName>
    <definedName name="BO7C4E1B7E876445188B34969A634BA9DA" localSheetId="1" hidden="1">#REF!</definedName>
    <definedName name="BO7C4E1B7E876445188B34969A634BA9DA" hidden="1">#REF!</definedName>
    <definedName name="BO7CB19D575BA4421B91CCC82C209C8073" localSheetId="1" hidden="1">#REF!</definedName>
    <definedName name="BO7CB19D575BA4421B91CCC82C209C8073" hidden="1">#REF!</definedName>
    <definedName name="BO7D1FDB8727184C13B4570E65F80DC3A8" localSheetId="1" hidden="1">#REF!</definedName>
    <definedName name="BO7D1FDB8727184C13B4570E65F80DC3A8" hidden="1">#REF!</definedName>
    <definedName name="BO7D2EA66DF2E7481DA3B087A68D516C3D" localSheetId="1" hidden="1">#REF!</definedName>
    <definedName name="BO7D2EA66DF2E7481DA3B087A68D516C3D" hidden="1">#REF!</definedName>
    <definedName name="BO7D89FACA725047CB91C9B25626B1B1A8" localSheetId="1" hidden="1">#REF!</definedName>
    <definedName name="BO7D89FACA725047CB91C9B25626B1B1A8" hidden="1">#REF!</definedName>
    <definedName name="BO7D93C65EB0A44BBF9FCB07C446798A2C" localSheetId="1" hidden="1">#REF!</definedName>
    <definedName name="BO7D93C65EB0A44BBF9FCB07C446798A2C" hidden="1">#REF!</definedName>
    <definedName name="BO7DB99E66FA9F4C188B1DA2EB33053C58" localSheetId="1" hidden="1">#REF!</definedName>
    <definedName name="BO7DB99E66FA9F4C188B1DA2EB33053C58" hidden="1">#REF!</definedName>
    <definedName name="BO7DBBE8B2D3EF445282BC0CB8AD4B8131" localSheetId="1" hidden="1">#REF!</definedName>
    <definedName name="BO7DBBE8B2D3EF445282BC0CB8AD4B8131" hidden="1">#REF!</definedName>
    <definedName name="BO7E1EB127D17647DCAF66576435571B9D" localSheetId="1" hidden="1">#REF!</definedName>
    <definedName name="BO7E1EB127D17647DCAF66576435571B9D" hidden="1">#REF!</definedName>
    <definedName name="BO7E20AF36C10E4DE1ACFF5DAB21E6F0CF" localSheetId="1" hidden="1">#REF!</definedName>
    <definedName name="BO7E20AF36C10E4DE1ACFF5DAB21E6F0CF" hidden="1">#REF!</definedName>
    <definedName name="BO7E41D564AEEA4C6280E66CE7C612FD8B" localSheetId="1" hidden="1">#REF!</definedName>
    <definedName name="BO7E41D564AEEA4C6280E66CE7C612FD8B" hidden="1">#REF!</definedName>
    <definedName name="BO7E5AD48C85964A4DA0892651C66FB5FA" localSheetId="1" hidden="1">#REF!</definedName>
    <definedName name="BO7E5AD48C85964A4DA0892651C66FB5FA" hidden="1">#REF!</definedName>
    <definedName name="BO7E74EB17091144229C8DA32E72D0B0DE" localSheetId="1" hidden="1">#REF!</definedName>
    <definedName name="BO7E74EB17091144229C8DA32E72D0B0DE" hidden="1">#REF!</definedName>
    <definedName name="BO7ED2877E1E044BF588CE91B0F73A907C" localSheetId="1" hidden="1">#REF!</definedName>
    <definedName name="BO7ED2877E1E044BF588CE91B0F73A907C" hidden="1">#REF!</definedName>
    <definedName name="BO7F328DF0B87B4733927898ED428C4902" localSheetId="1" hidden="1">#REF!</definedName>
    <definedName name="BO7F328DF0B87B4733927898ED428C4902" hidden="1">#REF!</definedName>
    <definedName name="BO7F733737D2164EB396378752B251DF56" localSheetId="1" hidden="1">#REF!</definedName>
    <definedName name="BO7F733737D2164EB396378752B251DF56" hidden="1">#REF!</definedName>
    <definedName name="BO7FA568F38B8549BD8CCB4099EBA6D59E" localSheetId="1" hidden="1">#REF!</definedName>
    <definedName name="BO7FA568F38B8549BD8CCB4099EBA6D59E" hidden="1">#REF!</definedName>
    <definedName name="BO7FE15ABA24B8440CB3D66CB2BEB8CD57" localSheetId="1" hidden="1">#REF!</definedName>
    <definedName name="BO7FE15ABA24B8440CB3D66CB2BEB8CD57" hidden="1">#REF!</definedName>
    <definedName name="BO7FED074D327A46A5B3846340D3E435AA" localSheetId="1" hidden="1">#REF!</definedName>
    <definedName name="BO7FED074D327A46A5B3846340D3E435AA" hidden="1">#REF!</definedName>
    <definedName name="BO8026067F176D423BB8A45430475AA310" localSheetId="1" hidden="1">#REF!</definedName>
    <definedName name="BO8026067F176D423BB8A45430475AA310" hidden="1">#REF!</definedName>
    <definedName name="BO806F055F6D3248B38530AA53D8ABD768" localSheetId="1" hidden="1">#REF!</definedName>
    <definedName name="BO806F055F6D3248B38530AA53D8ABD768" hidden="1">#REF!</definedName>
    <definedName name="BO80E41CB5CADD420F8D0E1B0833B86BE7" localSheetId="1" hidden="1">#REF!</definedName>
    <definedName name="BO80E41CB5CADD420F8D0E1B0833B86BE7" hidden="1">#REF!</definedName>
    <definedName name="BO80F01F433AED4BA9B57F1088CBCCE98C" localSheetId="1" hidden="1">#REF!</definedName>
    <definedName name="BO80F01F433AED4BA9B57F1088CBCCE98C" hidden="1">#REF!</definedName>
    <definedName name="BO81124862005F424FA1E78C5F5A56CE77" localSheetId="1" hidden="1">#REF!</definedName>
    <definedName name="BO81124862005F424FA1E78C5F5A56CE77" hidden="1">#REF!</definedName>
    <definedName name="BO8116D3330FC0481ABDE5EA390248C0FB" localSheetId="1" hidden="1">#REF!</definedName>
    <definedName name="BO8116D3330FC0481ABDE5EA390248C0FB" hidden="1">#REF!</definedName>
    <definedName name="BO812D1D90173740FF9EB59A105954F73E" localSheetId="1" hidden="1">#REF!</definedName>
    <definedName name="BO812D1D90173740FF9EB59A105954F73E" hidden="1">#REF!</definedName>
    <definedName name="BO81398069C13F4CF48755661AA61D4B05" localSheetId="1" hidden="1">#REF!</definedName>
    <definedName name="BO81398069C13F4CF48755661AA61D4B05" hidden="1">#REF!</definedName>
    <definedName name="BO8152E1CBEABA406BB88B1EA29F8BD9B5" localSheetId="1" hidden="1">#REF!</definedName>
    <definedName name="BO8152E1CBEABA406BB88B1EA29F8BD9B5" hidden="1">#REF!</definedName>
    <definedName name="BO815A38454A38422DAE2CBA1F342AB384" localSheetId="1" hidden="1">#REF!</definedName>
    <definedName name="BO815A38454A38422DAE2CBA1F342AB384" hidden="1">#REF!</definedName>
    <definedName name="BO8160DAE7346B4302A174200177384D45" localSheetId="1" hidden="1">#REF!</definedName>
    <definedName name="BO8160DAE7346B4302A174200177384D45" hidden="1">#REF!</definedName>
    <definedName name="BO8161C454A2A04D77934C4F2B83E1D4AB" localSheetId="1" hidden="1">#REF!</definedName>
    <definedName name="BO8161C454A2A04D77934C4F2B83E1D4AB" hidden="1">#REF!</definedName>
    <definedName name="BO8185A22756D844D485A4345BFAA5E51B" localSheetId="1" hidden="1">#REF!</definedName>
    <definedName name="BO8185A22756D844D485A4345BFAA5E51B" hidden="1">#REF!</definedName>
    <definedName name="BO81889E13E8BD4C878CCC1CCC34498B32" localSheetId="1" hidden="1">#REF!</definedName>
    <definedName name="BO81889E13E8BD4C878CCC1CCC34498B32" hidden="1">#REF!</definedName>
    <definedName name="BO81D37D16DB894932AABCA35600FE54D0" localSheetId="1" hidden="1">#REF!</definedName>
    <definedName name="BO81D37D16DB894932AABCA35600FE54D0" hidden="1">#REF!</definedName>
    <definedName name="BO8204C98D845C47289C2A48ACE7BB360F" localSheetId="1" hidden="1">#REF!</definedName>
    <definedName name="BO8204C98D845C47289C2A48ACE7BB360F" hidden="1">#REF!</definedName>
    <definedName name="BO823A35FDC9FF43708B18DB11AE72EA46" localSheetId="1" hidden="1">#REF!</definedName>
    <definedName name="BO823A35FDC9FF43708B18DB11AE72EA46" hidden="1">#REF!</definedName>
    <definedName name="BO82599D26C22F4ECBAFBDBDDD0AC6B9DC" localSheetId="1" hidden="1">#REF!</definedName>
    <definedName name="BO82599D26C22F4ECBAFBDBDDD0AC6B9DC" hidden="1">#REF!</definedName>
    <definedName name="BO8270DC61B3634703802A06111963247A" localSheetId="1" hidden="1">#REF!</definedName>
    <definedName name="BO8270DC61B3634703802A06111963247A" hidden="1">#REF!</definedName>
    <definedName name="BO8271FF2B72A4468699A1BEBB1CE7770A" localSheetId="1" hidden="1">#REF!</definedName>
    <definedName name="BO8271FF2B72A4468699A1BEBB1CE7770A" hidden="1">#REF!</definedName>
    <definedName name="BO828C727B9F184011B97187B8FE59D9AE" localSheetId="1" hidden="1">#REF!</definedName>
    <definedName name="BO828C727B9F184011B97187B8FE59D9AE" hidden="1">#REF!</definedName>
    <definedName name="BO82AF49A840DC4E97A1E3E116C1017164" localSheetId="1" hidden="1">#REF!</definedName>
    <definedName name="BO82AF49A840DC4E97A1E3E116C1017164" hidden="1">#REF!</definedName>
    <definedName name="BO82BC65E019234EAF896CAC4231F81781" localSheetId="1" hidden="1">#REF!</definedName>
    <definedName name="BO82BC65E019234EAF896CAC4231F81781" hidden="1">#REF!</definedName>
    <definedName name="BO82CDE0C0F8AE420C9AB086E3F934D0FC" localSheetId="1" hidden="1">#REF!</definedName>
    <definedName name="BO82CDE0C0F8AE420C9AB086E3F934D0FC" hidden="1">#REF!</definedName>
    <definedName name="BO82ED3D19CD6E4FE3941A3E1F6AD39401" localSheetId="1" hidden="1">#REF!</definedName>
    <definedName name="BO82ED3D19CD6E4FE3941A3E1F6AD39401" hidden="1">#REF!</definedName>
    <definedName name="BO834ED8D711B54779884FECD0FD6C40F5" localSheetId="1" hidden="1">#REF!</definedName>
    <definedName name="BO834ED8D711B54779884FECD0FD6C40F5" hidden="1">#REF!</definedName>
    <definedName name="BO835775321D284060B20BC052F1967F91" localSheetId="1" hidden="1">#REF!</definedName>
    <definedName name="BO835775321D284060B20BC052F1967F91" hidden="1">#REF!</definedName>
    <definedName name="BO836104A2FDD3439ABE6D95097289FA9B" localSheetId="1" hidden="1">#REF!</definedName>
    <definedName name="BO836104A2FDD3439ABE6D95097289FA9B" hidden="1">#REF!</definedName>
    <definedName name="BO83DE305067F04E1FAF2073E158A42ED1" localSheetId="1" hidden="1">#REF!</definedName>
    <definedName name="BO83DE305067F04E1FAF2073E158A42ED1" hidden="1">#REF!</definedName>
    <definedName name="BO83F96117CD7E43729C8F78CE6AA55364" localSheetId="1" hidden="1">#REF!</definedName>
    <definedName name="BO83F96117CD7E43729C8F78CE6AA55364" hidden="1">#REF!</definedName>
    <definedName name="BO841E9D2788184F4B99B75B2D56050952" localSheetId="1" hidden="1">#REF!</definedName>
    <definedName name="BO841E9D2788184F4B99B75B2D56050952" hidden="1">#REF!</definedName>
    <definedName name="BO845C63CD4426489B984D7A614921953B" localSheetId="1" hidden="1">#REF!</definedName>
    <definedName name="BO845C63CD4426489B984D7A614921953B" hidden="1">#REF!</definedName>
    <definedName name="BO8462467AC4C04364864AA7B0E1E7103B" localSheetId="1" hidden="1">#REF!</definedName>
    <definedName name="BO8462467AC4C04364864AA7B0E1E7103B" hidden="1">#REF!</definedName>
    <definedName name="BO847CD7266F44473E873D0BAC81568EE4" localSheetId="1" hidden="1">#REF!</definedName>
    <definedName name="BO847CD7266F44473E873D0BAC81568EE4" hidden="1">#REF!</definedName>
    <definedName name="BO8490395EA5A34B7281F95374AA651140" localSheetId="1" hidden="1">#REF!</definedName>
    <definedName name="BO8490395EA5A34B7281F95374AA651140" hidden="1">#REF!</definedName>
    <definedName name="BO84ACB7EA827D44EA920269A783FD03AF" localSheetId="1" hidden="1">#REF!</definedName>
    <definedName name="BO84ACB7EA827D44EA920269A783FD03AF" hidden="1">#REF!</definedName>
    <definedName name="BO851125B4C9CF4507A505DFFE9759796E" localSheetId="1" hidden="1">#REF!</definedName>
    <definedName name="BO851125B4C9CF4507A505DFFE9759796E" hidden="1">#REF!</definedName>
    <definedName name="BO8537B991C1704514852540F58377C0F2" localSheetId="1" hidden="1">#REF!</definedName>
    <definedName name="BO8537B991C1704514852540F58377C0F2" hidden="1">#REF!</definedName>
    <definedName name="BO8549AD1E42034B56A5A757A435BE5F99" localSheetId="1" hidden="1">#REF!</definedName>
    <definedName name="BO8549AD1E42034B56A5A757A435BE5F99" hidden="1">#REF!</definedName>
    <definedName name="BO85A46695882A420C817331A985BB9006" localSheetId="1" hidden="1">#REF!</definedName>
    <definedName name="BO85A46695882A420C817331A985BB9006" hidden="1">#REF!</definedName>
    <definedName name="BO85B3AD2EFD8B4EB4ACC21B67E6729BC4" localSheetId="1" hidden="1">#REF!</definedName>
    <definedName name="BO85B3AD2EFD8B4EB4ACC21B67E6729BC4" hidden="1">#REF!</definedName>
    <definedName name="BO85CA8185403D4829A471E3C021F11823" localSheetId="1" hidden="1">#REF!</definedName>
    <definedName name="BO85CA8185403D4829A471E3C021F11823" hidden="1">#REF!</definedName>
    <definedName name="BO85EB01DFCFE245209787E6272A712082" localSheetId="1" hidden="1">#REF!</definedName>
    <definedName name="BO85EB01DFCFE245209787E6272A712082" hidden="1">#REF!</definedName>
    <definedName name="BO85F78F97543D4BAEBAA665AE23BF5F6E" localSheetId="1" hidden="1">#REF!</definedName>
    <definedName name="BO85F78F97543D4BAEBAA665AE23BF5F6E" hidden="1">#REF!</definedName>
    <definedName name="BO865E85FAE63F471990E87A9EEEA0EBE2" localSheetId="1" hidden="1">#REF!</definedName>
    <definedName name="BO865E85FAE63F471990E87A9EEEA0EBE2" hidden="1">#REF!</definedName>
    <definedName name="BO866A0D13F47E44558B185A80CB233625" localSheetId="1" hidden="1">#REF!</definedName>
    <definedName name="BO866A0D13F47E44558B185A80CB233625" hidden="1">#REF!</definedName>
    <definedName name="BO8674B77AC9C34190AE9EF29F8B3699AA" localSheetId="1" hidden="1">#REF!</definedName>
    <definedName name="BO8674B77AC9C34190AE9EF29F8B3699AA" hidden="1">#REF!</definedName>
    <definedName name="BO86887E9489924B3CB6F2E988412CFB38" localSheetId="1" hidden="1">#REF!</definedName>
    <definedName name="BO86887E9489924B3CB6F2E988412CFB38" hidden="1">#REF!</definedName>
    <definedName name="BO868F562CA4E84985BF12F71371CCBC43" localSheetId="1" hidden="1">#REF!</definedName>
    <definedName name="BO868F562CA4E84985BF12F71371CCBC43" hidden="1">#REF!</definedName>
    <definedName name="BO86B6149BCDCC48A98A3D3C8A3A2729E6" localSheetId="1" hidden="1">#REF!</definedName>
    <definedName name="BO86B6149BCDCC48A98A3D3C8A3A2729E6" hidden="1">#REF!</definedName>
    <definedName name="BO86BA1D0544E24C5C8A8180FF78CB5B06" localSheetId="1" hidden="1">#REF!</definedName>
    <definedName name="BO86BA1D0544E24C5C8A8180FF78CB5B06" hidden="1">#REF!</definedName>
    <definedName name="BO870886B6C73540E7BF1183ECA9AFF2B9" localSheetId="1" hidden="1">#REF!</definedName>
    <definedName name="BO870886B6C73540E7BF1183ECA9AFF2B9" hidden="1">#REF!</definedName>
    <definedName name="BO8711D358A64C4D6AA1DE8CD9A503C0BD" localSheetId="1" hidden="1">#REF!</definedName>
    <definedName name="BO8711D358A64C4D6AA1DE8CD9A503C0BD" hidden="1">#REF!</definedName>
    <definedName name="BO87299F945EA94175941F16F36740FD72" localSheetId="1" hidden="1">#REF!</definedName>
    <definedName name="BO87299F945EA94175941F16F36740FD72" hidden="1">#REF!</definedName>
    <definedName name="BO8774AB7115B9480BA7502A21831439EB" localSheetId="1" hidden="1">#REF!</definedName>
    <definedName name="BO8774AB7115B9480BA7502A21831439EB" hidden="1">#REF!</definedName>
    <definedName name="BO87B8EF89B2C846A289AE2145FA25030D" localSheetId="1" hidden="1">#REF!</definedName>
    <definedName name="BO87B8EF89B2C846A289AE2145FA25030D" hidden="1">#REF!</definedName>
    <definedName name="BO87CACAE458564193B56975B2B5153420" localSheetId="1" hidden="1">#REF!</definedName>
    <definedName name="BO87CACAE458564193B56975B2B5153420" hidden="1">#REF!</definedName>
    <definedName name="BO87F88410ED7F4182BE480F68D5F7E898" localSheetId="1" hidden="1">#REF!</definedName>
    <definedName name="BO87F88410ED7F4182BE480F68D5F7E898" hidden="1">#REF!</definedName>
    <definedName name="BO8803BCBBE7974E4D88C057E49C0A7E07" localSheetId="1" hidden="1">#REF!</definedName>
    <definedName name="BO8803BCBBE7974E4D88C057E49C0A7E07" hidden="1">#REF!</definedName>
    <definedName name="BO8827CF9AC78B41C79197737D53769A81" localSheetId="1" hidden="1">#REF!</definedName>
    <definedName name="BO8827CF9AC78B41C79197737D53769A81" hidden="1">#REF!</definedName>
    <definedName name="BO884007A616A14E82BF8896F6D6B26A5A" localSheetId="1" hidden="1">#REF!</definedName>
    <definedName name="BO884007A616A14E82BF8896F6D6B26A5A" hidden="1">#REF!</definedName>
    <definedName name="BO886E487C7EC9459489C12770C18ABEFD" localSheetId="1" hidden="1">#REF!</definedName>
    <definedName name="BO886E487C7EC9459489C12770C18ABEFD" hidden="1">#REF!</definedName>
    <definedName name="BO88B4A6CA845B4661AD2C9B0437234540" localSheetId="1" hidden="1">#REF!</definedName>
    <definedName name="BO88B4A6CA845B4661AD2C9B0437234540" hidden="1">#REF!</definedName>
    <definedName name="BO88D455E4ACC843D4B075A8838BBF7D0C" localSheetId="1" hidden="1">#REF!</definedName>
    <definedName name="BO88D455E4ACC843D4B075A8838BBF7D0C" hidden="1">#REF!</definedName>
    <definedName name="BO8916BA3A93DA473688862DC75848CA2A" localSheetId="1" hidden="1">#REF!</definedName>
    <definedName name="BO8916BA3A93DA473688862DC75848CA2A" hidden="1">#REF!</definedName>
    <definedName name="BO891CBAC1FEC041A9B1D2D5CAF876C3F0" localSheetId="1" hidden="1">#REF!</definedName>
    <definedName name="BO891CBAC1FEC041A9B1D2D5CAF876C3F0" hidden="1">#REF!</definedName>
    <definedName name="BO892CFB3B77F84724BE348F89B434721C" localSheetId="1" hidden="1">#REF!</definedName>
    <definedName name="BO892CFB3B77F84724BE348F89B434721C" hidden="1">#REF!</definedName>
    <definedName name="BO893A612FBBF546A793F9B2F896C82AB5" localSheetId="1" hidden="1">#REF!</definedName>
    <definedName name="BO893A612FBBF546A793F9B2F896C82AB5" hidden="1">#REF!</definedName>
    <definedName name="BO897389AC65794E96B87A0E76349A7E34" localSheetId="1" hidden="1">#REF!</definedName>
    <definedName name="BO897389AC65794E96B87A0E76349A7E34" hidden="1">#REF!</definedName>
    <definedName name="BO8989F6C0B5DE414BADE674ECD51A4FFF" localSheetId="1" hidden="1">#REF!</definedName>
    <definedName name="BO8989F6C0B5DE414BADE674ECD51A4FFF" hidden="1">#REF!</definedName>
    <definedName name="BO89D827B7EF21445F830158AB1DB86EC3" localSheetId="1" hidden="1">#REF!</definedName>
    <definedName name="BO89D827B7EF21445F830158AB1DB86EC3" hidden="1">#REF!</definedName>
    <definedName name="BO89EB193C9BF34E028B60BA2D06CDA850" localSheetId="1" hidden="1">#REF!</definedName>
    <definedName name="BO89EB193C9BF34E028B60BA2D06CDA850" hidden="1">#REF!</definedName>
    <definedName name="BO89F9BF5F1CD24F618FE42E6AEBC567DA" localSheetId="1" hidden="1">#REF!</definedName>
    <definedName name="BO89F9BF5F1CD24F618FE42E6AEBC567DA" hidden="1">#REF!</definedName>
    <definedName name="BO8A11D840060F48A7A732512C54D8EAE5" localSheetId="1" hidden="1">#REF!</definedName>
    <definedName name="BO8A11D840060F48A7A732512C54D8EAE5" hidden="1">#REF!</definedName>
    <definedName name="BO8A270233A6574574A5A316C2111A6B1A" localSheetId="1" hidden="1">#REF!</definedName>
    <definedName name="BO8A270233A6574574A5A316C2111A6B1A" hidden="1">#REF!</definedName>
    <definedName name="BO8A64A4873C0043DFB3995AAF8DC72790" localSheetId="1" hidden="1">#REF!</definedName>
    <definedName name="BO8A64A4873C0043DFB3995AAF8DC72790" hidden="1">#REF!</definedName>
    <definedName name="BO8A6F64578EA54D39B172DBB5F3870C6C" localSheetId="1" hidden="1">#REF!</definedName>
    <definedName name="BO8A6F64578EA54D39B172DBB5F3870C6C" hidden="1">#REF!</definedName>
    <definedName name="BO8A742A3411094EA2AE29F3285CBDE97D" localSheetId="1" hidden="1">#REF!</definedName>
    <definedName name="BO8A742A3411094EA2AE29F3285CBDE97D" hidden="1">#REF!</definedName>
    <definedName name="BO8A76E1E597094F4AB0C09CE276EBB2AD" localSheetId="1" hidden="1">#REF!</definedName>
    <definedName name="BO8A76E1E597094F4AB0C09CE276EBB2AD" hidden="1">#REF!</definedName>
    <definedName name="BO8A921E1B07E84FE58A86CBFB254FC057" localSheetId="1" hidden="1">#REF!</definedName>
    <definedName name="BO8A921E1B07E84FE58A86CBFB254FC057" hidden="1">#REF!</definedName>
    <definedName name="BO8AA1781CDFE7451D8158DA9690BFD0CF" localSheetId="1" hidden="1">#REF!</definedName>
    <definedName name="BO8AA1781CDFE7451D8158DA9690BFD0CF" hidden="1">#REF!</definedName>
    <definedName name="BO8ABE68A54E9F4069ADD8462748851C18" localSheetId="1" hidden="1">#REF!</definedName>
    <definedName name="BO8ABE68A54E9F4069ADD8462748851C18" hidden="1">#REF!</definedName>
    <definedName name="BO8AC7E18C57C84E229E0484E8B9B6A88C" localSheetId="1" hidden="1">#REF!</definedName>
    <definedName name="BO8AC7E18C57C84E229E0484E8B9B6A88C" hidden="1">#REF!</definedName>
    <definedName name="BO8ACBA67537FE40D9B10DE69058561E8E" localSheetId="1" hidden="1">#REF!</definedName>
    <definedName name="BO8ACBA67537FE40D9B10DE69058561E8E" hidden="1">#REF!</definedName>
    <definedName name="BO8B313457CD884D279D2548003F5D238D" localSheetId="1" hidden="1">#REF!</definedName>
    <definedName name="BO8B313457CD884D279D2548003F5D238D" hidden="1">#REF!</definedName>
    <definedName name="BO8B73BD8E9A0442A5A9F90AA4A70F6203" localSheetId="1" hidden="1">#REF!</definedName>
    <definedName name="BO8B73BD8E9A0442A5A9F90AA4A70F6203" hidden="1">#REF!</definedName>
    <definedName name="BO8B979C2BC098453D8F62F9ADF5FEC071" localSheetId="1" hidden="1">#REF!</definedName>
    <definedName name="BO8B979C2BC098453D8F62F9ADF5FEC071" hidden="1">#REF!</definedName>
    <definedName name="BO8BAFA77CB8BD4A9592F0A86BBD33A1B0" localSheetId="1" hidden="1">#REF!</definedName>
    <definedName name="BO8BAFA77CB8BD4A9592F0A86BBD33A1B0" hidden="1">#REF!</definedName>
    <definedName name="BO8BDE8563DFDD419597EA3D1993A8E10E" localSheetId="1" hidden="1">#REF!</definedName>
    <definedName name="BO8BDE8563DFDD419597EA3D1993A8E10E" hidden="1">#REF!</definedName>
    <definedName name="BO8BF82CAB71EB4877BE2981B52240CDDB" localSheetId="1" hidden="1">#REF!</definedName>
    <definedName name="BO8BF82CAB71EB4877BE2981B52240CDDB" hidden="1">#REF!</definedName>
    <definedName name="BO8BFBEE5EC43D4067962E8A52A23B2D50" localSheetId="1" hidden="1">#REF!</definedName>
    <definedName name="BO8BFBEE5EC43D4067962E8A52A23B2D50" hidden="1">#REF!</definedName>
    <definedName name="BO8C0049F46034494F9A9EA954789841B0" localSheetId="1" hidden="1">#REF!</definedName>
    <definedName name="BO8C0049F46034494F9A9EA954789841B0" hidden="1">#REF!</definedName>
    <definedName name="BO8C46C2D3D27C44F1AA60C52DBE893015" localSheetId="1" hidden="1">#REF!</definedName>
    <definedName name="BO8C46C2D3D27C44F1AA60C52DBE893015" hidden="1">#REF!</definedName>
    <definedName name="BO8C54B39154C04A089EB3A2B03C75FCAD" localSheetId="1" hidden="1">#REF!</definedName>
    <definedName name="BO8C54B39154C04A089EB3A2B03C75FCAD" hidden="1">#REF!</definedName>
    <definedName name="BO8C5D16B390B84E039A4F635DC9723990" localSheetId="1" hidden="1">#REF!</definedName>
    <definedName name="BO8C5D16B390B84E039A4F635DC9723990" hidden="1">#REF!</definedName>
    <definedName name="BO8C5D1AEB64E34CF69E4AEDEE394D2DF0" localSheetId="1" hidden="1">#REF!</definedName>
    <definedName name="BO8C5D1AEB64E34CF69E4AEDEE394D2DF0" hidden="1">#REF!</definedName>
    <definedName name="BO8C756DB6D0084392A94AD363D9B3578A" localSheetId="1" hidden="1">#REF!</definedName>
    <definedName name="BO8C756DB6D0084392A94AD363D9B3578A" hidden="1">#REF!</definedName>
    <definedName name="BO8C78667FFC67462C9A1643AC3DEA1B4D" localSheetId="1" hidden="1">#REF!</definedName>
    <definedName name="BO8C78667FFC67462C9A1643AC3DEA1B4D" hidden="1">#REF!</definedName>
    <definedName name="BO8CD76D68B350487FA0250A4A2EC5C2AD" localSheetId="1" hidden="1">#REF!</definedName>
    <definedName name="BO8CD76D68B350487FA0250A4A2EC5C2AD" hidden="1">#REF!</definedName>
    <definedName name="BO8D0213375C7F4E22A8FB01B418680B0B" localSheetId="1" hidden="1">#REF!</definedName>
    <definedName name="BO8D0213375C7F4E22A8FB01B418680B0B" hidden="1">#REF!</definedName>
    <definedName name="BO8D0ABD8164D04FC8B630B28D32646B09" localSheetId="1" hidden="1">#REF!</definedName>
    <definedName name="BO8D0ABD8164D04FC8B630B28D32646B09" hidden="1">#REF!</definedName>
    <definedName name="BO8D1B1B1B73DB404588CEED5EB7DBE08B" localSheetId="1" hidden="1">#REF!</definedName>
    <definedName name="BO8D1B1B1B73DB404588CEED5EB7DBE08B" hidden="1">#REF!</definedName>
    <definedName name="BO8D24E811C41141359E065633B90B3ACB" localSheetId="1" hidden="1">#REF!</definedName>
    <definedName name="BO8D24E811C41141359E065633B90B3ACB" hidden="1">#REF!</definedName>
    <definedName name="BO8D675C8D2C204F9EA5F6FB0C91BE9377" localSheetId="1" hidden="1">#REF!</definedName>
    <definedName name="BO8D675C8D2C204F9EA5F6FB0C91BE9377" hidden="1">#REF!</definedName>
    <definedName name="BO8D8CDB5D0D984AF78FA24D1842552A13" localSheetId="1" hidden="1">#REF!</definedName>
    <definedName name="BO8D8CDB5D0D984AF78FA24D1842552A13" hidden="1">#REF!</definedName>
    <definedName name="BO8DE89F4B4DB24B028D65D7B1C37D49A6" localSheetId="1" hidden="1">#REF!</definedName>
    <definedName name="BO8DE89F4B4DB24B028D65D7B1C37D49A6" hidden="1">#REF!</definedName>
    <definedName name="BO8E04539AF5EA48F4A85BB9D8405EFE31" localSheetId="1" hidden="1">#REF!</definedName>
    <definedName name="BO8E04539AF5EA48F4A85BB9D8405EFE31" hidden="1">#REF!</definedName>
    <definedName name="BO8E64C19B77C74B4DA67868374DB4E3C8" localSheetId="1" hidden="1">#REF!</definedName>
    <definedName name="BO8E64C19B77C74B4DA67868374DB4E3C8" hidden="1">#REF!</definedName>
    <definedName name="BO8E95876454BF4F2CA6988C26A165276E" localSheetId="1" hidden="1">#REF!</definedName>
    <definedName name="BO8E95876454BF4F2CA6988C26A165276E" hidden="1">#REF!</definedName>
    <definedName name="BO8EA5CD8275A64439ABF3E0E90503E2EB" localSheetId="1" hidden="1">#REF!</definedName>
    <definedName name="BO8EA5CD8275A64439ABF3E0E90503E2EB" hidden="1">#REF!</definedName>
    <definedName name="BO8EAFF7EBC66B4843859F00C277E10C35" localSheetId="1" hidden="1">#REF!</definedName>
    <definedName name="BO8EAFF7EBC66B4843859F00C277E10C35" hidden="1">#REF!</definedName>
    <definedName name="BO8EDFDB3F4A244405BD653340E001817F" localSheetId="1" hidden="1">#REF!</definedName>
    <definedName name="BO8EDFDB3F4A244405BD653340E001817F" hidden="1">#REF!</definedName>
    <definedName name="BO8EED6EA8341647B18E46E12EF5981737" localSheetId="1" hidden="1">#REF!</definedName>
    <definedName name="BO8EED6EA8341647B18E46E12EF5981737" hidden="1">#REF!</definedName>
    <definedName name="BO8F3F75AB3A994609B8A1BAA8D827B7D0" localSheetId="1" hidden="1">#REF!</definedName>
    <definedName name="BO8F3F75AB3A994609B8A1BAA8D827B7D0" hidden="1">#REF!</definedName>
    <definedName name="BO8F4458B31E284C0B90A9336E9C28C284" localSheetId="1" hidden="1">#REF!</definedName>
    <definedName name="BO8F4458B31E284C0B90A9336E9C28C284" hidden="1">#REF!</definedName>
    <definedName name="BO8F5C237F8C7C40E58D0B879F90947365" localSheetId="1" hidden="1">#REF!</definedName>
    <definedName name="BO8F5C237F8C7C40E58D0B879F90947365" hidden="1">#REF!</definedName>
    <definedName name="BO8F9ADFA732534966ACC45B4222D08278" localSheetId="1" hidden="1">#REF!</definedName>
    <definedName name="BO8F9ADFA732534966ACC45B4222D08278" hidden="1">#REF!</definedName>
    <definedName name="BO8FAB3988FD7A4610BB4D6F6553753FB0" localSheetId="1" hidden="1">#REF!</definedName>
    <definedName name="BO8FAB3988FD7A4610BB4D6F6553753FB0" hidden="1">#REF!</definedName>
    <definedName name="BO9003C2B1CEA04D4799A07D012743DEC1" localSheetId="1" hidden="1">#REF!</definedName>
    <definedName name="BO9003C2B1CEA04D4799A07D012743DEC1" hidden="1">#REF!</definedName>
    <definedName name="BO901024E83D29496B899A127B34EC4440" localSheetId="1" hidden="1">#REF!</definedName>
    <definedName name="BO901024E83D29496B899A127B34EC4440" hidden="1">#REF!</definedName>
    <definedName name="BO9010F2C0CC9E494A99E197637D325788" localSheetId="1" hidden="1">#REF!</definedName>
    <definedName name="BO9010F2C0CC9E494A99E197637D325788" hidden="1">#REF!</definedName>
    <definedName name="BO9027C5BD01DF42DC93C5D78821D24A6C" localSheetId="1" hidden="1">#REF!</definedName>
    <definedName name="BO9027C5BD01DF42DC93C5D78821D24A6C" hidden="1">#REF!</definedName>
    <definedName name="BO90721953D91A42828345C72DA2C886EF" localSheetId="1" hidden="1">#REF!</definedName>
    <definedName name="BO90721953D91A42828345C72DA2C886EF" hidden="1">#REF!</definedName>
    <definedName name="BO90D5B7AE6DF34FC6A182261CEF953B81" localSheetId="1" hidden="1">#REF!</definedName>
    <definedName name="BO90D5B7AE6DF34FC6A182261CEF953B81" hidden="1">#REF!</definedName>
    <definedName name="BO90F76DFC9F5F430F88B468A9892E4AC4" localSheetId="1" hidden="1">#REF!</definedName>
    <definedName name="BO90F76DFC9F5F430F88B468A9892E4AC4" hidden="1">#REF!</definedName>
    <definedName name="BO91262F6339964C14984FDE97C6306DF7" localSheetId="1" hidden="1">#REF!</definedName>
    <definedName name="BO91262F6339964C14984FDE97C6306DF7" hidden="1">#REF!</definedName>
    <definedName name="BO91511019934B448E8E0723C0742ED2AE" localSheetId="1" hidden="1">#REF!</definedName>
    <definedName name="BO91511019934B448E8E0723C0742ED2AE" hidden="1">#REF!</definedName>
    <definedName name="BO9155D541487B4FBC9E854615EB1B4E06" localSheetId="1" hidden="1">#REF!</definedName>
    <definedName name="BO9155D541487B4FBC9E854615EB1B4E06" hidden="1">#REF!</definedName>
    <definedName name="BO9159C1E514C74EDAB686FCB93521755B" localSheetId="1" hidden="1">#REF!</definedName>
    <definedName name="BO9159C1E514C74EDAB686FCB93521755B" hidden="1">#REF!</definedName>
    <definedName name="BO91AF57D4731E42D3BD43C805328349BB" localSheetId="1" hidden="1">#REF!</definedName>
    <definedName name="BO91AF57D4731E42D3BD43C805328349BB" hidden="1">#REF!</definedName>
    <definedName name="BO91C46125583D4C069EE7155B503E3BDC" localSheetId="1" hidden="1">#REF!</definedName>
    <definedName name="BO91C46125583D4C069EE7155B503E3BDC" hidden="1">#REF!</definedName>
    <definedName name="BO920A4D58587E4B348E656E2FB55DBF5A" localSheetId="1" hidden="1">#REF!</definedName>
    <definedName name="BO920A4D58587E4B348E656E2FB55DBF5A" hidden="1">#REF!</definedName>
    <definedName name="BO924B50D148534EB4BFAB07809F576F86" localSheetId="1" hidden="1">#REF!</definedName>
    <definedName name="BO924B50D148534EB4BFAB07809F576F86" hidden="1">#REF!</definedName>
    <definedName name="BO92544256210E49188C03B1EBD2040774" localSheetId="1" hidden="1">#REF!</definedName>
    <definedName name="BO92544256210E49188C03B1EBD2040774" hidden="1">#REF!</definedName>
    <definedName name="BO926B5DA94093402CAF44525268D29478" localSheetId="1" hidden="1">#REF!</definedName>
    <definedName name="BO926B5DA94093402CAF44525268D29478" hidden="1">#REF!</definedName>
    <definedName name="BO92714A6ED6124D27829A03BD605CFABF" localSheetId="1" hidden="1">#REF!</definedName>
    <definedName name="BO92714A6ED6124D27829A03BD605CFABF" hidden="1">#REF!</definedName>
    <definedName name="BO928DC16886B2445797C8B9905F1CD971" localSheetId="1" hidden="1">#REF!</definedName>
    <definedName name="BO928DC16886B2445797C8B9905F1CD971" hidden="1">#REF!</definedName>
    <definedName name="BO92C9ED6F059A4A3FBF49382DA781E052" localSheetId="1" hidden="1">#REF!</definedName>
    <definedName name="BO92C9ED6F059A4A3FBF49382DA781E052" hidden="1">#REF!</definedName>
    <definedName name="BO92EA0833D1CB48CFB02613AE12C820A4" localSheetId="1" hidden="1">#REF!</definedName>
    <definedName name="BO92EA0833D1CB48CFB02613AE12C820A4" hidden="1">#REF!</definedName>
    <definedName name="BO92EFCC3CC64A4D068BF90CD047BA59AD" localSheetId="1" hidden="1">#REF!</definedName>
    <definedName name="BO92EFCC3CC64A4D068BF90CD047BA59AD" hidden="1">#REF!</definedName>
    <definedName name="BO92EFFAEB634443FE91C7F58365598D5E" localSheetId="1" hidden="1">#REF!</definedName>
    <definedName name="BO92EFFAEB634443FE91C7F58365598D5E" hidden="1">#REF!</definedName>
    <definedName name="BO92F6D42A17AC4074BBD00DCE92DF03C9" localSheetId="1" hidden="1">#REF!</definedName>
    <definedName name="BO92F6D42A17AC4074BBD00DCE92DF03C9" hidden="1">#REF!</definedName>
    <definedName name="BO930DA66B28B14BEAA44697A5823258AA" localSheetId="1" hidden="1">#REF!</definedName>
    <definedName name="BO930DA66B28B14BEAA44697A5823258AA" hidden="1">#REF!</definedName>
    <definedName name="BO9329BF9F354242D086A1F242CA6684D6" localSheetId="1" hidden="1">#REF!</definedName>
    <definedName name="BO9329BF9F354242D086A1F242CA6684D6" hidden="1">#REF!</definedName>
    <definedName name="BO932B0A19ACC444A2BB8954EED654465A" localSheetId="1" hidden="1">#REF!</definedName>
    <definedName name="BO932B0A19ACC444A2BB8954EED654465A" hidden="1">#REF!</definedName>
    <definedName name="BO933ED92411824C6FAC78C97BA2A11AAB" localSheetId="1" hidden="1">#REF!</definedName>
    <definedName name="BO933ED92411824C6FAC78C97BA2A11AAB" hidden="1">#REF!</definedName>
    <definedName name="BO933FAA4514814F85818066C84AF854C9" localSheetId="1" hidden="1">#REF!</definedName>
    <definedName name="BO933FAA4514814F85818066C84AF854C9" hidden="1">#REF!</definedName>
    <definedName name="BO93A4D280E8CA43DC8B02811F751ABAA2" localSheetId="1" hidden="1">#REF!</definedName>
    <definedName name="BO93A4D280E8CA43DC8B02811F751ABAA2" hidden="1">#REF!</definedName>
    <definedName name="BO93B2980E647143A5A17C67935ED6DC7F" localSheetId="1" hidden="1">#REF!</definedName>
    <definedName name="BO93B2980E647143A5A17C67935ED6DC7F" hidden="1">#REF!</definedName>
    <definedName name="BO93EBF6734EA34A90BA493473DE688EBF" localSheetId="1" hidden="1">#REF!</definedName>
    <definedName name="BO93EBF6734EA34A90BA493473DE688EBF" hidden="1">#REF!</definedName>
    <definedName name="BO93ECFE632155481DA0FDBB0615E7281C" localSheetId="1" hidden="1">#REF!</definedName>
    <definedName name="BO93ECFE632155481DA0FDBB0615E7281C" hidden="1">#REF!</definedName>
    <definedName name="BO93F310F9C2F24700BD756AB5D39C0C70" localSheetId="1" hidden="1">#REF!</definedName>
    <definedName name="BO93F310F9C2F24700BD756AB5D39C0C70" hidden="1">#REF!</definedName>
    <definedName name="BO9406D55A95A444A3B45C4B90FE2D125A" localSheetId="1" hidden="1">#REF!</definedName>
    <definedName name="BO9406D55A95A444A3B45C4B90FE2D125A" hidden="1">#REF!</definedName>
    <definedName name="BO94073230D0F44D879F25D75E8A1F6E7E" localSheetId="1" hidden="1">#REF!</definedName>
    <definedName name="BO94073230D0F44D879F25D75E8A1F6E7E" hidden="1">#REF!</definedName>
    <definedName name="BO94220D9907CC4E24A9678F2D022262BF" localSheetId="1" hidden="1">#REF!</definedName>
    <definedName name="BO94220D9907CC4E24A9678F2D022262BF" hidden="1">#REF!</definedName>
    <definedName name="BO94286E15B5C249DF83B6D785E99910F3" localSheetId="1" hidden="1">#REF!</definedName>
    <definedName name="BO94286E15B5C249DF83B6D785E99910F3" hidden="1">#REF!</definedName>
    <definedName name="BO942AFFE69A8B4A8C80C2C626B5017758" localSheetId="1" hidden="1">#REF!</definedName>
    <definedName name="BO942AFFE69A8B4A8C80C2C626B5017758" hidden="1">#REF!</definedName>
    <definedName name="BO943F7197EDF04FF2A7D1A29789D38FC7" localSheetId="1" hidden="1">#REF!</definedName>
    <definedName name="BO943F7197EDF04FF2A7D1A29789D38FC7" hidden="1">#REF!</definedName>
    <definedName name="BO9440F575DEAD4D009356CD54D15D0646" localSheetId="1" hidden="1">#REF!</definedName>
    <definedName name="BO9440F575DEAD4D009356CD54D15D0646" hidden="1">#REF!</definedName>
    <definedName name="BO945D4AE586B049C4B26F43D2964BF053" localSheetId="1" hidden="1">#REF!</definedName>
    <definedName name="BO945D4AE586B049C4B26F43D2964BF053" hidden="1">#REF!</definedName>
    <definedName name="BO9479247504A240DB8AA62248BA3AD62A" localSheetId="1" hidden="1">#REF!</definedName>
    <definedName name="BO9479247504A240DB8AA62248BA3AD62A" hidden="1">#REF!</definedName>
    <definedName name="BO948E4098C46048728921E52405E20CE2" localSheetId="1" hidden="1">#REF!</definedName>
    <definedName name="BO948E4098C46048728921E52405E20CE2" hidden="1">#REF!</definedName>
    <definedName name="BO9494C43445E94B2F9101B150DA348936" localSheetId="1" hidden="1">#REF!</definedName>
    <definedName name="BO9494C43445E94B2F9101B150DA348936" hidden="1">#REF!</definedName>
    <definedName name="BO94C268B1ABDC4BE5AF160FC92E6E930E" localSheetId="1" hidden="1">#REF!</definedName>
    <definedName name="BO94C268B1ABDC4BE5AF160FC92E6E930E" hidden="1">#REF!</definedName>
    <definedName name="BO94CAC1B2B9184A0CA149982A6B0EDA40" localSheetId="1" hidden="1">#REF!</definedName>
    <definedName name="BO94CAC1B2B9184A0CA149982A6B0EDA40" hidden="1">#REF!</definedName>
    <definedName name="BO95297CC5443C4A87921219AEDB0053A4" localSheetId="1" hidden="1">#REF!</definedName>
    <definedName name="BO95297CC5443C4A87921219AEDB0053A4" hidden="1">#REF!</definedName>
    <definedName name="BO95315A491963462088AB010F1E6536ED" localSheetId="1" hidden="1">#REF!</definedName>
    <definedName name="BO95315A491963462088AB010F1E6536ED" hidden="1">#REF!</definedName>
    <definedName name="BO9531F6C583AD4A5B8EACA1697DCA76E5" localSheetId="1" hidden="1">#REF!</definedName>
    <definedName name="BO9531F6C583AD4A5B8EACA1697DCA76E5" hidden="1">#REF!</definedName>
    <definedName name="BO9546AAE559804D05934EF2CC58527114" localSheetId="1" hidden="1">#REF!</definedName>
    <definedName name="BO9546AAE559804D05934EF2CC58527114" hidden="1">#REF!</definedName>
    <definedName name="BO955821DBA81848509481FD646A939426" localSheetId="1" hidden="1">#REF!</definedName>
    <definedName name="BO955821DBA81848509481FD646A939426" hidden="1">#REF!</definedName>
    <definedName name="BO9569473B49744295BBBB13BF84496763" localSheetId="1" hidden="1">#REF!</definedName>
    <definedName name="BO9569473B49744295BBBB13BF84496763" hidden="1">#REF!</definedName>
    <definedName name="BO95B8948E71674C9BBD6DC47262E07D3C" localSheetId="1" hidden="1">#REF!</definedName>
    <definedName name="BO95B8948E71674C9BBD6DC47262E07D3C" hidden="1">#REF!</definedName>
    <definedName name="BO96012A3695F24EEDA41060270FB23FD7" localSheetId="1" hidden="1">#REF!</definedName>
    <definedName name="BO96012A3695F24EEDA41060270FB23FD7" hidden="1">#REF!</definedName>
    <definedName name="BO961753E720B34B64928183DBF2D50EF4" localSheetId="1" hidden="1">#REF!</definedName>
    <definedName name="BO961753E720B34B64928183DBF2D50EF4" hidden="1">#REF!</definedName>
    <definedName name="BO9619A3E64E904BBF830DEA71105C6554" localSheetId="1" hidden="1">#REF!</definedName>
    <definedName name="BO9619A3E64E904BBF830DEA71105C6554" hidden="1">#REF!</definedName>
    <definedName name="BO961B2829573B4BF3AEDBD5F574CBDFBE" localSheetId="1" hidden="1">#REF!</definedName>
    <definedName name="BO961B2829573B4BF3AEDBD5F574CBDFBE" hidden="1">#REF!</definedName>
    <definedName name="BO963AA06C95F0448C98E7B7ADF814B641" localSheetId="1" hidden="1">#REF!</definedName>
    <definedName name="BO963AA06C95F0448C98E7B7ADF814B641" hidden="1">#REF!</definedName>
    <definedName name="BO9655D4D083304B6B84234D7B3D520D2C" localSheetId="1" hidden="1">#REF!</definedName>
    <definedName name="BO9655D4D083304B6B84234D7B3D520D2C" hidden="1">#REF!</definedName>
    <definedName name="BO96C96D0DC4524E10AD2A3B05945FC3F1" localSheetId="1" hidden="1">#REF!</definedName>
    <definedName name="BO96C96D0DC4524E10AD2A3B05945FC3F1" hidden="1">#REF!</definedName>
    <definedName name="BO96D6B2D14BCE426B82DFC4BC6BE36452" localSheetId="1" hidden="1">#REF!</definedName>
    <definedName name="BO96D6B2D14BCE426B82DFC4BC6BE36452" hidden="1">#REF!</definedName>
    <definedName name="BO96DD60ACDEAB49279901EDA429A1D057" localSheetId="1" hidden="1">#REF!</definedName>
    <definedName name="BO96DD60ACDEAB49279901EDA429A1D057" hidden="1">#REF!</definedName>
    <definedName name="BO9705DA3C5FE549B1B6C232BEE3BE0B4A" localSheetId="1" hidden="1">#REF!</definedName>
    <definedName name="BO9705DA3C5FE549B1B6C232BEE3BE0B4A" hidden="1">#REF!</definedName>
    <definedName name="BO971ABF41FC324365BB3C3958837215AD" localSheetId="1" hidden="1">#REF!</definedName>
    <definedName name="BO971ABF41FC324365BB3C3958837215AD" hidden="1">#REF!</definedName>
    <definedName name="BO972EF9E0468B46789B22F42FA9EDF429" localSheetId="1" hidden="1">#REF!</definedName>
    <definedName name="BO972EF9E0468B46789B22F42FA9EDF429" hidden="1">#REF!</definedName>
    <definedName name="BO97435E36457D4D9F8A41E78406793419" localSheetId="1" hidden="1">#REF!</definedName>
    <definedName name="BO97435E36457D4D9F8A41E78406793419" hidden="1">#REF!</definedName>
    <definedName name="BO974DD56617CC44BB82F4580C5391D3C4" localSheetId="1" hidden="1">#REF!</definedName>
    <definedName name="BO974DD56617CC44BB82F4580C5391D3C4" hidden="1">#REF!</definedName>
    <definedName name="BO9763C8E8672C44EE9CC8F3034DE59781" localSheetId="1" hidden="1">#REF!</definedName>
    <definedName name="BO9763C8E8672C44EE9CC8F3034DE59781" hidden="1">#REF!</definedName>
    <definedName name="BO97705033685D404CA111963901512904" localSheetId="1" hidden="1">#REF!</definedName>
    <definedName name="BO97705033685D404CA111963901512904" hidden="1">#REF!</definedName>
    <definedName name="BO97754172F33648A1B02D0D2E9D35C937" localSheetId="1" hidden="1">#REF!</definedName>
    <definedName name="BO97754172F33648A1B02D0D2E9D35C937" hidden="1">#REF!</definedName>
    <definedName name="BO97B220745DA94ED7BB96EECFA8DC4E6E" localSheetId="1" hidden="1">#REF!</definedName>
    <definedName name="BO97B220745DA94ED7BB96EECFA8DC4E6E" hidden="1">#REF!</definedName>
    <definedName name="BO97E864FF22354435934B5E0583930B1A" localSheetId="1" hidden="1">#REF!</definedName>
    <definedName name="BO97E864FF22354435934B5E0583930B1A" hidden="1">#REF!</definedName>
    <definedName name="BO9809C12F3B384ADF849C353B35FBAA0D" localSheetId="1" hidden="1">#REF!</definedName>
    <definedName name="BO9809C12F3B384ADF849C353B35FBAA0D" hidden="1">#REF!</definedName>
    <definedName name="BO9847A201EFCB4ACB9B307CE635AEB5E1" localSheetId="1" hidden="1">#REF!</definedName>
    <definedName name="BO9847A201EFCB4ACB9B307CE635AEB5E1" hidden="1">#REF!</definedName>
    <definedName name="BO98CB2505045548E2961B8E6D1605915E" localSheetId="1" hidden="1">#REF!</definedName>
    <definedName name="BO98CB2505045548E2961B8E6D1605915E" hidden="1">#REF!</definedName>
    <definedName name="BO98D37362E38B4CDA8C9E54163DEBEB0D" localSheetId="1" hidden="1">#REF!</definedName>
    <definedName name="BO98D37362E38B4CDA8C9E54163DEBEB0D" hidden="1">#REF!</definedName>
    <definedName name="BO98E5E992939548CE8FEDD43F3C859A4F" localSheetId="1" hidden="1">#REF!</definedName>
    <definedName name="BO98E5E992939548CE8FEDD43F3C859A4F" hidden="1">#REF!</definedName>
    <definedName name="BO98EE941FAF8946578E04E20339EF8603" localSheetId="1" hidden="1">#REF!</definedName>
    <definedName name="BO98EE941FAF8946578E04E20339EF8603" hidden="1">#REF!</definedName>
    <definedName name="BO9916AA24635F4BF297FA83B8070D44FE" localSheetId="1" hidden="1">#REF!</definedName>
    <definedName name="BO9916AA24635F4BF297FA83B8070D44FE" hidden="1">#REF!</definedName>
    <definedName name="BO9922DCDDA14C416E94C27CE584A50205" localSheetId="1" hidden="1">#REF!</definedName>
    <definedName name="BO9922DCDDA14C416E94C27CE584A50205" hidden="1">#REF!</definedName>
    <definedName name="BO9952FD1FDB394000A77CFF0ECF03E8D2" localSheetId="1" hidden="1">#REF!</definedName>
    <definedName name="BO9952FD1FDB394000A77CFF0ECF03E8D2" hidden="1">#REF!</definedName>
    <definedName name="BO9966FC2A064D44348ED41FEA6E021D6E" localSheetId="1" hidden="1">#REF!</definedName>
    <definedName name="BO9966FC2A064D44348ED41FEA6E021D6E" hidden="1">#REF!</definedName>
    <definedName name="BO99746685114E4D81834B645CEAD25AA3" localSheetId="1" hidden="1">#REF!</definedName>
    <definedName name="BO99746685114E4D81834B645CEAD25AA3" hidden="1">#REF!</definedName>
    <definedName name="BO9984FAA95CC94B57809C5AA8ADD50266" localSheetId="1" hidden="1">#REF!</definedName>
    <definedName name="BO9984FAA95CC94B57809C5AA8ADD50266" hidden="1">#REF!</definedName>
    <definedName name="BO99986C2F1A874F3AB3EFFC6732063BAA" localSheetId="1" hidden="1">#REF!</definedName>
    <definedName name="BO99986C2F1A874F3AB3EFFC6732063BAA" hidden="1">#REF!</definedName>
    <definedName name="BO9999A410B168401BA23B06933F517548" localSheetId="1" hidden="1">#REF!</definedName>
    <definedName name="BO9999A410B168401BA23B06933F517548" hidden="1">#REF!</definedName>
    <definedName name="BO99A5EA3B6465412E99F307619EFF22BA" localSheetId="1" hidden="1">#REF!</definedName>
    <definedName name="BO99A5EA3B6465412E99F307619EFF22BA" hidden="1">#REF!</definedName>
    <definedName name="BO99BAC6217DB74194A730AF104092B111" localSheetId="1" hidden="1">#REF!</definedName>
    <definedName name="BO99BAC6217DB74194A730AF104092B111" hidden="1">#REF!</definedName>
    <definedName name="BO99C4CA4681754EEA872316A386BE91B9" localSheetId="1" hidden="1">#REF!</definedName>
    <definedName name="BO99C4CA4681754EEA872316A386BE91B9" hidden="1">#REF!</definedName>
    <definedName name="BO99E873DF55E2407AA79BE4AC482D57C1" localSheetId="1" hidden="1">#REF!</definedName>
    <definedName name="BO99E873DF55E2407AA79BE4AC482D57C1" hidden="1">#REF!</definedName>
    <definedName name="BO99FFBEBD80BD4018998241073ABBEC36" localSheetId="1" hidden="1">#REF!</definedName>
    <definedName name="BO99FFBEBD80BD4018998241073ABBEC36" hidden="1">#REF!</definedName>
    <definedName name="BO9A05D1ED402548C7BCD6598F99A3D539" localSheetId="1" hidden="1">#REF!</definedName>
    <definedName name="BO9A05D1ED402548C7BCD6598F99A3D539" hidden="1">#REF!</definedName>
    <definedName name="BO9A0A3EF557FE4FF79C9C276FF2750A78" localSheetId="1" hidden="1">#REF!</definedName>
    <definedName name="BO9A0A3EF557FE4FF79C9C276FF2750A78" hidden="1">#REF!</definedName>
    <definedName name="BO9A4A94F5AF7D4C0395CB3119F73CE421" localSheetId="1" hidden="1">#REF!</definedName>
    <definedName name="BO9A4A94F5AF7D4C0395CB3119F73CE421" hidden="1">#REF!</definedName>
    <definedName name="BO9A59FC65E18E4F21B33CA5B9F96320B3" localSheetId="1" hidden="1">#REF!</definedName>
    <definedName name="BO9A59FC65E18E4F21B33CA5B9F96320B3" hidden="1">#REF!</definedName>
    <definedName name="BO9A78932710404751B80863614952311A" localSheetId="1" hidden="1">#REF!</definedName>
    <definedName name="BO9A78932710404751B80863614952311A" hidden="1">#REF!</definedName>
    <definedName name="BO9AB4EE1BE75A4835A849BC3D07FB835E" localSheetId="1" hidden="1">#REF!</definedName>
    <definedName name="BO9AB4EE1BE75A4835A849BC3D07FB835E" hidden="1">#REF!</definedName>
    <definedName name="BO9AD7468F6951475F80B883FFA1EFF394" localSheetId="1" hidden="1">#REF!</definedName>
    <definedName name="BO9AD7468F6951475F80B883FFA1EFF394" hidden="1">#REF!</definedName>
    <definedName name="BO9AE63B8B66BF4271961E67AB87C27BE3" localSheetId="1" hidden="1">#REF!</definedName>
    <definedName name="BO9AE63B8B66BF4271961E67AB87C27BE3" hidden="1">#REF!</definedName>
    <definedName name="BO9AFDD4CFEDE84C3CAEAD110DF748A416" localSheetId="1" hidden="1">#REF!</definedName>
    <definedName name="BO9AFDD4CFEDE84C3CAEAD110DF748A416" hidden="1">#REF!</definedName>
    <definedName name="BO9B07B29E896D4E689C3E019FE42771E7" localSheetId="1" hidden="1">#REF!</definedName>
    <definedName name="BO9B07B29E896D4E689C3E019FE42771E7" hidden="1">#REF!</definedName>
    <definedName name="BO9B640C81FAC3478A9C0CE081CB3E73D5" localSheetId="1" hidden="1">#REF!</definedName>
    <definedName name="BO9B640C81FAC3478A9C0CE081CB3E73D5" hidden="1">#REF!</definedName>
    <definedName name="BO9B6675559D5942B3B387B2E69918ECCC" localSheetId="1" hidden="1">#REF!</definedName>
    <definedName name="BO9B6675559D5942B3B387B2E69918ECCC" hidden="1">#REF!</definedName>
    <definedName name="BO9BAECBA19405487FB031825E7B70BE1C" localSheetId="1" hidden="1">#REF!</definedName>
    <definedName name="BO9BAECBA19405487FB031825E7B70BE1C" hidden="1">#REF!</definedName>
    <definedName name="BO9BB7786E205641A9BCB10515C5FB9C5C" localSheetId="1" hidden="1">#REF!</definedName>
    <definedName name="BO9BB7786E205641A9BCB10515C5FB9C5C" hidden="1">#REF!</definedName>
    <definedName name="BO9BBBD5E6AA58480F99501CB155F50055" localSheetId="1" hidden="1">#REF!</definedName>
    <definedName name="BO9BBBD5E6AA58480F99501CB155F50055" hidden="1">#REF!</definedName>
    <definedName name="BO9BC62009464D4CDC8AFA09C3FB8BBE87" localSheetId="1" hidden="1">#REF!</definedName>
    <definedName name="BO9BC62009464D4CDC8AFA09C3FB8BBE87" hidden="1">#REF!</definedName>
    <definedName name="BO9BE41D1F231A418F830EAA8396305640" localSheetId="1" hidden="1">#REF!</definedName>
    <definedName name="BO9BE41D1F231A418F830EAA8396305640" hidden="1">#REF!</definedName>
    <definedName name="BO9C17161872F74DB0BA6C03506E72CEFE" localSheetId="1" hidden="1">#REF!</definedName>
    <definedName name="BO9C17161872F74DB0BA6C03506E72CEFE" hidden="1">#REF!</definedName>
    <definedName name="BO9C95306ECA8A4DF29A67E71B4C27512C" localSheetId="1" hidden="1">#REF!</definedName>
    <definedName name="BO9C95306ECA8A4DF29A67E71B4C27512C" hidden="1">#REF!</definedName>
    <definedName name="BO9CA845EC09454761BFF0DC05A2EB3A06" localSheetId="1" hidden="1">#REF!</definedName>
    <definedName name="BO9CA845EC09454761BFF0DC05A2EB3A06" hidden="1">#REF!</definedName>
    <definedName name="BO9CBCC0D3894A44B58DAC2B863B7E25B3" localSheetId="1" hidden="1">#REF!</definedName>
    <definedName name="BO9CBCC0D3894A44B58DAC2B863B7E25B3" hidden="1">#REF!</definedName>
    <definedName name="BO9D0FB7C1C3B841A59A5E9CAD840B8C0F" localSheetId="1" hidden="1">#REF!</definedName>
    <definedName name="BO9D0FB7C1C3B841A59A5E9CAD840B8C0F" hidden="1">#REF!</definedName>
    <definedName name="BO9D2EC89415594DFCBFA383F91B4F5835" localSheetId="1" hidden="1">#REF!</definedName>
    <definedName name="BO9D2EC89415594DFCBFA383F91B4F5835" hidden="1">#REF!</definedName>
    <definedName name="BO9D382EA010864BB39B897D3D6C08CE6F" localSheetId="1" hidden="1">#REF!</definedName>
    <definedName name="BO9D382EA010864BB39B897D3D6C08CE6F" hidden="1">#REF!</definedName>
    <definedName name="BO9D566E07211A4542B709221142FB26CC" localSheetId="1" hidden="1">#REF!</definedName>
    <definedName name="BO9D566E07211A4542B709221142FB26CC" hidden="1">#REF!</definedName>
    <definedName name="BO9D5B83458C744002B63E411CDE03ECB7" localSheetId="1" hidden="1">#REF!</definedName>
    <definedName name="BO9D5B83458C744002B63E411CDE03ECB7" hidden="1">#REF!</definedName>
    <definedName name="BO9D679CDB0BC745C492504DED9E16F0C1" localSheetId="1" hidden="1">#REF!</definedName>
    <definedName name="BO9D679CDB0BC745C492504DED9E16F0C1" hidden="1">#REF!</definedName>
    <definedName name="BO9D9E159D0FE347688EBFFA8002E44AD0" localSheetId="1" hidden="1">#REF!</definedName>
    <definedName name="BO9D9E159D0FE347688EBFFA8002E44AD0" hidden="1">#REF!</definedName>
    <definedName name="BO9DE21AB0C811455699C778ECB24B4AD9" localSheetId="1" hidden="1">#REF!</definedName>
    <definedName name="BO9DE21AB0C811455699C778ECB24B4AD9" hidden="1">#REF!</definedName>
    <definedName name="BO9DEF2EE08D964A7E8310419E9921EE75" localSheetId="1" hidden="1">#REF!</definedName>
    <definedName name="BO9DEF2EE08D964A7E8310419E9921EE75" hidden="1">#REF!</definedName>
    <definedName name="BO9E003DA1F36B44AB9EC08ACBAEE6F65D" localSheetId="1" hidden="1">#REF!</definedName>
    <definedName name="BO9E003DA1F36B44AB9EC08ACBAEE6F65D" hidden="1">#REF!</definedName>
    <definedName name="BO9E0C25B7E0C84BFE9426A44CBF8937BB" localSheetId="1" hidden="1">#REF!</definedName>
    <definedName name="BO9E0C25B7E0C84BFE9426A44CBF8937BB" hidden="1">#REF!</definedName>
    <definedName name="BO9E3D1164FF204D198D23C9100A1AEA98" localSheetId="1" hidden="1">#REF!</definedName>
    <definedName name="BO9E3D1164FF204D198D23C9100A1AEA98" hidden="1">#REF!</definedName>
    <definedName name="BO9E4FD01082214E3F8437C9DF0F856DBF" localSheetId="1" hidden="1">#REF!</definedName>
    <definedName name="BO9E4FD01082214E3F8437C9DF0F856DBF" hidden="1">#REF!</definedName>
    <definedName name="BO9E592C4A1FD54960AAB050B54EBC10CB" localSheetId="1" hidden="1">#REF!</definedName>
    <definedName name="BO9E592C4A1FD54960AAB050B54EBC10CB" hidden="1">#REF!</definedName>
    <definedName name="BO9E99CD5583BF4ABC9E6E2B3ECDCCA708" localSheetId="1" hidden="1">#REF!</definedName>
    <definedName name="BO9E99CD5583BF4ABC9E6E2B3ECDCCA708" hidden="1">#REF!</definedName>
    <definedName name="BO9EC96CBE66E94173B9AD6AFFF322328A" localSheetId="1" hidden="1">#REF!</definedName>
    <definedName name="BO9EC96CBE66E94173B9AD6AFFF322328A" hidden="1">#REF!</definedName>
    <definedName name="BO9EE40B3D0579479EA703138ABB06409C" localSheetId="1" hidden="1">#REF!</definedName>
    <definedName name="BO9EE40B3D0579479EA703138ABB06409C" hidden="1">#REF!</definedName>
    <definedName name="BO9EEDCF5DB65140C1B2B70A982B0F3E91" localSheetId="1" hidden="1">#REF!</definedName>
    <definedName name="BO9EEDCF5DB65140C1B2B70A982B0F3E91" hidden="1">#REF!</definedName>
    <definedName name="BO9F07CBAC4C5F49DE92CC2A52C21CAB7E" localSheetId="1" hidden="1">#REF!</definedName>
    <definedName name="BO9F07CBAC4C5F49DE92CC2A52C21CAB7E" hidden="1">#REF!</definedName>
    <definedName name="BO9F10FA186178484FABB4E8B074B15420" localSheetId="1" hidden="1">#REF!</definedName>
    <definedName name="BO9F10FA186178484FABB4E8B074B15420" hidden="1">#REF!</definedName>
    <definedName name="BO9F34E55FDD3A4D32B20E4E980B02C425" localSheetId="1" hidden="1">#REF!</definedName>
    <definedName name="BO9F34E55FDD3A4D32B20E4E980B02C425" hidden="1">#REF!</definedName>
    <definedName name="BO9F40D694D9684B508FA9A8F103228394" localSheetId="1" hidden="1">#REF!</definedName>
    <definedName name="BO9F40D694D9684B508FA9A8F103228394" hidden="1">#REF!</definedName>
    <definedName name="BO9F54818F41EF40E6A9F3633AB2F2EA20" localSheetId="1" hidden="1">#REF!</definedName>
    <definedName name="BO9F54818F41EF40E6A9F3633AB2F2EA20" hidden="1">#REF!</definedName>
    <definedName name="BO9F6B8C696CF146C280FEB5D6C749222C" localSheetId="1" hidden="1">#REF!</definedName>
    <definedName name="BO9F6B8C696CF146C280FEB5D6C749222C" hidden="1">#REF!</definedName>
    <definedName name="BO9F71EDDE4E924BF3A0A7E8E09E21BF3A" localSheetId="1" hidden="1">#REF!</definedName>
    <definedName name="BO9F71EDDE4E924BF3A0A7E8E09E21BF3A" hidden="1">#REF!</definedName>
    <definedName name="BO9F7F85E5F8D34CDDA86FC6528443462F" localSheetId="1" hidden="1">#REF!</definedName>
    <definedName name="BO9F7F85E5F8D34CDDA86FC6528443462F" hidden="1">#REF!</definedName>
    <definedName name="BO9FBFFA7083694DD3AD4640D05A58F483" localSheetId="1" hidden="1">#REF!</definedName>
    <definedName name="BO9FBFFA7083694DD3AD4640D05A58F483" hidden="1">#REF!</definedName>
    <definedName name="BO9FDC777231194DEBAE529B75C7703B12" localSheetId="1" hidden="1">#REF!</definedName>
    <definedName name="BO9FDC777231194DEBAE529B75C7703B12" hidden="1">#REF!</definedName>
    <definedName name="BOA006F4ABB05B4841864CE9366EE3464D" localSheetId="1" hidden="1">#REF!</definedName>
    <definedName name="BOA006F4ABB05B4841864CE9366EE3464D" hidden="1">#REF!</definedName>
    <definedName name="BOA01AB44C3CB1473A905F71A02375605D" localSheetId="1" hidden="1">#REF!</definedName>
    <definedName name="BOA01AB44C3CB1473A905F71A02375605D" hidden="1">#REF!</definedName>
    <definedName name="BOA03D360312ED4F30BACC528D9A68ADA8" localSheetId="1" hidden="1">#REF!</definedName>
    <definedName name="BOA03D360312ED4F30BACC528D9A68ADA8" hidden="1">#REF!</definedName>
    <definedName name="BOA092EBD10A39436D961FC4626BA9D54B" localSheetId="1" hidden="1">#REF!</definedName>
    <definedName name="BOA092EBD10A39436D961FC4626BA9D54B" hidden="1">#REF!</definedName>
    <definedName name="BOA0973CD7CB0D4427822DCC15C8DC36E6" localSheetId="1" hidden="1">#REF!</definedName>
    <definedName name="BOA0973CD7CB0D4427822DCC15C8DC36E6" hidden="1">#REF!</definedName>
    <definedName name="BOA09939E62F734F3790CB58BAACFAF893" localSheetId="1" hidden="1">#REF!</definedName>
    <definedName name="BOA09939E62F734F3790CB58BAACFAF893" hidden="1">#REF!</definedName>
    <definedName name="BOA0A6F7DBC13340D99A8C09D43A8C5FDD" localSheetId="1" hidden="1">#REF!</definedName>
    <definedName name="BOA0A6F7DBC13340D99A8C09D43A8C5FDD" hidden="1">#REF!</definedName>
    <definedName name="BOA0A8CC93F5D64DCD97471686FFBAD7A1" localSheetId="1" hidden="1">#REF!</definedName>
    <definedName name="BOA0A8CC93F5D64DCD97471686FFBAD7A1" hidden="1">#REF!</definedName>
    <definedName name="BOA103EFA0D3EE40399ECD9FAE4B4DC409" localSheetId="1" hidden="1">#REF!</definedName>
    <definedName name="BOA103EFA0D3EE40399ECD9FAE4B4DC409" hidden="1">#REF!</definedName>
    <definedName name="BOA11A3364279C4FC0B49B5233DDFB7141" localSheetId="1" hidden="1">#REF!</definedName>
    <definedName name="BOA11A3364279C4FC0B49B5233DDFB7141" hidden="1">#REF!</definedName>
    <definedName name="BOA13EC5CDB2214E749DF116E65443FF6F" localSheetId="1" hidden="1">#REF!</definedName>
    <definedName name="BOA13EC5CDB2214E749DF116E65443FF6F" hidden="1">#REF!</definedName>
    <definedName name="BOA141CE166F8440C3A8CD0C0AB35AE9C6" localSheetId="1" hidden="1">#REF!</definedName>
    <definedName name="BOA141CE166F8440C3A8CD0C0AB35AE9C6" hidden="1">#REF!</definedName>
    <definedName name="BOA152F44A37C4455681690219A61BB8B3" localSheetId="1" hidden="1">#REF!</definedName>
    <definedName name="BOA152F44A37C4455681690219A61BB8B3" hidden="1">#REF!</definedName>
    <definedName name="BOA15AEAA763514B49B56E0598A1F4F5B6" localSheetId="1" hidden="1">#REF!</definedName>
    <definedName name="BOA15AEAA763514B49B56E0598A1F4F5B6" hidden="1">#REF!</definedName>
    <definedName name="BOA161645A570249BAA9140EF1ADACF4CD" localSheetId="1" hidden="1">#REF!</definedName>
    <definedName name="BOA161645A570249BAA9140EF1ADACF4CD" hidden="1">#REF!</definedName>
    <definedName name="BOA169A3CB6EE44860BB3708E0DF1BC3AF" localSheetId="1" hidden="1">#REF!</definedName>
    <definedName name="BOA169A3CB6EE44860BB3708E0DF1BC3AF" hidden="1">#REF!</definedName>
    <definedName name="BOA1758065E1644D98A1D35456D11460EC" localSheetId="1" hidden="1">#REF!</definedName>
    <definedName name="BOA1758065E1644D98A1D35456D11460EC" hidden="1">#REF!</definedName>
    <definedName name="BOA1A05E26429E4F3195FA94B46415BFDA" localSheetId="1" hidden="1">#REF!</definedName>
    <definedName name="BOA1A05E26429E4F3195FA94B46415BFDA" hidden="1">#REF!</definedName>
    <definedName name="BOA1E2A5EE861F49C38EE305E436EEFE96" localSheetId="1" hidden="1">#REF!</definedName>
    <definedName name="BOA1E2A5EE861F49C38EE305E436EEFE96" hidden="1">#REF!</definedName>
    <definedName name="BOA1FF26CC55B443828B3455BBCDFFD9E1" localSheetId="1" hidden="1">#REF!</definedName>
    <definedName name="BOA1FF26CC55B443828B3455BBCDFFD9E1" hidden="1">#REF!</definedName>
    <definedName name="BOA22B3CD7328748DCA7244693DF118DB7" localSheetId="1" hidden="1">#REF!</definedName>
    <definedName name="BOA22B3CD7328748DCA7244693DF118DB7" hidden="1">#REF!</definedName>
    <definedName name="BOA2412A5E6D57468B938BE2B72C05DA56" localSheetId="1" hidden="1">#REF!</definedName>
    <definedName name="BOA2412A5E6D57468B938BE2B72C05DA56" hidden="1">#REF!</definedName>
    <definedName name="BOA2534E435EDB40A392C16CD7756BF8AC" localSheetId="1" hidden="1">#REF!</definedName>
    <definedName name="BOA2534E435EDB40A392C16CD7756BF8AC" hidden="1">#REF!</definedName>
    <definedName name="BOA27561E4E6D54D2E82204A11F24FBE9A" localSheetId="1" hidden="1">#REF!</definedName>
    <definedName name="BOA27561E4E6D54D2E82204A11F24FBE9A" hidden="1">#REF!</definedName>
    <definedName name="BOA283388003664BE3B1DC3A3FFF38FE73" localSheetId="1" hidden="1">#REF!</definedName>
    <definedName name="BOA283388003664BE3B1DC3A3FFF38FE73" hidden="1">#REF!</definedName>
    <definedName name="BOA2859B8A4F184F7D8C8ACEB84BCC80E1" localSheetId="1" hidden="1">#REF!</definedName>
    <definedName name="BOA2859B8A4F184F7D8C8ACEB84BCC80E1" hidden="1">#REF!</definedName>
    <definedName name="BOA289AA4645634A87B4FB1CCD6F128776" localSheetId="1" hidden="1">#REF!</definedName>
    <definedName name="BOA289AA4645634A87B4FB1CCD6F128776" hidden="1">#REF!</definedName>
    <definedName name="BOA29B3938849B4A3C87A0DE3336238EAE" localSheetId="1" hidden="1">#REF!</definedName>
    <definedName name="BOA29B3938849B4A3C87A0DE3336238EAE" hidden="1">#REF!</definedName>
    <definedName name="BOA2A0FA23CD564225A72813CC35CFC8D6" localSheetId="1" hidden="1">#REF!</definedName>
    <definedName name="BOA2A0FA23CD564225A72813CC35CFC8D6" hidden="1">#REF!</definedName>
    <definedName name="BOA2CC00FFAA57489F9D9480BE93021654" localSheetId="1" hidden="1">#REF!</definedName>
    <definedName name="BOA2CC00FFAA57489F9D9480BE93021654" hidden="1">#REF!</definedName>
    <definedName name="BOA2D1DDA741CE4F6B9D71E5D5771574D6" localSheetId="1" hidden="1">#REF!</definedName>
    <definedName name="BOA2D1DDA741CE4F6B9D71E5D5771574D6" hidden="1">#REF!</definedName>
    <definedName name="BOA2E484543D694D02994BC4EC2F655330" localSheetId="1" hidden="1">#REF!</definedName>
    <definedName name="BOA2E484543D694D02994BC4EC2F655330" hidden="1">#REF!</definedName>
    <definedName name="BOA315AA4931CC4001A9EC8F6920A91C79" localSheetId="1" hidden="1">#REF!</definedName>
    <definedName name="BOA315AA4931CC4001A9EC8F6920A91C79" hidden="1">#REF!</definedName>
    <definedName name="BOA32426FCD5BF4607A33D160E9645EB0D" localSheetId="1" hidden="1">#REF!</definedName>
    <definedName name="BOA32426FCD5BF4607A33D160E9645EB0D" hidden="1">#REF!</definedName>
    <definedName name="BOA33A7D819F024B85B56B7D2A2E4484D7" localSheetId="1" hidden="1">#REF!</definedName>
    <definedName name="BOA33A7D819F024B85B56B7D2A2E4484D7" hidden="1">#REF!</definedName>
    <definedName name="BOA352B72344F0429E86D9ED262C4398FA" localSheetId="1" hidden="1">#REF!</definedName>
    <definedName name="BOA352B72344F0429E86D9ED262C4398FA" hidden="1">#REF!</definedName>
    <definedName name="BOA35594FBAC6C4023A87A6DCB6BA099EA" localSheetId="1" hidden="1">#REF!</definedName>
    <definedName name="BOA35594FBAC6C4023A87A6DCB6BA099EA" hidden="1">#REF!</definedName>
    <definedName name="BOA39EB795244B453F9C0B7BB24072C50B" localSheetId="1" hidden="1">#REF!</definedName>
    <definedName name="BOA39EB795244B453F9C0B7BB24072C50B" hidden="1">#REF!</definedName>
    <definedName name="BOA3ABC3ACDB7C467FA9004B72803A383E" localSheetId="1" hidden="1">#REF!</definedName>
    <definedName name="BOA3ABC3ACDB7C467FA9004B72803A383E" hidden="1">#REF!</definedName>
    <definedName name="BOA3B2EB35C3BF4AD2AE5C9FBEA422359B" localSheetId="1" hidden="1">#REF!</definedName>
    <definedName name="BOA3B2EB35C3BF4AD2AE5C9FBEA422359B" hidden="1">#REF!</definedName>
    <definedName name="BOA3B6C2E31A424B5884BD468565BC45E1" localSheetId="1" hidden="1">#REF!</definedName>
    <definedName name="BOA3B6C2E31A424B5884BD468565BC45E1" hidden="1">#REF!</definedName>
    <definedName name="BOA3F98ABF94274EBDBA8B8C0A346CF6BF" localSheetId="1" hidden="1">#REF!</definedName>
    <definedName name="BOA3F98ABF94274EBDBA8B8C0A346CF6BF" hidden="1">#REF!</definedName>
    <definedName name="BOA42602D37E80421497F71AE8DF396BFB" localSheetId="1" hidden="1">#REF!</definedName>
    <definedName name="BOA42602D37E80421497F71AE8DF396BFB" hidden="1">#REF!</definedName>
    <definedName name="BOA44AE348903746CA9B8ABE6EF71D1077" localSheetId="1" hidden="1">#REF!</definedName>
    <definedName name="BOA44AE348903746CA9B8ABE6EF71D1077" hidden="1">#REF!</definedName>
    <definedName name="BOA462C80DE3494FC685782204231EF933" localSheetId="1" hidden="1">#REF!</definedName>
    <definedName name="BOA462C80DE3494FC685782204231EF933" hidden="1">#REF!</definedName>
    <definedName name="BOA4649298C78E4096A85D8FD30642C288" localSheetId="1" hidden="1">#REF!</definedName>
    <definedName name="BOA4649298C78E4096A85D8FD30642C288" hidden="1">#REF!</definedName>
    <definedName name="BOA4748AD854304C5B817167E99614D86A" localSheetId="1" hidden="1">#REF!</definedName>
    <definedName name="BOA4748AD854304C5B817167E99614D86A" hidden="1">#REF!</definedName>
    <definedName name="BOA47E09412705450888DD8453BF6DCA12" localSheetId="1" hidden="1">#REF!</definedName>
    <definedName name="BOA47E09412705450888DD8453BF6DCA12" hidden="1">#REF!</definedName>
    <definedName name="BOA4940DB879CF4599A4F180784D029065" localSheetId="1" hidden="1">#REF!</definedName>
    <definedName name="BOA4940DB879CF4599A4F180784D029065" hidden="1">#REF!</definedName>
    <definedName name="BOA4A383CBB5DA4205B715E501850002D6" localSheetId="1" hidden="1">#REF!</definedName>
    <definedName name="BOA4A383CBB5DA4205B715E501850002D6" hidden="1">#REF!</definedName>
    <definedName name="BOA4B854E4A98E4EE8B599A4C36A99C92F" localSheetId="1" hidden="1">#REF!</definedName>
    <definedName name="BOA4B854E4A98E4EE8B599A4C36A99C92F" hidden="1">#REF!</definedName>
    <definedName name="BOA4DF3CBC0DFB41228237A09E59236542" localSheetId="1" hidden="1">#REF!</definedName>
    <definedName name="BOA4DF3CBC0DFB41228237A09E59236542" hidden="1">#REF!</definedName>
    <definedName name="BOA4F66357C5124D408BDE2D48F6F81BDA" localSheetId="1" hidden="1">#REF!</definedName>
    <definedName name="BOA4F66357C5124D408BDE2D48F6F81BDA" hidden="1">#REF!</definedName>
    <definedName name="BOA50372BAFCAA49439AF1A75FA936229B" localSheetId="1" hidden="1">#REF!</definedName>
    <definedName name="BOA50372BAFCAA49439AF1A75FA936229B" hidden="1">#REF!</definedName>
    <definedName name="BOA50776DD34F341719EF3B1C7B8D350A9" localSheetId="1" hidden="1">#REF!</definedName>
    <definedName name="BOA50776DD34F341719EF3B1C7B8D350A9" hidden="1">#REF!</definedName>
    <definedName name="BOA52077D9BB274AFAB79A440D6D5E9C65" localSheetId="1" hidden="1">#REF!</definedName>
    <definedName name="BOA52077D9BB274AFAB79A440D6D5E9C65" hidden="1">#REF!</definedName>
    <definedName name="BOA5563290A14545B291A1460769DA573E" localSheetId="1" hidden="1">#REF!</definedName>
    <definedName name="BOA5563290A14545B291A1460769DA573E" hidden="1">#REF!</definedName>
    <definedName name="BOA56250C6D113490494A85508FA96F117" localSheetId="1" hidden="1">#REF!</definedName>
    <definedName name="BOA56250C6D113490494A85508FA96F117" hidden="1">#REF!</definedName>
    <definedName name="BOA569850F54084856964BAC3DD63DE6CF" localSheetId="1" hidden="1">#REF!</definedName>
    <definedName name="BOA569850F54084856964BAC3DD63DE6CF" hidden="1">#REF!</definedName>
    <definedName name="BOA581B3576FD14DDA8428A257E41BD465" localSheetId="1" hidden="1">#REF!</definedName>
    <definedName name="BOA581B3576FD14DDA8428A257E41BD465" hidden="1">#REF!</definedName>
    <definedName name="BOA59812A6C8F6471D8B7808CD5A2D4E46" localSheetId="1" hidden="1">#REF!</definedName>
    <definedName name="BOA59812A6C8F6471D8B7808CD5A2D4E46" hidden="1">#REF!</definedName>
    <definedName name="BOA5F52A81589749329CDCE8685E3175F2" localSheetId="1" hidden="1">#REF!</definedName>
    <definedName name="BOA5F52A81589749329CDCE8685E3175F2" hidden="1">#REF!</definedName>
    <definedName name="BOA61A6AC1202F4579BCCF9BDB3C59424F" localSheetId="1" hidden="1">#REF!</definedName>
    <definedName name="BOA61A6AC1202F4579BCCF9BDB3C59424F" hidden="1">#REF!</definedName>
    <definedName name="BOA632E1E19F6146D8B540BA96DD9F15BF" localSheetId="1" hidden="1">#REF!</definedName>
    <definedName name="BOA632E1E19F6146D8B540BA96DD9F15BF" hidden="1">#REF!</definedName>
    <definedName name="BOA65CEC24542D4292AAD5283DBB046FE4" localSheetId="1" hidden="1">#REF!</definedName>
    <definedName name="BOA65CEC24542D4292AAD5283DBB046FE4" hidden="1">#REF!</definedName>
    <definedName name="BOA6CEB363B62D4A5E8653E0BEE5CE80FD" localSheetId="1" hidden="1">#REF!</definedName>
    <definedName name="BOA6CEB363B62D4A5E8653E0BEE5CE80FD" hidden="1">#REF!</definedName>
    <definedName name="BOA6E203E4C48E4F42A3FA31107DA549DE" localSheetId="1" hidden="1">#REF!</definedName>
    <definedName name="BOA6E203E4C48E4F42A3FA31107DA549DE" hidden="1">#REF!</definedName>
    <definedName name="BOA707A60280214C118EE4576BCB8B7DAB" localSheetId="1" hidden="1">#REF!</definedName>
    <definedName name="BOA707A60280214C118EE4576BCB8B7DAB" hidden="1">#REF!</definedName>
    <definedName name="BOA712AA636CCB425093E780C6F6E88895" localSheetId="1" hidden="1">#REF!</definedName>
    <definedName name="BOA712AA636CCB425093E780C6F6E88895" hidden="1">#REF!</definedName>
    <definedName name="BOA728B6EAF7A14885845F7AA7D62EB408" localSheetId="1" hidden="1">#REF!</definedName>
    <definedName name="BOA728B6EAF7A14885845F7AA7D62EB408" hidden="1">#REF!</definedName>
    <definedName name="BOA74AA104568E47BD86B932FFDA257D7C" localSheetId="1" hidden="1">#REF!</definedName>
    <definedName name="BOA74AA104568E47BD86B932FFDA257D7C" hidden="1">#REF!</definedName>
    <definedName name="BOA75545E5DDD144219F5A61A771BF481F" localSheetId="1" hidden="1">#REF!</definedName>
    <definedName name="BOA75545E5DDD144219F5A61A771BF481F" hidden="1">#REF!</definedName>
    <definedName name="BOA78A2F476D7443DA9A43D445AD643547" localSheetId="1" hidden="1">#REF!</definedName>
    <definedName name="BOA78A2F476D7443DA9A43D445AD643547" hidden="1">#REF!</definedName>
    <definedName name="BOA791A74458E94B4FBEE935AC97E2C20A" localSheetId="1" hidden="1">#REF!</definedName>
    <definedName name="BOA791A74458E94B4FBEE935AC97E2C20A" hidden="1">#REF!</definedName>
    <definedName name="BOA79FF83862C844F696454C0522D0843E" localSheetId="1" hidden="1">#REF!</definedName>
    <definedName name="BOA79FF83862C844F696454C0522D0843E" hidden="1">#REF!</definedName>
    <definedName name="BOA7DEC5F243FB4F35912907E0D2F89E0A" localSheetId="1" hidden="1">#REF!</definedName>
    <definedName name="BOA7DEC5F243FB4F35912907E0D2F89E0A" hidden="1">#REF!</definedName>
    <definedName name="BOA7FF2C28276841DDA5FD8013F2976256" localSheetId="1" hidden="1">#REF!</definedName>
    <definedName name="BOA7FF2C28276841DDA5FD8013F2976256" hidden="1">#REF!</definedName>
    <definedName name="BOA80A354E42AB46F8BB5D1820B60A5551" localSheetId="1" hidden="1">#REF!</definedName>
    <definedName name="BOA80A354E42AB46F8BB5D1820B60A5551" hidden="1">#REF!</definedName>
    <definedName name="BOA8206628314E4A578EFEF6514ED8FA60" localSheetId="1" hidden="1">#REF!</definedName>
    <definedName name="BOA8206628314E4A578EFEF6514ED8FA60" hidden="1">#REF!</definedName>
    <definedName name="BOA845FB7BA6F94DD384D9239414F1084D" localSheetId="1" hidden="1">#REF!</definedName>
    <definedName name="BOA845FB7BA6F94DD384D9239414F1084D" hidden="1">#REF!</definedName>
    <definedName name="BOA8540DFBF8EF49C5AB8D4B08918806F3" localSheetId="1" hidden="1">#REF!</definedName>
    <definedName name="BOA8540DFBF8EF49C5AB8D4B08918806F3" hidden="1">#REF!</definedName>
    <definedName name="BOA86399A514B142459FA538ED95ED75D7" localSheetId="1" hidden="1">#REF!</definedName>
    <definedName name="BOA86399A514B142459FA538ED95ED75D7" hidden="1">#REF!</definedName>
    <definedName name="BOA867A12A4E9B4122A055945A85515980" localSheetId="1" hidden="1">#REF!</definedName>
    <definedName name="BOA867A12A4E9B4122A055945A85515980" hidden="1">#REF!</definedName>
    <definedName name="BOA880BD92CB5B4C59AA5C0A8CA4F5372F" localSheetId="1" hidden="1">#REF!</definedName>
    <definedName name="BOA880BD92CB5B4C59AA5C0A8CA4F5372F" hidden="1">#REF!</definedName>
    <definedName name="BOA8957C86FB6643AC809FD39567629B64" localSheetId="1" hidden="1">#REF!</definedName>
    <definedName name="BOA8957C86FB6643AC809FD39567629B64" hidden="1">#REF!</definedName>
    <definedName name="BOA8AB53237752430BB0B4104856BA4E2A" localSheetId="1" hidden="1">#REF!</definedName>
    <definedName name="BOA8AB53237752430BB0B4104856BA4E2A" hidden="1">#REF!</definedName>
    <definedName name="BOA8BDC17C9B004D55A015D84C15CB45EB" localSheetId="1" hidden="1">#REF!</definedName>
    <definedName name="BOA8BDC17C9B004D55A015D84C15CB45EB" hidden="1">#REF!</definedName>
    <definedName name="BOA901AF30926D453BB7505F619BF078C6" localSheetId="1" hidden="1">#REF!</definedName>
    <definedName name="BOA901AF30926D453BB7505F619BF078C6" hidden="1">#REF!</definedName>
    <definedName name="BOA905A35F3C83427BAF8078DEA92E3DCC" localSheetId="1" hidden="1">#REF!</definedName>
    <definedName name="BOA905A35F3C83427BAF8078DEA92E3DCC" hidden="1">#REF!</definedName>
    <definedName name="BOA91942887A174391853984C0DB8FA258" localSheetId="1" hidden="1">#REF!</definedName>
    <definedName name="BOA91942887A174391853984C0DB8FA258" hidden="1">#REF!</definedName>
    <definedName name="BOA924C8471B3D4BEFBFB2779ECB07D4B5" localSheetId="1" hidden="1">#REF!</definedName>
    <definedName name="BOA924C8471B3D4BEFBFB2779ECB07D4B5" hidden="1">#REF!</definedName>
    <definedName name="BOA92CD5ABDF7142A9A3BBE8219AB7AD1E" localSheetId="1" hidden="1">#REF!</definedName>
    <definedName name="BOA92CD5ABDF7142A9A3BBE8219AB7AD1E" hidden="1">#REF!</definedName>
    <definedName name="BOA941C0CD3F314CADA478A0C1CD85D250" localSheetId="1" hidden="1">#REF!</definedName>
    <definedName name="BOA941C0CD3F314CADA478A0C1CD85D250" hidden="1">#REF!</definedName>
    <definedName name="BOA960BBD34FE24271BB6009F552117A5E" localSheetId="1" hidden="1">#REF!</definedName>
    <definedName name="BOA960BBD34FE24271BB6009F552117A5E" hidden="1">#REF!</definedName>
    <definedName name="BOA97D1C5882D9460FB9B7E8BE3E06D7C7" localSheetId="1" hidden="1">#REF!</definedName>
    <definedName name="BOA97D1C5882D9460FB9B7E8BE3E06D7C7" hidden="1">#REF!</definedName>
    <definedName name="BOA99B3EA44A6444AD81F311DA7CDA0E02" localSheetId="1" hidden="1">#REF!</definedName>
    <definedName name="BOA99B3EA44A6444AD81F311DA7CDA0E02" hidden="1">#REF!</definedName>
    <definedName name="BOA9AFF096E6444A7E8455417EDE43E417" localSheetId="1" hidden="1">#REF!</definedName>
    <definedName name="BOA9AFF096E6444A7E8455417EDE43E417" hidden="1">#REF!</definedName>
    <definedName name="BOA9DCE25621BA40C296FF0BBC64986F2B" localSheetId="1" hidden="1">#REF!</definedName>
    <definedName name="BOA9DCE25621BA40C296FF0BBC64986F2B" hidden="1">#REF!</definedName>
    <definedName name="BOAA01475766094341BAC5937C45B98679" localSheetId="1" hidden="1">#REF!</definedName>
    <definedName name="BOAA01475766094341BAC5937C45B98679" hidden="1">#REF!</definedName>
    <definedName name="BOAA0860BF715E47AC9514FA50EA6E61AF" localSheetId="1" hidden="1">#REF!</definedName>
    <definedName name="BOAA0860BF715E47AC9514FA50EA6E61AF" hidden="1">#REF!</definedName>
    <definedName name="BOAA1E223595434D068D4C203B89333068" localSheetId="1" hidden="1">#REF!</definedName>
    <definedName name="BOAA1E223595434D068D4C203B89333068" hidden="1">#REF!</definedName>
    <definedName name="BOAA37683A5AAF416AA96E3DADC31E1AC4" localSheetId="1" hidden="1">#REF!</definedName>
    <definedName name="BOAA37683A5AAF416AA96E3DADC31E1AC4" hidden="1">#REF!</definedName>
    <definedName name="BOAA3F9143BD93402B92B4D5E889675490" localSheetId="1" hidden="1">#REF!</definedName>
    <definedName name="BOAA3F9143BD93402B92B4D5E889675490" hidden="1">#REF!</definedName>
    <definedName name="BOAA7F88AD6DC24F15815B41B5545C66B0" localSheetId="1" hidden="1">#REF!</definedName>
    <definedName name="BOAA7F88AD6DC24F15815B41B5545C66B0" hidden="1">#REF!</definedName>
    <definedName name="BOAAF327AFC0664C7091659BAFCB27C490" localSheetId="1" hidden="1">#REF!</definedName>
    <definedName name="BOAAF327AFC0664C7091659BAFCB27C490" hidden="1">#REF!</definedName>
    <definedName name="BOAAFFA14D3B8C42998A9CCDB720EFA746" localSheetId="1" hidden="1">#REF!</definedName>
    <definedName name="BOAAFFA14D3B8C42998A9CCDB720EFA746" hidden="1">#REF!</definedName>
    <definedName name="BOAB2FFF70AB0E4B7DBDC7FC821977E79A" localSheetId="1" hidden="1">#REF!</definedName>
    <definedName name="BOAB2FFF70AB0E4B7DBDC7FC821977E79A" hidden="1">#REF!</definedName>
    <definedName name="BOAB55A49C750F4A04BB95727169E240E7" localSheetId="1" hidden="1">#REF!</definedName>
    <definedName name="BOAB55A49C750F4A04BB95727169E240E7" hidden="1">#REF!</definedName>
    <definedName name="BOAB82E269C9C44E749643F11D7E8DC781" localSheetId="1" hidden="1">#REF!</definedName>
    <definedName name="BOAB82E269C9C44E749643F11D7E8DC781" hidden="1">#REF!</definedName>
    <definedName name="BOABA37D4AAAF34670989EA3781641E276" localSheetId="1" hidden="1">#REF!</definedName>
    <definedName name="BOABA37D4AAAF34670989EA3781641E276" hidden="1">#REF!</definedName>
    <definedName name="BOABBB8A5582AF477181C945BF9631CC31" localSheetId="1" hidden="1">#REF!</definedName>
    <definedName name="BOABBB8A5582AF477181C945BF9631CC31" hidden="1">#REF!</definedName>
    <definedName name="BOABBCC65C502741CFA6171DACF843BA39" localSheetId="1" hidden="1">#REF!</definedName>
    <definedName name="BOABBCC65C502741CFA6171DACF843BA39" hidden="1">#REF!</definedName>
    <definedName name="BOABBEDF0B098A4D5BAD03B9ADDF109A8A" localSheetId="1" hidden="1">#REF!</definedName>
    <definedName name="BOABBEDF0B098A4D5BAD03B9ADDF109A8A" hidden="1">#REF!</definedName>
    <definedName name="BOABE634B5257648299573C5F63F4789DB" localSheetId="1" hidden="1">#REF!</definedName>
    <definedName name="BOABE634B5257648299573C5F63F4789DB" hidden="1">#REF!</definedName>
    <definedName name="BOABE796C119AC4DD4AD13723882F95431" localSheetId="1" hidden="1">#REF!</definedName>
    <definedName name="BOABE796C119AC4DD4AD13723882F95431" hidden="1">#REF!</definedName>
    <definedName name="BOABF49C33DA224342BB7F2E87F17C1DB3" localSheetId="1" hidden="1">#REF!</definedName>
    <definedName name="BOABF49C33DA224342BB7F2E87F17C1DB3" hidden="1">#REF!</definedName>
    <definedName name="BOAC079C7332FB405D90554C0619547187" localSheetId="1" hidden="1">#REF!</definedName>
    <definedName name="BOAC079C7332FB405D90554C0619547187" hidden="1">#REF!</definedName>
    <definedName name="BOAC254DA305B94649A40A1818F4397657" localSheetId="1" hidden="1">#REF!</definedName>
    <definedName name="BOAC254DA305B94649A40A1818F4397657" hidden="1">#REF!</definedName>
    <definedName name="BOAC42AA5A12354BB6ABF8F402A90E9584" localSheetId="1" hidden="1">#REF!</definedName>
    <definedName name="BOAC42AA5A12354BB6ABF8F402A90E9584" hidden="1">#REF!</definedName>
    <definedName name="BOAC61F7699EB644B28983D0AA8E23DC41" localSheetId="1" hidden="1">#REF!</definedName>
    <definedName name="BOAC61F7699EB644B28983D0AA8E23DC41" hidden="1">#REF!</definedName>
    <definedName name="BOAC6F009BD4564DF482F3FD521B8DD5EC" localSheetId="1" hidden="1">#REF!</definedName>
    <definedName name="BOAC6F009BD4564DF482F3FD521B8DD5EC" hidden="1">#REF!</definedName>
    <definedName name="BOAC9D19CAAE6E4BA58BB8B42C2FEB90A0" localSheetId="1" hidden="1">#REF!</definedName>
    <definedName name="BOAC9D19CAAE6E4BA58BB8B42C2FEB90A0" hidden="1">#REF!</definedName>
    <definedName name="BOACB4EB5ACCF641E594B4370068A37C9C" localSheetId="1" hidden="1">#REF!</definedName>
    <definedName name="BOACB4EB5ACCF641E594B4370068A37C9C" hidden="1">#REF!</definedName>
    <definedName name="BOACBE6399B62B4EE0940B3DE41E102E4C" localSheetId="1" hidden="1">#REF!</definedName>
    <definedName name="BOACBE6399B62B4EE0940B3DE41E102E4C" hidden="1">#REF!</definedName>
    <definedName name="BOAD109524018746029F061D1102BE87A6" localSheetId="1" hidden="1">#REF!</definedName>
    <definedName name="BOAD109524018746029F061D1102BE87A6" hidden="1">#REF!</definedName>
    <definedName name="BOAD20497ABDDF428683C9AA6B905928CA" localSheetId="1" hidden="1">#REF!</definedName>
    <definedName name="BOAD20497ABDDF428683C9AA6B905928CA" hidden="1">#REF!</definedName>
    <definedName name="BOAD4C8585543C420C9900B3D1DE628AFD" localSheetId="1" hidden="1">#REF!</definedName>
    <definedName name="BOAD4C8585543C420C9900B3D1DE628AFD" hidden="1">#REF!</definedName>
    <definedName name="BOAD51D154FD2A44888BB75B466BB3E12D" localSheetId="1" hidden="1">#REF!</definedName>
    <definedName name="BOAD51D154FD2A44888BB75B466BB3E12D" hidden="1">#REF!</definedName>
    <definedName name="BOADEA752D0A9F4765BC7D7C566BFED409" localSheetId="1" hidden="1">#REF!</definedName>
    <definedName name="BOADEA752D0A9F4765BC7D7C566BFED409" hidden="1">#REF!</definedName>
    <definedName name="BOAE03B6416C174C3C959BE294997057DF" localSheetId="1" hidden="1">#REF!</definedName>
    <definedName name="BOAE03B6416C174C3C959BE294997057DF" hidden="1">#REF!</definedName>
    <definedName name="BOAE216CC5B8D845F8813B2A359845EA1B" localSheetId="1" hidden="1">#REF!</definedName>
    <definedName name="BOAE216CC5B8D845F8813B2A359845EA1B" hidden="1">#REF!</definedName>
    <definedName name="BOAE43C9E5ED7544BF9AA630E3E7AC4A0F" localSheetId="1" hidden="1">#REF!</definedName>
    <definedName name="BOAE43C9E5ED7544BF9AA630E3E7AC4A0F" hidden="1">#REF!</definedName>
    <definedName name="BOAE845F26838B4190AB1940D3C571CCD4" localSheetId="1" hidden="1">#REF!</definedName>
    <definedName name="BOAE845F26838B4190AB1940D3C571CCD4" hidden="1">#REF!</definedName>
    <definedName name="BOAE9A5402D50645F0AF1D1E3ECB6210EA" localSheetId="1" hidden="1">#REF!</definedName>
    <definedName name="BOAE9A5402D50645F0AF1D1E3ECB6210EA" hidden="1">#REF!</definedName>
    <definedName name="BOAEDE2D12CB7E485F9D076390A0D1B42E" localSheetId="1" hidden="1">#REF!</definedName>
    <definedName name="BOAEDE2D12CB7E485F9D076390A0D1B42E" hidden="1">#REF!</definedName>
    <definedName name="BOAEE4C7AD3A0D4945BAAE43130AE8345F" localSheetId="1" hidden="1">#REF!</definedName>
    <definedName name="BOAEE4C7AD3A0D4945BAAE43130AE8345F" hidden="1">#REF!</definedName>
    <definedName name="BOAF1B98F1E4DC4A63B1711F6E8BC3F91E" localSheetId="1" hidden="1">#REF!</definedName>
    <definedName name="BOAF1B98F1E4DC4A63B1711F6E8BC3F91E" hidden="1">#REF!</definedName>
    <definedName name="BOAF70E8C078C44B15848B0157DAEB030D" localSheetId="1" hidden="1">#REF!</definedName>
    <definedName name="BOAF70E8C078C44B15848B0157DAEB030D" hidden="1">#REF!</definedName>
    <definedName name="BOAFB48AC82A044805A64B6552F84ABBAA" localSheetId="1" hidden="1">#REF!</definedName>
    <definedName name="BOAFB48AC82A044805A64B6552F84ABBAA" hidden="1">#REF!</definedName>
    <definedName name="BOAFE182F766BE4779BE06CF0DCFCE9311" localSheetId="1" hidden="1">#REF!</definedName>
    <definedName name="BOAFE182F766BE4779BE06CF0DCFCE9311" hidden="1">#REF!</definedName>
    <definedName name="BOAFEF08D3BC8E4FA4AF0F9B54EC8311E3" localSheetId="1" hidden="1">#REF!</definedName>
    <definedName name="BOAFEF08D3BC8E4FA4AF0F9B54EC8311E3" hidden="1">#REF!</definedName>
    <definedName name="BOB0005FEC357741F1B08AFDCDA6737282" localSheetId="1" hidden="1">#REF!</definedName>
    <definedName name="BOB0005FEC357741F1B08AFDCDA6737282" hidden="1">#REF!</definedName>
    <definedName name="BOB024CCF181264ECE85BFF081215167FF" localSheetId="1" hidden="1">#REF!</definedName>
    <definedName name="BOB024CCF181264ECE85BFF081215167FF" hidden="1">#REF!</definedName>
    <definedName name="BOB06879D010704034846308A026AC0104" localSheetId="1" hidden="1">#REF!</definedName>
    <definedName name="BOB06879D010704034846308A026AC0104" hidden="1">#REF!</definedName>
    <definedName name="BOB07B7C18C6C940DCA55EFA4F331BC4D8" localSheetId="1" hidden="1">#REF!</definedName>
    <definedName name="BOB07B7C18C6C940DCA55EFA4F331BC4D8" hidden="1">#REF!</definedName>
    <definedName name="BOB0ADE433516B4482B5672D405EDF049B" localSheetId="1" hidden="1">#REF!</definedName>
    <definedName name="BOB0ADE433516B4482B5672D405EDF049B" hidden="1">#REF!</definedName>
    <definedName name="BOB0CACCD738524BF98BF13A8D99CB826A" localSheetId="1" hidden="1">#REF!</definedName>
    <definedName name="BOB0CACCD738524BF98BF13A8D99CB826A" hidden="1">#REF!</definedName>
    <definedName name="BOB0D1157E835946EF8B49FC7A4D347D33" localSheetId="1" hidden="1">#REF!</definedName>
    <definedName name="BOB0D1157E835946EF8B49FC7A4D347D33" hidden="1">#REF!</definedName>
    <definedName name="BOB0DB03BB544B4DDC80F0339B570ABDFD" localSheetId="1" hidden="1">#REF!</definedName>
    <definedName name="BOB0DB03BB544B4DDC80F0339B570ABDFD" hidden="1">#REF!</definedName>
    <definedName name="BOB0DE2293AB3D439CABB387AA445D830E" localSheetId="1" hidden="1">#REF!</definedName>
    <definedName name="BOB0DE2293AB3D439CABB387AA445D830E" hidden="1">#REF!</definedName>
    <definedName name="BOB0E665E57F50460EAFE68DA73B20B1FB" localSheetId="1" hidden="1">#REF!</definedName>
    <definedName name="BOB0E665E57F50460EAFE68DA73B20B1FB" hidden="1">#REF!</definedName>
    <definedName name="BOB118B30094824A7BB27DE65C8F1CA545" localSheetId="1" hidden="1">#REF!</definedName>
    <definedName name="BOB118B30094824A7BB27DE65C8F1CA545" hidden="1">#REF!</definedName>
    <definedName name="BOB11E3C10088E4498AEAA83D086237A5F" localSheetId="1" hidden="1">#REF!</definedName>
    <definedName name="BOB11E3C10088E4498AEAA83D086237A5F" hidden="1">#REF!</definedName>
    <definedName name="BOB1378CE222264DCFA73EBB47436B5203" localSheetId="1" hidden="1">#REF!</definedName>
    <definedName name="BOB1378CE222264DCFA73EBB47436B5203" hidden="1">#REF!</definedName>
    <definedName name="BOB13AB377472C4EDEBB446C5D4CFD7FF3" localSheetId="1" hidden="1">#REF!</definedName>
    <definedName name="BOB13AB377472C4EDEBB446C5D4CFD7FF3" hidden="1">#REF!</definedName>
    <definedName name="BOB184616FB5BC4637B82004F40B23E788" localSheetId="1" hidden="1">#REF!</definedName>
    <definedName name="BOB184616FB5BC4637B82004F40B23E788" hidden="1">#REF!</definedName>
    <definedName name="BOB185D168B4244E8483A302F590E19A55" localSheetId="1" hidden="1">#REF!</definedName>
    <definedName name="BOB185D168B4244E8483A302F590E19A55" hidden="1">#REF!</definedName>
    <definedName name="BOB18CA3F64CB04767AED01AA8490DB779" localSheetId="1" hidden="1">#REF!</definedName>
    <definedName name="BOB18CA3F64CB04767AED01AA8490DB779" hidden="1">#REF!</definedName>
    <definedName name="BOB19B4ED5A5DF4C8AAA9FAB05B282DC3E" localSheetId="1" hidden="1">#REF!</definedName>
    <definedName name="BOB19B4ED5A5DF4C8AAA9FAB05B282DC3E" hidden="1">#REF!</definedName>
    <definedName name="BOB1F1C272A006471A914ACD7DF91D3F84" localSheetId="1" hidden="1">#REF!</definedName>
    <definedName name="BOB1F1C272A006471A914ACD7DF91D3F84" hidden="1">#REF!</definedName>
    <definedName name="BOB1F3558029C34A18BE2B422B0D9601AB" localSheetId="1" hidden="1">#REF!</definedName>
    <definedName name="BOB1F3558029C34A18BE2B422B0D9601AB" hidden="1">#REF!</definedName>
    <definedName name="BOB1FC6C03F3E749DF83826D310F4971EC" localSheetId="1" hidden="1">#REF!</definedName>
    <definedName name="BOB1FC6C03F3E749DF83826D310F4971EC" hidden="1">#REF!</definedName>
    <definedName name="BOB2174B9FD1A845A0AE1CE36C64119C7B" localSheetId="1" hidden="1">#REF!</definedName>
    <definedName name="BOB2174B9FD1A845A0AE1CE36C64119C7B" hidden="1">#REF!</definedName>
    <definedName name="BOB2187ECA0E1B4D86BE3F24606F147AA6" localSheetId="1" hidden="1">#REF!</definedName>
    <definedName name="BOB2187ECA0E1B4D86BE3F24606F147AA6" hidden="1">#REF!</definedName>
    <definedName name="BOB25C2C23C245424EB9EE1D9E9F34950B" localSheetId="1" hidden="1">#REF!</definedName>
    <definedName name="BOB25C2C23C245424EB9EE1D9E9F34950B" hidden="1">#REF!</definedName>
    <definedName name="BOB26205A33F8B495DB98591C55C49AFEB" localSheetId="1" hidden="1">#REF!</definedName>
    <definedName name="BOB26205A33F8B495DB98591C55C49AFEB" hidden="1">#REF!</definedName>
    <definedName name="BOB262E38128BE44AFACB9773BC536ACC0" localSheetId="1" hidden="1">#REF!</definedName>
    <definedName name="BOB262E38128BE44AFACB9773BC536ACC0" hidden="1">#REF!</definedName>
    <definedName name="BOB28D198A17724199854C56E873CA3CD9" localSheetId="1" hidden="1">#REF!</definedName>
    <definedName name="BOB28D198A17724199854C56E873CA3CD9" hidden="1">#REF!</definedName>
    <definedName name="BOB2CFF02E995448899DD7AA9BFA754975" localSheetId="1" hidden="1">#REF!</definedName>
    <definedName name="BOB2CFF02E995448899DD7AA9BFA754975" hidden="1">#REF!</definedName>
    <definedName name="BOB2E6C59B39DD4FDDADBB253AB1CA4A42" localSheetId="1" hidden="1">#REF!</definedName>
    <definedName name="BOB2E6C59B39DD4FDDADBB253AB1CA4A42" hidden="1">#REF!</definedName>
    <definedName name="BOB2EC1F6E53524B0FB3EAAB47B75E1A4A" localSheetId="1" hidden="1">#REF!</definedName>
    <definedName name="BOB2EC1F6E53524B0FB3EAAB47B75E1A4A" hidden="1">#REF!</definedName>
    <definedName name="BOB2FF2C05B4B24566A4378E9F6A30DAA6" localSheetId="1" hidden="1">#REF!</definedName>
    <definedName name="BOB2FF2C05B4B24566A4378E9F6A30DAA6" hidden="1">#REF!</definedName>
    <definedName name="BOB30878E62D94405B94EB42E77D410AA6" localSheetId="1" hidden="1">#REF!</definedName>
    <definedName name="BOB30878E62D94405B94EB42E77D410AA6" hidden="1">#REF!</definedName>
    <definedName name="BOB35A440D208A4881A3ABF94FA1592708" localSheetId="1" hidden="1">#REF!</definedName>
    <definedName name="BOB35A440D208A4881A3ABF94FA1592708" hidden="1">#REF!</definedName>
    <definedName name="BOB394F8C1BC9E4FFFB00A89B6B1F07030" localSheetId="1" hidden="1">#REF!</definedName>
    <definedName name="BOB394F8C1BC9E4FFFB00A89B6B1F07030" hidden="1">#REF!</definedName>
    <definedName name="BOB3BED51348A144A482D58659F020672D" localSheetId="1" hidden="1">#REF!</definedName>
    <definedName name="BOB3BED51348A144A482D58659F020672D" hidden="1">#REF!</definedName>
    <definedName name="BOB3E2F4C5C24F4FDB859294B731A7526D" localSheetId="1" hidden="1">#REF!</definedName>
    <definedName name="BOB3E2F4C5C24F4FDB859294B731A7526D" hidden="1">#REF!</definedName>
    <definedName name="BOB40E52CEE8564B77A41F6A21CE7B305D" localSheetId="1" hidden="1">#REF!</definedName>
    <definedName name="BOB40E52CEE8564B77A41F6A21CE7B305D" hidden="1">#REF!</definedName>
    <definedName name="BOB416943CDCFB4F43AA7C6819E2F9B12D" localSheetId="1" hidden="1">#REF!</definedName>
    <definedName name="BOB416943CDCFB4F43AA7C6819E2F9B12D" hidden="1">#REF!</definedName>
    <definedName name="BOB42CD81F746C4B4E95ACCE3D02580BE7" localSheetId="1" hidden="1">#REF!</definedName>
    <definedName name="BOB42CD81F746C4B4E95ACCE3D02580BE7" hidden="1">#REF!</definedName>
    <definedName name="BOB43F86CF00F74F48B06EECB2304B477D" localSheetId="1" hidden="1">#REF!</definedName>
    <definedName name="BOB43F86CF00F74F48B06EECB2304B477D" hidden="1">#REF!</definedName>
    <definedName name="BOB445E9AD75E847939A2B1557BF5971F9" localSheetId="1" hidden="1">#REF!</definedName>
    <definedName name="BOB445E9AD75E847939A2B1557BF5971F9" hidden="1">#REF!</definedName>
    <definedName name="BOB479A46B5B804011BD5757EB99D00230" localSheetId="1" hidden="1">#REF!</definedName>
    <definedName name="BOB479A46B5B804011BD5757EB99D00230" hidden="1">#REF!</definedName>
    <definedName name="BOB47FC43118E146BDB3CAAF1100AE4BA9" localSheetId="1" hidden="1">#REF!</definedName>
    <definedName name="BOB47FC43118E146BDB3CAAF1100AE4BA9" hidden="1">#REF!</definedName>
    <definedName name="BOB499772055A24A87B84BB365CB71EF04" localSheetId="1" hidden="1">#REF!</definedName>
    <definedName name="BOB499772055A24A87B84BB365CB71EF04" hidden="1">#REF!</definedName>
    <definedName name="BOB4AC7EF692F84E2DA30ABC01858F46BF" localSheetId="1" hidden="1">#REF!</definedName>
    <definedName name="BOB4AC7EF692F84E2DA30ABC01858F46BF" hidden="1">#REF!</definedName>
    <definedName name="BOB4E2CA0EE6E74647B60DA3564245A717" localSheetId="1" hidden="1">#REF!</definedName>
    <definedName name="BOB4E2CA0EE6E74647B60DA3564245A717" hidden="1">#REF!</definedName>
    <definedName name="BOB50BF41DCD164684B1F2B21C949F656F" localSheetId="1" hidden="1">#REF!</definedName>
    <definedName name="BOB50BF41DCD164684B1F2B21C949F656F" hidden="1">#REF!</definedName>
    <definedName name="BOB53972A3FF444E36B5C5A6F9314FEF44" localSheetId="1" hidden="1">#REF!</definedName>
    <definedName name="BOB53972A3FF444E36B5C5A6F9314FEF44" hidden="1">#REF!</definedName>
    <definedName name="BOB56475FD822948B7A28C547B153EB0B6" localSheetId="1" hidden="1">#REF!</definedName>
    <definedName name="BOB56475FD822948B7A28C547B153EB0B6" hidden="1">#REF!</definedName>
    <definedName name="BOB57709B4B68746E7B7B36AE6CD17CA91" localSheetId="1" hidden="1">#REF!</definedName>
    <definedName name="BOB57709B4B68746E7B7B36AE6CD17CA91" hidden="1">#REF!</definedName>
    <definedName name="BOB58C2859469F4F7E8180DA5462279541" localSheetId="1" hidden="1">#REF!</definedName>
    <definedName name="BOB58C2859469F4F7E8180DA5462279541" hidden="1">#REF!</definedName>
    <definedName name="BOB599A09F8E8C43EDA96DE5174F3C32D0" localSheetId="1" hidden="1">#REF!</definedName>
    <definedName name="BOB599A09F8E8C43EDA96DE5174F3C32D0" hidden="1">#REF!</definedName>
    <definedName name="BOB5D1339BC11C47F9996A96FA13719AC5" localSheetId="1" hidden="1">#REF!</definedName>
    <definedName name="BOB5D1339BC11C47F9996A96FA13719AC5" hidden="1">#REF!</definedName>
    <definedName name="BOB5D16031AAE94686A01B98E3F1B32BB1" localSheetId="1" hidden="1">#REF!</definedName>
    <definedName name="BOB5D16031AAE94686A01B98E3F1B32BB1" hidden="1">#REF!</definedName>
    <definedName name="BOB63700DC41E8405192EC6B4CED6A1B62" localSheetId="1" hidden="1">#REF!</definedName>
    <definedName name="BOB63700DC41E8405192EC6B4CED6A1B62" hidden="1">#REF!</definedName>
    <definedName name="BOB664A434F7C242089CB97CD90496E73A" localSheetId="1" hidden="1">#REF!</definedName>
    <definedName name="BOB664A434F7C242089CB97CD90496E73A" hidden="1">#REF!</definedName>
    <definedName name="BOB666B5A1CA664A37B71F765D2CEA59FD" localSheetId="1" hidden="1">#REF!</definedName>
    <definedName name="BOB666B5A1CA664A37B71F765D2CEA59FD" hidden="1">#REF!</definedName>
    <definedName name="BOB6711245BFC04DC491D154B426C58F12" localSheetId="1" hidden="1">#REF!</definedName>
    <definedName name="BOB6711245BFC04DC491D154B426C58F12" hidden="1">#REF!</definedName>
    <definedName name="BOB69A54AB6B0843AA8F5A296614E69E51" localSheetId="1" hidden="1">#REF!</definedName>
    <definedName name="BOB69A54AB6B0843AA8F5A296614E69E51" hidden="1">#REF!</definedName>
    <definedName name="BOB6A0A16FDDBC445698D5A7013BFF4FAD" localSheetId="1" hidden="1">#REF!</definedName>
    <definedName name="BOB6A0A16FDDBC445698D5A7013BFF4FAD" hidden="1">#REF!</definedName>
    <definedName name="BOB6A457D7367441AF833D44B69FA81AB6" localSheetId="1" hidden="1">#REF!</definedName>
    <definedName name="BOB6A457D7367441AF833D44B69FA81AB6" hidden="1">#REF!</definedName>
    <definedName name="BOB6D73283C9BC4F85BC7AEA002E570DEE" localSheetId="1" hidden="1">#REF!</definedName>
    <definedName name="BOB6D73283C9BC4F85BC7AEA002E570DEE" hidden="1">#REF!</definedName>
    <definedName name="BOB6E1122AFC4141AA87003E5075AEB9A7" localSheetId="1" hidden="1">#REF!</definedName>
    <definedName name="BOB6E1122AFC4141AA87003E5075AEB9A7" hidden="1">#REF!</definedName>
    <definedName name="BOB7145384A50344518D8FD9948CD1C4E7" localSheetId="1" hidden="1">#REF!</definedName>
    <definedName name="BOB7145384A50344518D8FD9948CD1C4E7" hidden="1">#REF!</definedName>
    <definedName name="BOB72930F608574554957BB4C2630750F3" localSheetId="1" hidden="1">#REF!</definedName>
    <definedName name="BOB72930F608574554957BB4C2630750F3" hidden="1">#REF!</definedName>
    <definedName name="BOB740B50D59FA4EB29F2E8DBE8D7A2963" localSheetId="1" hidden="1">#REF!</definedName>
    <definedName name="BOB740B50D59FA4EB29F2E8DBE8D7A2963" hidden="1">#REF!</definedName>
    <definedName name="BOB76C63B311474B4E869F1347F0606665" localSheetId="1" hidden="1">#REF!</definedName>
    <definedName name="BOB76C63B311474B4E869F1347F0606665" hidden="1">#REF!</definedName>
    <definedName name="BOB832FDF088D846C4895BA05113DA0AD7" localSheetId="1" hidden="1">#REF!</definedName>
    <definedName name="BOB832FDF088D846C4895BA05113DA0AD7" hidden="1">#REF!</definedName>
    <definedName name="BOB86C8D0306854CD4B0F867E8A8158DAB" localSheetId="1" hidden="1">#REF!</definedName>
    <definedName name="BOB86C8D0306854CD4B0F867E8A8158DAB" hidden="1">#REF!</definedName>
    <definedName name="BOB87165E3118C47D38853C793508C9940" localSheetId="1" hidden="1">#REF!</definedName>
    <definedName name="BOB87165E3118C47D38853C793508C9940" hidden="1">#REF!</definedName>
    <definedName name="BOB8C1A9F1BC7A40A998408F04E6A4901D" localSheetId="1" hidden="1">#REF!</definedName>
    <definedName name="BOB8C1A9F1BC7A40A998408F04E6A4901D" hidden="1">#REF!</definedName>
    <definedName name="BOB8D84C69820C440982813CB320AAA6A8" localSheetId="1" hidden="1">#REF!</definedName>
    <definedName name="BOB8D84C69820C440982813CB320AAA6A8" hidden="1">#REF!</definedName>
    <definedName name="BOB8E45A4C043B45E088448297898BB517" localSheetId="1" hidden="1">#REF!</definedName>
    <definedName name="BOB8E45A4C043B45E088448297898BB517" hidden="1">#REF!</definedName>
    <definedName name="BOB8FA4CCA1A4B448494A6D5FBD7007F00" localSheetId="1" hidden="1">#REF!</definedName>
    <definedName name="BOB8FA4CCA1A4B448494A6D5FBD7007F00" hidden="1">#REF!</definedName>
    <definedName name="BOB90EAF3FF0A343A7BFDA7E349CB8A6C8" localSheetId="1" hidden="1">#REF!</definedName>
    <definedName name="BOB90EAF3FF0A343A7BFDA7E349CB8A6C8" hidden="1">#REF!</definedName>
    <definedName name="BOB916E67475FD40C0B6F612D224A65F1D" localSheetId="1" hidden="1">#REF!</definedName>
    <definedName name="BOB916E67475FD40C0B6F612D224A65F1D" hidden="1">#REF!</definedName>
    <definedName name="BOB921C37B1DC4491B8A8F9B327DF07744" localSheetId="1" hidden="1">#REF!</definedName>
    <definedName name="BOB921C37B1DC4491B8A8F9B327DF07744" hidden="1">#REF!</definedName>
    <definedName name="BOB92EC7BA00894C32BC9F274B21BD4F7B" localSheetId="1" hidden="1">#REF!</definedName>
    <definedName name="BOB92EC7BA00894C32BC9F274B21BD4F7B" hidden="1">#REF!</definedName>
    <definedName name="BOB9304C7E29B04D9C9C77B24A55EEE53F" localSheetId="1" hidden="1">#REF!</definedName>
    <definedName name="BOB9304C7E29B04D9C9C77B24A55EEE53F" hidden="1">#REF!</definedName>
    <definedName name="BOB933B109328E43B08122C926D1EEDE14" localSheetId="1" hidden="1">#REF!</definedName>
    <definedName name="BOB933B109328E43B08122C926D1EEDE14" hidden="1">#REF!</definedName>
    <definedName name="BOB94BA94A44584A5AB62D61925DD38822" localSheetId="1" hidden="1">#REF!</definedName>
    <definedName name="BOB94BA94A44584A5AB62D61925DD38822" hidden="1">#REF!</definedName>
    <definedName name="BOB9A9269337994CD9995912095A03586A" localSheetId="1" hidden="1">#REF!</definedName>
    <definedName name="BOB9A9269337994CD9995912095A03586A" hidden="1">#REF!</definedName>
    <definedName name="BOBA07D5FEDDBF4CFFACB6E315D8998C1F" localSheetId="1" hidden="1">#REF!</definedName>
    <definedName name="BOBA07D5FEDDBF4CFFACB6E315D8998C1F" hidden="1">#REF!</definedName>
    <definedName name="BOBA12CCBB83DC490293B4024877957D98" localSheetId="1" hidden="1">#REF!</definedName>
    <definedName name="BOBA12CCBB83DC490293B4024877957D98" hidden="1">#REF!</definedName>
    <definedName name="BOBA181222A7AE4A45AD62F5ED0E622660" localSheetId="1" hidden="1">#REF!</definedName>
    <definedName name="BOBA181222A7AE4A45AD62F5ED0E622660" hidden="1">#REF!</definedName>
    <definedName name="BOBA24DFB554AF460B8AB282C13492A629" localSheetId="1" hidden="1">#REF!</definedName>
    <definedName name="BOBA24DFB554AF460B8AB282C13492A629" hidden="1">#REF!</definedName>
    <definedName name="BOBA2A09FA3F74474E9CB8537C38559D3A" localSheetId="1" hidden="1">#REF!</definedName>
    <definedName name="BOBA2A09FA3F74474E9CB8537C38559D3A" hidden="1">#REF!</definedName>
    <definedName name="BOBA34D01E25FC4AF18006E289F2DEA305" localSheetId="1" hidden="1">#REF!</definedName>
    <definedName name="BOBA34D01E25FC4AF18006E289F2DEA305" hidden="1">#REF!</definedName>
    <definedName name="BOBA6F771A713D44818466A48A99D86999" localSheetId="1" hidden="1">#REF!</definedName>
    <definedName name="BOBA6F771A713D44818466A48A99D86999" hidden="1">#REF!</definedName>
    <definedName name="BOBA7996250A2C48C0A1B2A9E9E89C4F08" localSheetId="1" hidden="1">#REF!</definedName>
    <definedName name="BOBA7996250A2C48C0A1B2A9E9E89C4F08" hidden="1">#REF!</definedName>
    <definedName name="BOBA83205E5F2841FC8E5118CDCEC79269" localSheetId="1" hidden="1">#REF!</definedName>
    <definedName name="BOBA83205E5F2841FC8E5118CDCEC79269" hidden="1">#REF!</definedName>
    <definedName name="BOBAB788881F1D4460854EE1FBFFE8B2E0" localSheetId="1" hidden="1">#REF!</definedName>
    <definedName name="BOBAB788881F1D4460854EE1FBFFE8B2E0" hidden="1">#REF!</definedName>
    <definedName name="BOBADED6FB922F4A3CAA610B246C015166" localSheetId="1" hidden="1">#REF!</definedName>
    <definedName name="BOBADED6FB922F4A3CAA610B246C015166" hidden="1">#REF!</definedName>
    <definedName name="BOBB45F71539614D0090D4B6087D188B78" localSheetId="1" hidden="1">#REF!</definedName>
    <definedName name="BOBB45F71539614D0090D4B6087D188B78" hidden="1">#REF!</definedName>
    <definedName name="BOBB58D5EDD0B1467AB5D9915F132ADF94" localSheetId="1" hidden="1">#REF!</definedName>
    <definedName name="BOBB58D5EDD0B1467AB5D9915F132ADF94" hidden="1">#REF!</definedName>
    <definedName name="BOBB5BB6FEEFA64B79BB64C92031FA3AE8" localSheetId="1" hidden="1">#REF!</definedName>
    <definedName name="BOBB5BB6FEEFA64B79BB64C92031FA3AE8" hidden="1">#REF!</definedName>
    <definedName name="BOBB6AE77CF3A54CC3AC51350B77472DF8" localSheetId="1" hidden="1">#REF!</definedName>
    <definedName name="BOBB6AE77CF3A54CC3AC51350B77472DF8" hidden="1">#REF!</definedName>
    <definedName name="BOBBAA7F824582476F88CDCFB08F1934D5" localSheetId="1" hidden="1">#REF!</definedName>
    <definedName name="BOBBAA7F824582476F88CDCFB08F1934D5" hidden="1">#REF!</definedName>
    <definedName name="BOBBDC73CDE37B4F45AB68C38A9635AF80" localSheetId="1" hidden="1">#REF!</definedName>
    <definedName name="BOBBDC73CDE37B4F45AB68C38A9635AF80" hidden="1">#REF!</definedName>
    <definedName name="BOBBE4AA840EEC4997B000A639F871E6CE" localSheetId="1" hidden="1">#REF!</definedName>
    <definedName name="BOBBE4AA840EEC4997B000A639F871E6CE" hidden="1">#REF!</definedName>
    <definedName name="BOBBEA4F95A23E45E1B25DDDD7FC411C90" localSheetId="1" hidden="1">#REF!</definedName>
    <definedName name="BOBBEA4F95A23E45E1B25DDDD7FC411C90" hidden="1">#REF!</definedName>
    <definedName name="BOBC04FB3E707E4D2489786AEF4796C806" localSheetId="1" hidden="1">#REF!</definedName>
    <definedName name="BOBC04FB3E707E4D2489786AEF4796C806" hidden="1">#REF!</definedName>
    <definedName name="BOBC16CFAF95AD4A8D86D3641EA9FE0CCA" localSheetId="1" hidden="1">#REF!</definedName>
    <definedName name="BOBC16CFAF95AD4A8D86D3641EA9FE0CCA" hidden="1">#REF!</definedName>
    <definedName name="BOBC26361192634C519AD3E18D48CFA644" localSheetId="1" hidden="1">#REF!</definedName>
    <definedName name="BOBC26361192634C519AD3E18D48CFA644" hidden="1">#REF!</definedName>
    <definedName name="BOBC4B15CA572E4683B22D1E93207B42A3" localSheetId="1" hidden="1">#REF!</definedName>
    <definedName name="BOBC4B15CA572E4683B22D1E93207B42A3" hidden="1">#REF!</definedName>
    <definedName name="BOBC8009AB97724AB7B944FF6F455E412C" localSheetId="1" hidden="1">#REF!</definedName>
    <definedName name="BOBC8009AB97724AB7B944FF6F455E412C" hidden="1">#REF!</definedName>
    <definedName name="BOBC9E30F080984844B237570A172714A0" localSheetId="1" hidden="1">#REF!</definedName>
    <definedName name="BOBC9E30F080984844B237570A172714A0" hidden="1">#REF!</definedName>
    <definedName name="BOBCAADD13A1F84467B1BBFB74C99EC30A" localSheetId="1" hidden="1">#REF!</definedName>
    <definedName name="BOBCAADD13A1F84467B1BBFB74C99EC30A" hidden="1">#REF!</definedName>
    <definedName name="BOBCB33588A4614DF39553836F9E9B99A7" localSheetId="1" hidden="1">#REF!</definedName>
    <definedName name="BOBCB33588A4614DF39553836F9E9B99A7" hidden="1">#REF!</definedName>
    <definedName name="BOBCD1D56E09DB4DFAA7DB1D9A7130ED97" localSheetId="1" hidden="1">#REF!</definedName>
    <definedName name="BOBCD1D56E09DB4DFAA7DB1D9A7130ED97" hidden="1">#REF!</definedName>
    <definedName name="BOBCE6D0590F1F4A9BBA41EA7B159799C7" localSheetId="1" hidden="1">#REF!</definedName>
    <definedName name="BOBCE6D0590F1F4A9BBA41EA7B159799C7" hidden="1">#REF!</definedName>
    <definedName name="BOBCEF82B4A18646D583662D742CB2C342" localSheetId="1" hidden="1">#REF!</definedName>
    <definedName name="BOBCEF82B4A18646D583662D742CB2C342" hidden="1">#REF!</definedName>
    <definedName name="BOBD17A2C2D8F347BD99946B7CD678E633" localSheetId="1" hidden="1">#REF!</definedName>
    <definedName name="BOBD17A2C2D8F347BD99946B7CD678E633" hidden="1">#REF!</definedName>
    <definedName name="BOBD3418D3E6034A599B7DAEA5496D5FDE" localSheetId="1" hidden="1">#REF!</definedName>
    <definedName name="BOBD3418D3E6034A599B7DAEA5496D5FDE" hidden="1">#REF!</definedName>
    <definedName name="BOBD4AB5E2FE574DC99B097054215C9A1B" localSheetId="1" hidden="1">#REF!</definedName>
    <definedName name="BOBD4AB5E2FE574DC99B097054215C9A1B" hidden="1">#REF!</definedName>
    <definedName name="BOBD51A79D7FDA451D81D3D3FA930EF10E" localSheetId="1" hidden="1">#REF!</definedName>
    <definedName name="BOBD51A79D7FDA451D81D3D3FA930EF10E" hidden="1">#REF!</definedName>
    <definedName name="BOBDCBC5CEFC9147E19737AA97A932005B" localSheetId="1" hidden="1">#REF!</definedName>
    <definedName name="BOBDCBC5CEFC9147E19737AA97A932005B" hidden="1">#REF!</definedName>
    <definedName name="BOBDD7F3ADA3694C6E8F1CAE0F4BE4749B" localSheetId="1" hidden="1">#REF!</definedName>
    <definedName name="BOBDD7F3ADA3694C6E8F1CAE0F4BE4749B" hidden="1">#REF!</definedName>
    <definedName name="BOBDDDE587C0FE4B2BB4CA177ADFC0167B" localSheetId="1" hidden="1">#REF!</definedName>
    <definedName name="BOBDDDE587C0FE4B2BB4CA177ADFC0167B" hidden="1">#REF!</definedName>
    <definedName name="BOBE539086D02E49FCAA6D14E00A770963" localSheetId="1" hidden="1">#REF!</definedName>
    <definedName name="BOBE539086D02E49FCAA6D14E00A770963" hidden="1">#REF!</definedName>
    <definedName name="BOBE836A4F3D514C76A86E6929F69D34D2" localSheetId="1" hidden="1">#REF!</definedName>
    <definedName name="BOBE836A4F3D514C76A86E6929F69D34D2" hidden="1">#REF!</definedName>
    <definedName name="BOBE8F924DB3BC4F038EED0771BA85527D" localSheetId="1" hidden="1">#REF!</definedName>
    <definedName name="BOBE8F924DB3BC4F038EED0771BA85527D" hidden="1">#REF!</definedName>
    <definedName name="BOBE9E33F6E4374A1FA4BDFB49B0EC0372" localSheetId="1" hidden="1">#REF!</definedName>
    <definedName name="BOBE9E33F6E4374A1FA4BDFB49B0EC0372" hidden="1">#REF!</definedName>
    <definedName name="BOBEA7830841314FCDB7120FD70396E04B" localSheetId="1" hidden="1">#REF!</definedName>
    <definedName name="BOBEA7830841314FCDB7120FD70396E04B" hidden="1">#REF!</definedName>
    <definedName name="BOBEBC91AB89344689A508D7928603507D" localSheetId="1" hidden="1">#REF!</definedName>
    <definedName name="BOBEBC91AB89344689A508D7928603507D" hidden="1">#REF!</definedName>
    <definedName name="BOBEDB25FFFAF545899AA7025FE56C6C2F" localSheetId="1" hidden="1">#REF!</definedName>
    <definedName name="BOBEDB25FFFAF545899AA7025FE56C6C2F" hidden="1">#REF!</definedName>
    <definedName name="BOBEDF7874AE9D470FA8757B3FE1C5C49B" localSheetId="1" hidden="1">#REF!</definedName>
    <definedName name="BOBEDF7874AE9D470FA8757B3FE1C5C49B" hidden="1">#REF!</definedName>
    <definedName name="BOBF066253C59B4751B64F555F9CA9FFAF" localSheetId="1" hidden="1">#REF!</definedName>
    <definedName name="BOBF066253C59B4751B64F555F9CA9FFAF" hidden="1">#REF!</definedName>
    <definedName name="BOBF14B3CAA77F4CC1B3F7F20024F8A96A" localSheetId="1" hidden="1">#REF!</definedName>
    <definedName name="BOBF14B3CAA77F4CC1B3F7F20024F8A96A" hidden="1">#REF!</definedName>
    <definedName name="BOBF166ABC8C78432CA8BFD934BBE79972" localSheetId="1" hidden="1">#REF!</definedName>
    <definedName name="BOBF166ABC8C78432CA8BFD934BBE79972" hidden="1">#REF!</definedName>
    <definedName name="BOBF218951A49F4995BB917FB43DBD1E9A" localSheetId="1" hidden="1">#REF!</definedName>
    <definedName name="BOBF218951A49F4995BB917FB43DBD1E9A" hidden="1">#REF!</definedName>
    <definedName name="BOBF2EB7AC0C2E4E0C9817C4936D0FC1CA" localSheetId="1" hidden="1">#REF!</definedName>
    <definedName name="BOBF2EB7AC0C2E4E0C9817C4936D0FC1CA" hidden="1">#REF!</definedName>
    <definedName name="BOBF387716EA054B5A88F16E8D2F5071A2" localSheetId="1" hidden="1">#REF!</definedName>
    <definedName name="BOBF387716EA054B5A88F16E8D2F5071A2" hidden="1">#REF!</definedName>
    <definedName name="BOBF4988CD268949D4A253EEEA2B64894B" localSheetId="1" hidden="1">#REF!</definedName>
    <definedName name="BOBF4988CD268949D4A253EEEA2B64894B" hidden="1">#REF!</definedName>
    <definedName name="BOBF71F05A89BF45EA8C5D468675F75348" localSheetId="1" hidden="1">#REF!</definedName>
    <definedName name="BOBF71F05A89BF45EA8C5D468675F75348" hidden="1">#REF!</definedName>
    <definedName name="BOBF72A77C10CA4EB1AB2AE062D421AC07" localSheetId="1" hidden="1">#REF!</definedName>
    <definedName name="BOBF72A77C10CA4EB1AB2AE062D421AC07" hidden="1">#REF!</definedName>
    <definedName name="BOBF8216921A30407686F2EBD0638399EE" localSheetId="1" hidden="1">#REF!</definedName>
    <definedName name="BOBF8216921A30407686F2EBD0638399EE" hidden="1">#REF!</definedName>
    <definedName name="BOBF946EC04D3547D3BB1C2D55230B5FB2" localSheetId="1" hidden="1">#REF!</definedName>
    <definedName name="BOBF946EC04D3547D3BB1C2D55230B5FB2" hidden="1">#REF!</definedName>
    <definedName name="BOBFB6324E87F045BD9652F2FD4088F44D" localSheetId="1" hidden="1">#REF!</definedName>
    <definedName name="BOBFB6324E87F045BD9652F2FD4088F44D" hidden="1">#REF!</definedName>
    <definedName name="BOBFB9EA6C68994C4DA36158FCBD8427AF" localSheetId="1" hidden="1">#REF!</definedName>
    <definedName name="BOBFB9EA6C68994C4DA36158FCBD8427AF" hidden="1">#REF!</definedName>
    <definedName name="BOBFCE70D506DA4B6EB944A29AC6F839D9" localSheetId="1" hidden="1">#REF!</definedName>
    <definedName name="BOBFCE70D506DA4B6EB944A29AC6F839D9" hidden="1">#REF!</definedName>
    <definedName name="BOBFFDDF01966245CEAD50F02A4E5CFF2B" localSheetId="1" hidden="1">#REF!</definedName>
    <definedName name="BOBFFDDF01966245CEAD50F02A4E5CFF2B" hidden="1">#REF!</definedName>
    <definedName name="BOC029C03D489640C28C30B97E1E431499" localSheetId="1" hidden="1">#REF!</definedName>
    <definedName name="BOC029C03D489640C28C30B97E1E431499" hidden="1">#REF!</definedName>
    <definedName name="BOC03D34745BAC448FBC3B84E6F54C143B" localSheetId="1" hidden="1">#REF!</definedName>
    <definedName name="BOC03D34745BAC448FBC3B84E6F54C143B" hidden="1">#REF!</definedName>
    <definedName name="BOC083451CA9584C4B9FAD7385194CD451" localSheetId="1" hidden="1">#REF!</definedName>
    <definedName name="BOC083451CA9584C4B9FAD7385194CD451" hidden="1">#REF!</definedName>
    <definedName name="BOC09371D1F2E84BEEAD586C8440AF9E85" localSheetId="1" hidden="1">#REF!</definedName>
    <definedName name="BOC09371D1F2E84BEEAD586C8440AF9E85" hidden="1">#REF!</definedName>
    <definedName name="BOC107B6717B674C2EB1E24E70C8A2D78E" localSheetId="1" hidden="1">#REF!</definedName>
    <definedName name="BOC107B6717B674C2EB1E24E70C8A2D78E" hidden="1">#REF!</definedName>
    <definedName name="BOC1331A3748714271B2B009F21159B493" localSheetId="1" hidden="1">#REF!</definedName>
    <definedName name="BOC1331A3748714271B2B009F21159B493" hidden="1">#REF!</definedName>
    <definedName name="BOC1540D5EA63B44AAB228E5C3495F8EA1" localSheetId="1" hidden="1">#REF!</definedName>
    <definedName name="BOC1540D5EA63B44AAB228E5C3495F8EA1" hidden="1">#REF!</definedName>
    <definedName name="BOC15FB12785484F4FA926E3E4BA4FA48C" localSheetId="1" hidden="1">#REF!</definedName>
    <definedName name="BOC15FB12785484F4FA926E3E4BA4FA48C" hidden="1">#REF!</definedName>
    <definedName name="BOC1665FF270474C74A986A0655C0C97F8" localSheetId="1" hidden="1">#REF!</definedName>
    <definedName name="BOC1665FF270474C74A986A0655C0C97F8" hidden="1">#REF!</definedName>
    <definedName name="BOC1BF282BE1BE476088A0D359CD2ABE06" localSheetId="1" hidden="1">#REF!</definedName>
    <definedName name="BOC1BF282BE1BE476088A0D359CD2ABE06" hidden="1">#REF!</definedName>
    <definedName name="BOC1D51866C6B14E63851A380E2D581C14" localSheetId="1" hidden="1">#REF!</definedName>
    <definedName name="BOC1D51866C6B14E63851A380E2D581C14" hidden="1">#REF!</definedName>
    <definedName name="BOC1DD356020184557A3FA39220108A500" localSheetId="1" hidden="1">#REF!</definedName>
    <definedName name="BOC1DD356020184557A3FA39220108A500" hidden="1">#REF!</definedName>
    <definedName name="BOC1E3AFDEC6DE4B529A2CC02210E9AD12" localSheetId="1" hidden="1">#REF!</definedName>
    <definedName name="BOC1E3AFDEC6DE4B529A2CC02210E9AD12" hidden="1">#REF!</definedName>
    <definedName name="BOC1EB78BA40C6402384910947B22306F7" localSheetId="1" hidden="1">#REF!</definedName>
    <definedName name="BOC1EB78BA40C6402384910947B22306F7" hidden="1">#REF!</definedName>
    <definedName name="BOC20D6A8136474E8982B135F07AD78981" localSheetId="1" hidden="1">#REF!</definedName>
    <definedName name="BOC20D6A8136474E8982B135F07AD78981" hidden="1">#REF!</definedName>
    <definedName name="BOC2452160117D45398C90A3A74E219282" localSheetId="1" hidden="1">#REF!</definedName>
    <definedName name="BOC2452160117D45398C90A3A74E219282" hidden="1">#REF!</definedName>
    <definedName name="BOC25CA19C04EB461383765BC725F1A9C0" localSheetId="1" hidden="1">#REF!</definedName>
    <definedName name="BOC25CA19C04EB461383765BC725F1A9C0" hidden="1">#REF!</definedName>
    <definedName name="BOC2BD5FFDAEE6428485C3A37469FC06C9" localSheetId="1" hidden="1">#REF!</definedName>
    <definedName name="BOC2BD5FFDAEE6428485C3A37469FC06C9" hidden="1">#REF!</definedName>
    <definedName name="BOC30112A4C82B4FDB9A0BE4DE668F4582" localSheetId="1" hidden="1">#REF!</definedName>
    <definedName name="BOC30112A4C82B4FDB9A0BE4DE668F4582" hidden="1">#REF!</definedName>
    <definedName name="BOC343F21B6DD940F0A688481148243E9A" localSheetId="1" hidden="1">#REF!</definedName>
    <definedName name="BOC343F21B6DD940F0A688481148243E9A" hidden="1">#REF!</definedName>
    <definedName name="BOC3568EEBF2E1419EA9BEFDDFA241C67E" localSheetId="1" hidden="1">#REF!</definedName>
    <definedName name="BOC3568EEBF2E1419EA9BEFDDFA241C67E" hidden="1">#REF!</definedName>
    <definedName name="BOC35ADF6F14B948919BD25280A05E3AC1" localSheetId="1" hidden="1">#REF!</definedName>
    <definedName name="BOC35ADF6F14B948919BD25280A05E3AC1" hidden="1">#REF!</definedName>
    <definedName name="BOC365FC61CAF6449BB1865E7D5BCCE2C3" localSheetId="1" hidden="1">#REF!</definedName>
    <definedName name="BOC365FC61CAF6449BB1865E7D5BCCE2C3" hidden="1">#REF!</definedName>
    <definedName name="BOC39750E43B5B4EC892EABA56991C183A" localSheetId="1" hidden="1">#REF!</definedName>
    <definedName name="BOC39750E43B5B4EC892EABA56991C183A" hidden="1">#REF!</definedName>
    <definedName name="BOC3A2C5E32A78490FA02F0D6AFD24DFC0" localSheetId="1" hidden="1">#REF!</definedName>
    <definedName name="BOC3A2C5E32A78490FA02F0D6AFD24DFC0" hidden="1">#REF!</definedName>
    <definedName name="BOC3CBB290D163430A91DDA7599ED108F6" localSheetId="1" hidden="1">#REF!</definedName>
    <definedName name="BOC3CBB290D163430A91DDA7599ED108F6" hidden="1">#REF!</definedName>
    <definedName name="BOC438E5AB00C9410DAB817A8739F9C426" localSheetId="1" hidden="1">#REF!</definedName>
    <definedName name="BOC438E5AB00C9410DAB817A8739F9C426" hidden="1">#REF!</definedName>
    <definedName name="BOC43B69839854400A904778932A9E664F" localSheetId="1" hidden="1">#REF!</definedName>
    <definedName name="BOC43B69839854400A904778932A9E664F" hidden="1">#REF!</definedName>
    <definedName name="BOC4471151C06B43499A16E3B350A1CB30" localSheetId="1" hidden="1">#REF!</definedName>
    <definedName name="BOC4471151C06B43499A16E3B350A1CB30" hidden="1">#REF!</definedName>
    <definedName name="BOC482F327D8574379A20E908BC5EB2993" localSheetId="1" hidden="1">#REF!</definedName>
    <definedName name="BOC482F327D8574379A20E908BC5EB2993" hidden="1">#REF!</definedName>
    <definedName name="BOC49D30DCC91B4948B1B91B358D1BFDF4" localSheetId="1" hidden="1">#REF!</definedName>
    <definedName name="BOC49D30DCC91B4948B1B91B358D1BFDF4" hidden="1">#REF!</definedName>
    <definedName name="BOC4B00C308D204BE4B36D6D0F97F6EE83" localSheetId="1" hidden="1">#REF!</definedName>
    <definedName name="BOC4B00C308D204BE4B36D6D0F97F6EE83" hidden="1">#REF!</definedName>
    <definedName name="BOC4C301D63FB048DFBBB6C1766C1386B8" localSheetId="1" hidden="1">#REF!</definedName>
    <definedName name="BOC4C301D63FB048DFBBB6C1766C1386B8" hidden="1">#REF!</definedName>
    <definedName name="BOC511D83A0C974EF8AD8E92A38214A8D5" localSheetId="1" hidden="1">#REF!</definedName>
    <definedName name="BOC511D83A0C974EF8AD8E92A38214A8D5" hidden="1">#REF!</definedName>
    <definedName name="BOC522634DDC464314809CDF99493533FC" localSheetId="1" hidden="1">#REF!</definedName>
    <definedName name="BOC522634DDC464314809CDF99493533FC" hidden="1">#REF!</definedName>
    <definedName name="BOC551D7779FF74F4EB6CC609F3CB55CD9" localSheetId="1" hidden="1">#REF!</definedName>
    <definedName name="BOC551D7779FF74F4EB6CC609F3CB55CD9" hidden="1">#REF!</definedName>
    <definedName name="BOC551DE2E91D44244ADD2A1963C33F5E1" localSheetId="1" hidden="1">#REF!</definedName>
    <definedName name="BOC551DE2E91D44244ADD2A1963C33F5E1" hidden="1">#REF!</definedName>
    <definedName name="BOC57265C045CA450DBB172F33D90D9979" localSheetId="1" hidden="1">#REF!</definedName>
    <definedName name="BOC57265C045CA450DBB172F33D90D9979" hidden="1">#REF!</definedName>
    <definedName name="BOC594B4F835E7418D90F061F92E8FB202" localSheetId="1" hidden="1">#REF!</definedName>
    <definedName name="BOC594B4F835E7418D90F061F92E8FB202" hidden="1">#REF!</definedName>
    <definedName name="BOC5AAE40B455D4043B6078A525F8433B7" localSheetId="1" hidden="1">#REF!</definedName>
    <definedName name="BOC5AAE40B455D4043B6078A525F8433B7" hidden="1">#REF!</definedName>
    <definedName name="BOC5C310983B4A4E16AECA5B9C6C7341BA" localSheetId="1" hidden="1">#REF!</definedName>
    <definedName name="BOC5C310983B4A4E16AECA5B9C6C7341BA" hidden="1">#REF!</definedName>
    <definedName name="BOC611376B3C6C45C99450D1DCF9397302" localSheetId="1" hidden="1">#REF!</definedName>
    <definedName name="BOC611376B3C6C45C99450D1DCF9397302" hidden="1">#REF!</definedName>
    <definedName name="BOC612254B51284FEE866CB31C88AFD453" localSheetId="1" hidden="1">#REF!</definedName>
    <definedName name="BOC612254B51284FEE866CB31C88AFD453" hidden="1">#REF!</definedName>
    <definedName name="BOC61DAC29429047E49941643414EF43CB" localSheetId="1" hidden="1">#REF!</definedName>
    <definedName name="BOC61DAC29429047E49941643414EF43CB" hidden="1">#REF!</definedName>
    <definedName name="BOC6468585AB6A4AE28970E03B2C62231E" localSheetId="1" hidden="1">#REF!</definedName>
    <definedName name="BOC6468585AB6A4AE28970E03B2C62231E" hidden="1">#REF!</definedName>
    <definedName name="BOC65919DB60B64FFF93DB70579668EFC1" localSheetId="1" hidden="1">#REF!</definedName>
    <definedName name="BOC65919DB60B64FFF93DB70579668EFC1" hidden="1">#REF!</definedName>
    <definedName name="BOC659C53743D5499EADD2474C5A6BE0FB" localSheetId="1" hidden="1">#REF!</definedName>
    <definedName name="BOC659C53743D5499EADD2474C5A6BE0FB" hidden="1">#REF!</definedName>
    <definedName name="BOC6601207ADB74941835C10583405D57E" localSheetId="1" hidden="1">#REF!</definedName>
    <definedName name="BOC6601207ADB74941835C10583405D57E" hidden="1">#REF!</definedName>
    <definedName name="BOC6AF8DD1DEA34721BD0118E22F55322B" localSheetId="1" hidden="1">#REF!</definedName>
    <definedName name="BOC6AF8DD1DEA34721BD0118E22F55322B" hidden="1">#REF!</definedName>
    <definedName name="BOC720578C9E594CF695ACFADC24BF33A4" localSheetId="1" hidden="1">#REF!</definedName>
    <definedName name="BOC720578C9E594CF695ACFADC24BF33A4" hidden="1">#REF!</definedName>
    <definedName name="BOC72BB273A64E48D8828E544B36E74CCB" localSheetId="1" hidden="1">#REF!</definedName>
    <definedName name="BOC72BB273A64E48D8828E544B36E74CCB" hidden="1">#REF!</definedName>
    <definedName name="BOC7B274FF472245C2B140F67E5FD1665B" localSheetId="1" hidden="1">#REF!</definedName>
    <definedName name="BOC7B274FF472245C2B140F67E5FD1665B" hidden="1">#REF!</definedName>
    <definedName name="BOC7D2E11843E0453DB764C67C96D9ADF1" localSheetId="1" hidden="1">#REF!</definedName>
    <definedName name="BOC7D2E11843E0453DB764C67C96D9ADF1" hidden="1">#REF!</definedName>
    <definedName name="BOC809B7F8F4B14E208E5C54561FDB0F73" localSheetId="1" hidden="1">#REF!</definedName>
    <definedName name="BOC809B7F8F4B14E208E5C54561FDB0F73" hidden="1">#REF!</definedName>
    <definedName name="BOC812A08FFF08478E87D119AB81FAE120" localSheetId="1" hidden="1">#REF!</definedName>
    <definedName name="BOC812A08FFF08478E87D119AB81FAE120" hidden="1">#REF!</definedName>
    <definedName name="BOC8137838440B47DAAC1ED794C15C441F" localSheetId="1" hidden="1">#REF!</definedName>
    <definedName name="BOC8137838440B47DAAC1ED794C15C441F" hidden="1">#REF!</definedName>
    <definedName name="BOC8231C2E9D8D4406BEC83D6F992CA139" localSheetId="1" hidden="1">#REF!</definedName>
    <definedName name="BOC8231C2E9D8D4406BEC83D6F992CA139" hidden="1">#REF!</definedName>
    <definedName name="BOC869EDE25CC544CEA5A645A5E7A6B9AD" localSheetId="1" hidden="1">#REF!</definedName>
    <definedName name="BOC869EDE25CC544CEA5A645A5E7A6B9AD" hidden="1">#REF!</definedName>
    <definedName name="BOC87D3336154245E3827858692226AFA4" localSheetId="1" hidden="1">#REF!</definedName>
    <definedName name="BOC87D3336154245E3827858692226AFA4" hidden="1">#REF!</definedName>
    <definedName name="BOC896FC9D8F0841CAB1EA5A7E80358CCE" localSheetId="1" hidden="1">#REF!</definedName>
    <definedName name="BOC896FC9D8F0841CAB1EA5A7E80358CCE" hidden="1">#REF!</definedName>
    <definedName name="BOC89ECEB280F34A1B87031041C2CF7847" localSheetId="1" hidden="1">#REF!</definedName>
    <definedName name="BOC89ECEB280F34A1B87031041C2CF7847" hidden="1">#REF!</definedName>
    <definedName name="BOC8BC5627E1B34E0A8B05A4AAB8DD2DE8" localSheetId="1" hidden="1">#REF!</definedName>
    <definedName name="BOC8BC5627E1B34E0A8B05A4AAB8DD2DE8" hidden="1">#REF!</definedName>
    <definedName name="BOC8C22820924F41ED968636277E46E23C" localSheetId="1" hidden="1">#REF!</definedName>
    <definedName name="BOC8C22820924F41ED968636277E46E23C" hidden="1">#REF!</definedName>
    <definedName name="BOC8CE017DA77240AD9FD0EC7D16051AA6" localSheetId="1" hidden="1">#REF!</definedName>
    <definedName name="BOC8CE017DA77240AD9FD0EC7D16051AA6" hidden="1">#REF!</definedName>
    <definedName name="BOC8D9B846059147558F9CDF6DDE6F808E" localSheetId="1" hidden="1">#REF!</definedName>
    <definedName name="BOC8D9B846059147558F9CDF6DDE6F808E" hidden="1">#REF!</definedName>
    <definedName name="BOC8F24FC03F1147E9972C8D9D76295327" localSheetId="1" hidden="1">#REF!</definedName>
    <definedName name="BOC8F24FC03F1147E9972C8D9D76295327" hidden="1">#REF!</definedName>
    <definedName name="BOC9021DAEC8534AA88821959B876F2AB8" localSheetId="1" hidden="1">#REF!</definedName>
    <definedName name="BOC9021DAEC8534AA88821959B876F2AB8" hidden="1">#REF!</definedName>
    <definedName name="BOC9078726475D48768A4B800B228B8B8C" localSheetId="1" hidden="1">#REF!</definedName>
    <definedName name="BOC9078726475D48768A4B800B228B8B8C" hidden="1">#REF!</definedName>
    <definedName name="BOC92BDE64A88C4F4888056339739F0504" localSheetId="1" hidden="1">#REF!</definedName>
    <definedName name="BOC92BDE64A88C4F4888056339739F0504" hidden="1">#REF!</definedName>
    <definedName name="BOC93D76F627824034AADA8A9F13A2889A" localSheetId="1" hidden="1">#REF!</definedName>
    <definedName name="BOC93D76F627824034AADA8A9F13A2889A" hidden="1">#REF!</definedName>
    <definedName name="BOC9786DD1B39B43A0BD52CC797EB809F9" localSheetId="1" hidden="1">#REF!</definedName>
    <definedName name="BOC9786DD1B39B43A0BD52CC797EB809F9" hidden="1">#REF!</definedName>
    <definedName name="BOC979AF26AC844C15B0C4A390E47EDEFD" localSheetId="1" hidden="1">#REF!</definedName>
    <definedName name="BOC979AF26AC844C15B0C4A390E47EDEFD" hidden="1">#REF!</definedName>
    <definedName name="BOC98DCB7764E4486B867068ABA319D462" localSheetId="1" hidden="1">#REF!</definedName>
    <definedName name="BOC98DCB7764E4486B867068ABA319D462" hidden="1">#REF!</definedName>
    <definedName name="BOC9B43FE1F9D84461AFB00DB17BAEB487" localSheetId="1" hidden="1">#REF!</definedName>
    <definedName name="BOC9B43FE1F9D84461AFB00DB17BAEB487" hidden="1">#REF!</definedName>
    <definedName name="BOC9CF91C01B79495EB3EDF264630F3035" localSheetId="1" hidden="1">#REF!</definedName>
    <definedName name="BOC9CF91C01B79495EB3EDF264630F3035" hidden="1">#REF!</definedName>
    <definedName name="BOC9D043ABD5CB459188E6E3FD93946123" localSheetId="1" hidden="1">#REF!</definedName>
    <definedName name="BOC9D043ABD5CB459188E6E3FD93946123" hidden="1">#REF!</definedName>
    <definedName name="BOCA1F88327DEB4D2DBBA1D321DBFE4FA3" localSheetId="1" hidden="1">#REF!</definedName>
    <definedName name="BOCA1F88327DEB4D2DBBA1D321DBFE4FA3" hidden="1">#REF!</definedName>
    <definedName name="BOCA1FB259D8714151AA2B3C6AEA1F0770" localSheetId="1" hidden="1">#REF!</definedName>
    <definedName name="BOCA1FB259D8714151AA2B3C6AEA1F0770" hidden="1">#REF!</definedName>
    <definedName name="BOCA37046B007E407686AA5E82F7A8FFC7" localSheetId="1" hidden="1">#REF!</definedName>
    <definedName name="BOCA37046B007E407686AA5E82F7A8FFC7" hidden="1">#REF!</definedName>
    <definedName name="BOCA5133A1A0DD490591E8590A5076EDB5" localSheetId="1" hidden="1">#REF!</definedName>
    <definedName name="BOCA5133A1A0DD490591E8590A5076EDB5" hidden="1">#REF!</definedName>
    <definedName name="BOCA7ED576C19B404997CEB1F51D09DA13" localSheetId="1" hidden="1">#REF!</definedName>
    <definedName name="BOCA7ED576C19B404997CEB1F51D09DA13" hidden="1">#REF!</definedName>
    <definedName name="BOCAE778C3378D4DEA8C59D3D493F17D92" localSheetId="1" hidden="1">#REF!</definedName>
    <definedName name="BOCAE778C3378D4DEA8C59D3D493F17D92" hidden="1">#REF!</definedName>
    <definedName name="BOCB20F1B9F3C846A48126BE531FB918DF" localSheetId="1" hidden="1">#REF!</definedName>
    <definedName name="BOCB20F1B9F3C846A48126BE531FB918DF" hidden="1">#REF!</definedName>
    <definedName name="BOCB275BC87A58422EA0F9349C40EF7779" localSheetId="1" hidden="1">#REF!</definedName>
    <definedName name="BOCB275BC87A58422EA0F9349C40EF7779" hidden="1">#REF!</definedName>
    <definedName name="BOCBA1B95825D144B78E2D686F9E99757B" localSheetId="1" hidden="1">#REF!</definedName>
    <definedName name="BOCBA1B95825D144B78E2D686F9E99757B" hidden="1">#REF!</definedName>
    <definedName name="BOCBECE0B77CC842D393B20B9F944CEBB5" localSheetId="1" hidden="1">#REF!</definedName>
    <definedName name="BOCBECE0B77CC842D393B20B9F944CEBB5" hidden="1">#REF!</definedName>
    <definedName name="BOCBF59B6853AE4F78B44ECC74F3D6E9CA" localSheetId="1" hidden="1">#REF!</definedName>
    <definedName name="BOCBF59B6853AE4F78B44ECC74F3D6E9CA" hidden="1">#REF!</definedName>
    <definedName name="BOCBFAF1D642934F1D84D4B8F7579C0857" localSheetId="1" hidden="1">#REF!</definedName>
    <definedName name="BOCBFAF1D642934F1D84D4B8F7579C0857" hidden="1">#REF!</definedName>
    <definedName name="BOCC1EA691A78A4CF0974017D9802E6A50" localSheetId="1" hidden="1">#REF!</definedName>
    <definedName name="BOCC1EA691A78A4CF0974017D9802E6A50" hidden="1">#REF!</definedName>
    <definedName name="BOCC330219F2FA42238AA019FA4A7434C7" localSheetId="1" hidden="1">#REF!</definedName>
    <definedName name="BOCC330219F2FA42238AA019FA4A7434C7" hidden="1">#REF!</definedName>
    <definedName name="BOCC4E1F0139CA4CCE842276D221283B25" localSheetId="1" hidden="1">#REF!</definedName>
    <definedName name="BOCC4E1F0139CA4CCE842276D221283B25" hidden="1">#REF!</definedName>
    <definedName name="BOCC858C19D7F047F6ADFC5A40DFBF24A1" localSheetId="1" hidden="1">#REF!</definedName>
    <definedName name="BOCC858C19D7F047F6ADFC5A40DFBF24A1" hidden="1">#REF!</definedName>
    <definedName name="BOCCE1C932CCA344CE9ECE3EB0DD94638C" localSheetId="1" hidden="1">#REF!</definedName>
    <definedName name="BOCCE1C932CCA344CE9ECE3EB0DD94638C" hidden="1">#REF!</definedName>
    <definedName name="BOCD19B2F2E8774A589EFF3317FDB5225C" localSheetId="1" hidden="1">#REF!</definedName>
    <definedName name="BOCD19B2F2E8774A589EFF3317FDB5225C" hidden="1">#REF!</definedName>
    <definedName name="BOCD20F214D4AA41C281599C484FB99FDC" localSheetId="1" hidden="1">#REF!</definedName>
    <definedName name="BOCD20F214D4AA41C281599C484FB99FDC" hidden="1">#REF!</definedName>
    <definedName name="BOCD23F0C3BE5D4A57B07C7B46AAE9B586" localSheetId="1" hidden="1">#REF!</definedName>
    <definedName name="BOCD23F0C3BE5D4A57B07C7B46AAE9B586" hidden="1">#REF!</definedName>
    <definedName name="BOCD2C6B11CEED44B287F63EABF1C67668" localSheetId="1" hidden="1">#REF!</definedName>
    <definedName name="BOCD2C6B11CEED44B287F63EABF1C67668" hidden="1">#REF!</definedName>
    <definedName name="BOCD316364C89949588B6EA9EFB7EFED71" localSheetId="1" hidden="1">#REF!</definedName>
    <definedName name="BOCD316364C89949588B6EA9EFB7EFED71" hidden="1">#REF!</definedName>
    <definedName name="BOCD3E920BAE7C41B5B4C491D4AB8D55B6" localSheetId="1" hidden="1">#REF!</definedName>
    <definedName name="BOCD3E920BAE7C41B5B4C491D4AB8D55B6" hidden="1">#REF!</definedName>
    <definedName name="BOCD94EC8563CB4322AAB39F7BBEABB319" localSheetId="1" hidden="1">#REF!</definedName>
    <definedName name="BOCD94EC8563CB4322AAB39F7BBEABB319" hidden="1">#REF!</definedName>
    <definedName name="BOCD97881AE04342B9B58E7D82FD2B45E9" localSheetId="1" hidden="1">#REF!</definedName>
    <definedName name="BOCD97881AE04342B9B58E7D82FD2B45E9" hidden="1">#REF!</definedName>
    <definedName name="BOCDA9B7CBD5D9427E84053F8E38F252A0" localSheetId="1" hidden="1">#REF!</definedName>
    <definedName name="BOCDA9B7CBD5D9427E84053F8E38F252A0" hidden="1">#REF!</definedName>
    <definedName name="BOCDBD4F3A3DA349B2A9734E12B4FA4152" localSheetId="1" hidden="1">#REF!</definedName>
    <definedName name="BOCDBD4F3A3DA349B2A9734E12B4FA4152" hidden="1">#REF!</definedName>
    <definedName name="BOCDCDF8EF0E5646DAB0D5AEEACD436DBA" localSheetId="1" hidden="1">#REF!</definedName>
    <definedName name="BOCDCDF8EF0E5646DAB0D5AEEACD436DBA" hidden="1">#REF!</definedName>
    <definedName name="BOCDD9929C645542878E90D6D900B798EE" localSheetId="1" hidden="1">#REF!</definedName>
    <definedName name="BOCDD9929C645542878E90D6D900B798EE" hidden="1">#REF!</definedName>
    <definedName name="BOCDE7F75740B346FC9E55D667CD9EC425" localSheetId="1" hidden="1">#REF!</definedName>
    <definedName name="BOCDE7F75740B346FC9E55D667CD9EC425" hidden="1">#REF!</definedName>
    <definedName name="BOCDF00353D53047B6A4A85487D43B9AF1" localSheetId="1" hidden="1">#REF!</definedName>
    <definedName name="BOCDF00353D53047B6A4A85487D43B9AF1" hidden="1">#REF!</definedName>
    <definedName name="BOCE1431147F334E33B41B0302E1BD9519" localSheetId="1" hidden="1">#REF!</definedName>
    <definedName name="BOCE1431147F334E33B41B0302E1BD9519" hidden="1">#REF!</definedName>
    <definedName name="BOCE1BF69715794F4E87C7B791630E9EED" localSheetId="1" hidden="1">#REF!</definedName>
    <definedName name="BOCE1BF69715794F4E87C7B791630E9EED" hidden="1">#REF!</definedName>
    <definedName name="BOCE1D2212C92D4302ADFD62D5ACB65176" localSheetId="1" hidden="1">#REF!</definedName>
    <definedName name="BOCE1D2212C92D4302ADFD62D5ACB65176" hidden="1">#REF!</definedName>
    <definedName name="BOCE3F4651FC6D47F6888CAACD6B895BD6" localSheetId="1" hidden="1">#REF!</definedName>
    <definedName name="BOCE3F4651FC6D47F6888CAACD6B895BD6" hidden="1">#REF!</definedName>
    <definedName name="BOCE59D3DAB1844F599AC2D0EF7482C0ED" localSheetId="1" hidden="1">#REF!</definedName>
    <definedName name="BOCE59D3DAB1844F599AC2D0EF7482C0ED" hidden="1">#REF!</definedName>
    <definedName name="BOCEBE29A3E8094395A0CF9CD1AAA1D065" localSheetId="1" hidden="1">#REF!</definedName>
    <definedName name="BOCEBE29A3E8094395A0CF9CD1AAA1D065" hidden="1">#REF!</definedName>
    <definedName name="BOCED7368BDC814EA9977A0FC117CC1EEF" localSheetId="1" hidden="1">#REF!</definedName>
    <definedName name="BOCED7368BDC814EA9977A0FC117CC1EEF" hidden="1">#REF!</definedName>
    <definedName name="BOCF038B17D1434B6A86DE2821F3844C2A" localSheetId="1" hidden="1">#REF!</definedName>
    <definedName name="BOCF038B17D1434B6A86DE2821F3844C2A" hidden="1">#REF!</definedName>
    <definedName name="BOCF2CA454D7714DF7803655110854DC0F" localSheetId="1" hidden="1">#REF!</definedName>
    <definedName name="BOCF2CA454D7714DF7803655110854DC0F" hidden="1">#REF!</definedName>
    <definedName name="BOCF3D1CC14C5E4EFAA13121DC4E701CF2" localSheetId="1" hidden="1">#REF!</definedName>
    <definedName name="BOCF3D1CC14C5E4EFAA13121DC4E701CF2" hidden="1">#REF!</definedName>
    <definedName name="BOCF523EEE92D345E98BFF5F175FC3CF90" localSheetId="1" hidden="1">#REF!</definedName>
    <definedName name="BOCF523EEE92D345E98BFF5F175FC3CF90" hidden="1">#REF!</definedName>
    <definedName name="BOCF5983A1FADD40DAAC7E6892F1622A11" localSheetId="1" hidden="1">#REF!</definedName>
    <definedName name="BOCF5983A1FADD40DAAC7E6892F1622A11" hidden="1">#REF!</definedName>
    <definedName name="BOCF7C5B983CBF42DBBDD6CD92650B00B0" localSheetId="1" hidden="1">#REF!</definedName>
    <definedName name="BOCF7C5B983CBF42DBBDD6CD92650B00B0" hidden="1">#REF!</definedName>
    <definedName name="BOCF89873156A349CD99C522010DADF9FB" localSheetId="1" hidden="1">#REF!</definedName>
    <definedName name="BOCF89873156A349CD99C522010DADF9FB" hidden="1">#REF!</definedName>
    <definedName name="BOCF96717DA6014EDC80C3AA39BE91443A" localSheetId="1" hidden="1">#REF!</definedName>
    <definedName name="BOCF96717DA6014EDC80C3AA39BE91443A" hidden="1">#REF!</definedName>
    <definedName name="BOCFC28344B50E4F72945BC627F69A7D0D" localSheetId="1" hidden="1">#REF!</definedName>
    <definedName name="BOCFC28344B50E4F72945BC627F69A7D0D" hidden="1">#REF!</definedName>
    <definedName name="BOCFC5F04A27E646818E21BB31308C53B4" localSheetId="1" hidden="1">#REF!</definedName>
    <definedName name="BOCFC5F04A27E646818E21BB31308C53B4" hidden="1">#REF!</definedName>
    <definedName name="BOD03FD50591A1425293C16D8979726923" localSheetId="1" hidden="1">#REF!</definedName>
    <definedName name="BOD03FD50591A1425293C16D8979726923" hidden="1">#REF!</definedName>
    <definedName name="BOD0447A1F84A848AE8FE0265DA4E43469" localSheetId="1" hidden="1">#REF!</definedName>
    <definedName name="BOD0447A1F84A848AE8FE0265DA4E43469" hidden="1">#REF!</definedName>
    <definedName name="BOD049906584524697915E494D82ABEA6C" localSheetId="1" hidden="1">#REF!</definedName>
    <definedName name="BOD049906584524697915E494D82ABEA6C" hidden="1">#REF!</definedName>
    <definedName name="BOD0ACCA99C91345F482A513BFCE9186E0" localSheetId="1" hidden="1">#REF!</definedName>
    <definedName name="BOD0ACCA99C91345F482A513BFCE9186E0" hidden="1">#REF!</definedName>
    <definedName name="BOD0CE909846AF4B5C93B759B9FE505ADE" localSheetId="1" hidden="1">#REF!</definedName>
    <definedName name="BOD0CE909846AF4B5C93B759B9FE505ADE" hidden="1">#REF!</definedName>
    <definedName name="BOD129B1AAD1A8454A988FD077660E0746" localSheetId="1" hidden="1">#REF!</definedName>
    <definedName name="BOD129B1AAD1A8454A988FD077660E0746" hidden="1">#REF!</definedName>
    <definedName name="BOD1571EBC9EFC4719B17E00444AC145C8" localSheetId="1" hidden="1">#REF!</definedName>
    <definedName name="BOD1571EBC9EFC4719B17E00444AC145C8" hidden="1">#REF!</definedName>
    <definedName name="BOD16D4E30F94E4951AB3786D1D961D3FE" localSheetId="1" hidden="1">#REF!</definedName>
    <definedName name="BOD16D4E30F94E4951AB3786D1D961D3FE" hidden="1">#REF!</definedName>
    <definedName name="BOD19EE91F5D99468F9C79D62A64548F42" localSheetId="1" hidden="1">#REF!</definedName>
    <definedName name="BOD19EE91F5D99468F9C79D62A64548F42" hidden="1">#REF!</definedName>
    <definedName name="BOD1D5BE4C0FB24EE798AA74F90F407A1A" localSheetId="1" hidden="1">#REF!</definedName>
    <definedName name="BOD1D5BE4C0FB24EE798AA74F90F407A1A" hidden="1">#REF!</definedName>
    <definedName name="BOD1F9357DA9A64BF5B6306A06275A8872" localSheetId="1" hidden="1">#REF!</definedName>
    <definedName name="BOD1F9357DA9A64BF5B6306A06275A8872" hidden="1">#REF!</definedName>
    <definedName name="BOD211DE122DB3497AB5D76A1542188482" localSheetId="1" hidden="1">#REF!</definedName>
    <definedName name="BOD211DE122DB3497AB5D76A1542188482" hidden="1">#REF!</definedName>
    <definedName name="BOD22B62E0D3D9450598F759030DDF895E" localSheetId="1" hidden="1">#REF!</definedName>
    <definedName name="BOD22B62E0D3D9450598F759030DDF895E" hidden="1">#REF!</definedName>
    <definedName name="BOD230302E244347D0800B1FE794A98043" localSheetId="1" hidden="1">#REF!</definedName>
    <definedName name="BOD230302E244347D0800B1FE794A98043" hidden="1">#REF!</definedName>
    <definedName name="BOD2367E7BD60547E68E9D20C429DC1536" localSheetId="1" hidden="1">#REF!</definedName>
    <definedName name="BOD2367E7BD60547E68E9D20C429DC1536" hidden="1">#REF!</definedName>
    <definedName name="BOD2974288C8344CB9981C0B5A2E924BBC" localSheetId="1" hidden="1">#REF!</definedName>
    <definedName name="BOD2974288C8344CB9981C0B5A2E924BBC" hidden="1">#REF!</definedName>
    <definedName name="BOD30584112A9549E48949A93D8039E4F6" localSheetId="1" hidden="1">#REF!</definedName>
    <definedName name="BOD30584112A9549E48949A93D8039E4F6" hidden="1">#REF!</definedName>
    <definedName name="BOD307E5F479264767B463B99E251AE3B1" localSheetId="1" hidden="1">#REF!</definedName>
    <definedName name="BOD307E5F479264767B463B99E251AE3B1" hidden="1">#REF!</definedName>
    <definedName name="BOD362591848624AB7BE2C8B3AAD7614EC" localSheetId="1" hidden="1">#REF!</definedName>
    <definedName name="BOD362591848624AB7BE2C8B3AAD7614EC" hidden="1">#REF!</definedName>
    <definedName name="BOD3B4567942A74870ACFA86C24659E392" localSheetId="1" hidden="1">#REF!</definedName>
    <definedName name="BOD3B4567942A74870ACFA86C24659E392" hidden="1">#REF!</definedName>
    <definedName name="BOD3C8E760EBF4481FA1151651A2CE45F5" localSheetId="1" hidden="1">#REF!</definedName>
    <definedName name="BOD3C8E760EBF4481FA1151651A2CE45F5" hidden="1">#REF!</definedName>
    <definedName name="BOD3D164D82A744D349944A2A4C12AC6C2" localSheetId="1" hidden="1">#REF!</definedName>
    <definedName name="BOD3D164D82A744D349944A2A4C12AC6C2" hidden="1">#REF!</definedName>
    <definedName name="BOD3D705DAB5324AE6A0460FD1B8021FD2" localSheetId="1" hidden="1">#REF!</definedName>
    <definedName name="BOD3D705DAB5324AE6A0460FD1B8021FD2" hidden="1">#REF!</definedName>
    <definedName name="BOD404D5F4D6104339BA3ACB5CB4FD091A" localSheetId="1" hidden="1">#REF!</definedName>
    <definedName name="BOD404D5F4D6104339BA3ACB5CB4FD091A" hidden="1">#REF!</definedName>
    <definedName name="BOD475444D2F7646A1932BB6C5A1117279" localSheetId="1" hidden="1">#REF!</definedName>
    <definedName name="BOD475444D2F7646A1932BB6C5A1117279" hidden="1">#REF!</definedName>
    <definedName name="BOD484ECF67C214C179402F1A9DB88B556" localSheetId="1" hidden="1">#REF!</definedName>
    <definedName name="BOD484ECF67C214C179402F1A9DB88B556" hidden="1">#REF!</definedName>
    <definedName name="BOD4B8AEC8EB9B455EBC82ADE84BFE1969" localSheetId="1" hidden="1">#REF!</definedName>
    <definedName name="BOD4B8AEC8EB9B455EBC82ADE84BFE1969" hidden="1">#REF!</definedName>
    <definedName name="BOD4C2216847B647D8B4D3A0954B6CB148" localSheetId="1" hidden="1">#REF!</definedName>
    <definedName name="BOD4C2216847B647D8B4D3A0954B6CB148" hidden="1">#REF!</definedName>
    <definedName name="BOD4C74FD8D1C64510899C02AFBA21037D" localSheetId="1" hidden="1">#REF!</definedName>
    <definedName name="BOD4C74FD8D1C64510899C02AFBA21037D" hidden="1">#REF!</definedName>
    <definedName name="BOD4F0099CA2E5413C90FDBEAE610F6613" localSheetId="1" hidden="1">#REF!</definedName>
    <definedName name="BOD4F0099CA2E5413C90FDBEAE610F6613" hidden="1">#REF!</definedName>
    <definedName name="BOD4F78C2E32CE40AEB95B29DBD0B9E6A8" localSheetId="1" hidden="1">#REF!</definedName>
    <definedName name="BOD4F78C2E32CE40AEB95B29DBD0B9E6A8" hidden="1">#REF!</definedName>
    <definedName name="BOD56983E5837D4255991E6CB791DEA783" localSheetId="1" hidden="1">#REF!</definedName>
    <definedName name="BOD56983E5837D4255991E6CB791DEA783" hidden="1">#REF!</definedName>
    <definedName name="BOD589C64A18FB4E39808CD1A9801D9FF1" localSheetId="1" hidden="1">#REF!</definedName>
    <definedName name="BOD589C64A18FB4E39808CD1A9801D9FF1" hidden="1">#REF!</definedName>
    <definedName name="BOD5A1654692584EBD9A4C27B60244E347" localSheetId="1" hidden="1">#REF!</definedName>
    <definedName name="BOD5A1654692584EBD9A4C27B60244E347" hidden="1">#REF!</definedName>
    <definedName name="BOD5AC6DCB5AFB4CAB92836B1090B745A2" localSheetId="1" hidden="1">#REF!</definedName>
    <definedName name="BOD5AC6DCB5AFB4CAB92836B1090B745A2" hidden="1">#REF!</definedName>
    <definedName name="BOD5B944D7D611407DBE1C2E9AD4B12423" localSheetId="1" hidden="1">#REF!</definedName>
    <definedName name="BOD5B944D7D611407DBE1C2E9AD4B12423" hidden="1">#REF!</definedName>
    <definedName name="BOD5BA562CEF6B4E8593C7650256496875" localSheetId="1" hidden="1">#REF!</definedName>
    <definedName name="BOD5BA562CEF6B4E8593C7650256496875" hidden="1">#REF!</definedName>
    <definedName name="BOD5F38165B4F64CCEAE1233F99E1C1D10" localSheetId="1" hidden="1">#REF!</definedName>
    <definedName name="BOD5F38165B4F64CCEAE1233F99E1C1D10" hidden="1">#REF!</definedName>
    <definedName name="BOD6000BBE6ADA4F37B41FCA2EA4794054" localSheetId="1" hidden="1">#REF!</definedName>
    <definedName name="BOD6000BBE6ADA4F37B41FCA2EA4794054" hidden="1">#REF!</definedName>
    <definedName name="BOD6091EBE9E4D4E7088A85736BE77FBC4" localSheetId="1" hidden="1">#REF!</definedName>
    <definedName name="BOD6091EBE9E4D4E7088A85736BE77FBC4" hidden="1">#REF!</definedName>
    <definedName name="BOD6093DB2F42544739F3F0BC6B185776E" localSheetId="1" hidden="1">#REF!</definedName>
    <definedName name="BOD6093DB2F42544739F3F0BC6B185776E" hidden="1">#REF!</definedName>
    <definedName name="BOD666E0EA748C4906A50FDE186DC7A343" localSheetId="1" hidden="1">#REF!</definedName>
    <definedName name="BOD666E0EA748C4906A50FDE186DC7A343" hidden="1">#REF!</definedName>
    <definedName name="BOD689611FA42248308D3AEC62500BF17E" localSheetId="1" hidden="1">#REF!</definedName>
    <definedName name="BOD689611FA42248308D3AEC62500BF17E" hidden="1">#REF!</definedName>
    <definedName name="BOD6C2AF20BFCC436F8212AE446F7FBF3F" localSheetId="1" hidden="1">#REF!</definedName>
    <definedName name="BOD6C2AF20BFCC436F8212AE446F7FBF3F" hidden="1">#REF!</definedName>
    <definedName name="BOD6F75FC25E2D470E8DEA7A2C735F8787" localSheetId="1" hidden="1">#REF!</definedName>
    <definedName name="BOD6F75FC25E2D470E8DEA7A2C735F8787" hidden="1">#REF!</definedName>
    <definedName name="BOD7117E6358C242E3A1E99B0A14C7E296" localSheetId="1" hidden="1">#REF!</definedName>
    <definedName name="BOD7117E6358C242E3A1E99B0A14C7E296" hidden="1">#REF!</definedName>
    <definedName name="BOD7359D4D72344971A55B6DE10166EC3A" localSheetId="1" hidden="1">#REF!</definedName>
    <definedName name="BOD7359D4D72344971A55B6DE10166EC3A" hidden="1">#REF!</definedName>
    <definedName name="BOD74816BF53604C1A8EBE7794E78C6157" localSheetId="1" hidden="1">#REF!</definedName>
    <definedName name="BOD74816BF53604C1A8EBE7794E78C6157" hidden="1">#REF!</definedName>
    <definedName name="BOD75E9FD91EEB4991967840667D14ADE1" localSheetId="1" hidden="1">#REF!</definedName>
    <definedName name="BOD75E9FD91EEB4991967840667D14ADE1" hidden="1">#REF!</definedName>
    <definedName name="BOD76C4C62ED6349BA82C6E762885F9C42" localSheetId="1" hidden="1">#REF!</definedName>
    <definedName name="BOD76C4C62ED6349BA82C6E762885F9C42" hidden="1">#REF!</definedName>
    <definedName name="BOD7827679259E487A82EFBD97FB249CE4" localSheetId="1" hidden="1">#REF!</definedName>
    <definedName name="BOD7827679259E487A82EFBD97FB249CE4" hidden="1">#REF!</definedName>
    <definedName name="BOD7A20F011DC3496F8EABD9053412155F" localSheetId="1" hidden="1">#REF!</definedName>
    <definedName name="BOD7A20F011DC3496F8EABD9053412155F" hidden="1">#REF!</definedName>
    <definedName name="BOD7D258278B4E4E4AA509D9197261A0B6" localSheetId="1" hidden="1">#REF!</definedName>
    <definedName name="BOD7D258278B4E4E4AA509D9197261A0B6" hidden="1">#REF!</definedName>
    <definedName name="BOD7D4711B87494F72B9462DABAD2DC16A" localSheetId="1" hidden="1">#REF!</definedName>
    <definedName name="BOD7D4711B87494F72B9462DABAD2DC16A" hidden="1">#REF!</definedName>
    <definedName name="BOD7D61BB333884A59A2C1D33A88CD9F47" localSheetId="1" hidden="1">#REF!</definedName>
    <definedName name="BOD7D61BB333884A59A2C1D33A88CD9F47" hidden="1">#REF!</definedName>
    <definedName name="BOD7DA78831B7D48AE8E9730BE01D093B4" localSheetId="1" hidden="1">#REF!</definedName>
    <definedName name="BOD7DA78831B7D48AE8E9730BE01D093B4" hidden="1">#REF!</definedName>
    <definedName name="BOD829974450B945C5A22B9631131E3E46" localSheetId="1" hidden="1">#REF!</definedName>
    <definedName name="BOD829974450B945C5A22B9631131E3E46" hidden="1">#REF!</definedName>
    <definedName name="BOD850650076FB4BE9871891647862E226" localSheetId="1" hidden="1">#REF!</definedName>
    <definedName name="BOD850650076FB4BE9871891647862E226" hidden="1">#REF!</definedName>
    <definedName name="BOD86240FF503D4482871F210F78E6EAF1" localSheetId="1" hidden="1">#REF!</definedName>
    <definedName name="BOD86240FF503D4482871F210F78E6EAF1" hidden="1">#REF!</definedName>
    <definedName name="BOD8667399EA71405F87B99EFA114442CA" localSheetId="1" hidden="1">#REF!</definedName>
    <definedName name="BOD8667399EA71405F87B99EFA114442CA" hidden="1">#REF!</definedName>
    <definedName name="BOD874E9B7452B43E3896CE7DCCA6B8098" localSheetId="1" hidden="1">#REF!</definedName>
    <definedName name="BOD874E9B7452B43E3896CE7DCCA6B8098" hidden="1">#REF!</definedName>
    <definedName name="BOD87AF798F4114AAE832DA72E182DC955" localSheetId="1" hidden="1">#REF!</definedName>
    <definedName name="BOD87AF798F4114AAE832DA72E182DC955" hidden="1">#REF!</definedName>
    <definedName name="BOD89421961BB04B30A18D09156E068BB7" localSheetId="1" hidden="1">#REF!</definedName>
    <definedName name="BOD89421961BB04B30A18D09156E068BB7" hidden="1">#REF!</definedName>
    <definedName name="BOD8F132C61D834425A5AB58E021D51B78" localSheetId="1" hidden="1">#REF!</definedName>
    <definedName name="BOD8F132C61D834425A5AB58E021D51B78" hidden="1">#REF!</definedName>
    <definedName name="BOD9075F94CA5E4DF49026448EF16C6BC2" localSheetId="1" hidden="1">#REF!</definedName>
    <definedName name="BOD9075F94CA5E4DF49026448EF16C6BC2" hidden="1">#REF!</definedName>
    <definedName name="BOD932BB85A2EA4DE7821393AA49C1C395" localSheetId="1" hidden="1">#REF!</definedName>
    <definedName name="BOD932BB85A2EA4DE7821393AA49C1C395" hidden="1">#REF!</definedName>
    <definedName name="BOD943A115A65C44929A9117010923227D" localSheetId="1" hidden="1">#REF!</definedName>
    <definedName name="BOD943A115A65C44929A9117010923227D" hidden="1">#REF!</definedName>
    <definedName name="BOD9559A9C37E4433E9A2515161293F207" localSheetId="1" hidden="1">#REF!</definedName>
    <definedName name="BOD9559A9C37E4433E9A2515161293F207" hidden="1">#REF!</definedName>
    <definedName name="BOD95A4F3C7E5643819BB2404D8D3C844B" localSheetId="1" hidden="1">#REF!</definedName>
    <definedName name="BOD95A4F3C7E5643819BB2404D8D3C844B" hidden="1">#REF!</definedName>
    <definedName name="BOD96324D7AA0D403DA0608422F8714591" localSheetId="1" hidden="1">#REF!</definedName>
    <definedName name="BOD96324D7AA0D403DA0608422F8714591" hidden="1">#REF!</definedName>
    <definedName name="BOD96AF82529F54504A665EA4AEF6C316F" localSheetId="1" hidden="1">#REF!</definedName>
    <definedName name="BOD96AF82529F54504A665EA4AEF6C316F" hidden="1">#REF!</definedName>
    <definedName name="BOD96E3FB0F08B4BA793D580A9BB11918A" localSheetId="1" hidden="1">#REF!</definedName>
    <definedName name="BOD96E3FB0F08B4BA793D580A9BB11918A" hidden="1">#REF!</definedName>
    <definedName name="BOD985D8DFEF844A22A4066793823C10D6" localSheetId="1" hidden="1">#REF!</definedName>
    <definedName name="BOD985D8DFEF844A22A4066793823C10D6" hidden="1">#REF!</definedName>
    <definedName name="BOD99A1BF81C5B41C8AE446A73B518337B" localSheetId="1" hidden="1">#REF!</definedName>
    <definedName name="BOD99A1BF81C5B41C8AE446A73B518337B" hidden="1">#REF!</definedName>
    <definedName name="BOD99BCDC70C184DDFAF6D60D7C6E5517B" localSheetId="1" hidden="1">#REF!</definedName>
    <definedName name="BOD99BCDC70C184DDFAF6D60D7C6E5517B" hidden="1">#REF!</definedName>
    <definedName name="BOD9A42C58406D4E608CC8FCBA4AFB85CF" localSheetId="1" hidden="1">#REF!</definedName>
    <definedName name="BOD9A42C58406D4E608CC8FCBA4AFB85CF" hidden="1">#REF!</definedName>
    <definedName name="BODA375714EEA345AB87E9DFF80B6A4F21" localSheetId="1" hidden="1">#REF!</definedName>
    <definedName name="BODA375714EEA345AB87E9DFF80B6A4F21" hidden="1">#REF!</definedName>
    <definedName name="BODA43B8E6CC44409AB32EDA5EC1C2D534" localSheetId="1" hidden="1">#REF!</definedName>
    <definedName name="BODA43B8E6CC44409AB32EDA5EC1C2D534" hidden="1">#REF!</definedName>
    <definedName name="BODA4BB33FF9E64FF5820E7F9B0AA4D353" localSheetId="1" hidden="1">#REF!</definedName>
    <definedName name="BODA4BB33FF9E64FF5820E7F9B0AA4D353" hidden="1">#REF!</definedName>
    <definedName name="BODA5A40D6E6F14474A347255EB2CE0830" localSheetId="1" hidden="1">#REF!</definedName>
    <definedName name="BODA5A40D6E6F14474A347255EB2CE0830" hidden="1">#REF!</definedName>
    <definedName name="BODA7B6ECB5BD9411FA5F149FBD6A417D8" localSheetId="1" hidden="1">#REF!</definedName>
    <definedName name="BODA7B6ECB5BD9411FA5F149FBD6A417D8" hidden="1">#REF!</definedName>
    <definedName name="BODA96815803994119B481057BFF9E1AFA" localSheetId="1" hidden="1">#REF!</definedName>
    <definedName name="BODA96815803994119B481057BFF9E1AFA" hidden="1">#REF!</definedName>
    <definedName name="BODADA2F4581F642CE9110CA83D2F68CC5" localSheetId="1" hidden="1">#REF!</definedName>
    <definedName name="BODADA2F4581F642CE9110CA83D2F68CC5" hidden="1">#REF!</definedName>
    <definedName name="BODAFE33F3F0F24DF68180B0C5FACF094E" localSheetId="1" hidden="1">#REF!</definedName>
    <definedName name="BODAFE33F3F0F24DF68180B0C5FACF094E" hidden="1">#REF!</definedName>
    <definedName name="BODAFE438D2A524D94896C2A23B0EBD390" localSheetId="1" hidden="1">#REF!</definedName>
    <definedName name="BODAFE438D2A524D94896C2A23B0EBD390" hidden="1">#REF!</definedName>
    <definedName name="BODB51402C13E54FD9ACD87EBAAB07CBAD" localSheetId="1" hidden="1">#REF!</definedName>
    <definedName name="BODB51402C13E54FD9ACD87EBAAB07CBAD" hidden="1">#REF!</definedName>
    <definedName name="BODB6D0286CAFA43D0B1FF4F03C3CCED95" localSheetId="1" hidden="1">#REF!</definedName>
    <definedName name="BODB6D0286CAFA43D0B1FF4F03C3CCED95" hidden="1">#REF!</definedName>
    <definedName name="BODB8D1BF6E5DA4A67AC16C08B05DABAF3" localSheetId="1" hidden="1">#REF!</definedName>
    <definedName name="BODB8D1BF6E5DA4A67AC16C08B05DABAF3" hidden="1">#REF!</definedName>
    <definedName name="BODBA61B9A973B4DBF80DAFFCFA52A46F7" localSheetId="1" hidden="1">#REF!</definedName>
    <definedName name="BODBA61B9A973B4DBF80DAFFCFA52A46F7" hidden="1">#REF!</definedName>
    <definedName name="BODBC3E114B6BA433B95744F76179805E1" localSheetId="1" hidden="1">#REF!</definedName>
    <definedName name="BODBC3E114B6BA433B95744F76179805E1" hidden="1">#REF!</definedName>
    <definedName name="BODBD351D67E7342638656268F62E3FEAD" localSheetId="1" hidden="1">#REF!</definedName>
    <definedName name="BODBD351D67E7342638656268F62E3FEAD" hidden="1">#REF!</definedName>
    <definedName name="BODC12D5C9AE1345F38FFB7CC8A3BE043C" localSheetId="1" hidden="1">#REF!</definedName>
    <definedName name="BODC12D5C9AE1345F38FFB7CC8A3BE043C" hidden="1">#REF!</definedName>
    <definedName name="BODC2F0323AD924436ABFB4D23525B29AF" localSheetId="1" hidden="1">#REF!</definedName>
    <definedName name="BODC2F0323AD924436ABFB4D23525B29AF" hidden="1">#REF!</definedName>
    <definedName name="BODC342A3652B944F09E1FCD60DF1F133D" localSheetId="1" hidden="1">#REF!</definedName>
    <definedName name="BODC342A3652B944F09E1FCD60DF1F133D" hidden="1">#REF!</definedName>
    <definedName name="BODC35D2D9197948F5B41EF4D2CE5E8576" localSheetId="1" hidden="1">#REF!</definedName>
    <definedName name="BODC35D2D9197948F5B41EF4D2CE5E8576" hidden="1">#REF!</definedName>
    <definedName name="BODC43C42893F5471992092AACDD77C08F" localSheetId="1" hidden="1">#REF!</definedName>
    <definedName name="BODC43C42893F5471992092AACDD77C08F" hidden="1">#REF!</definedName>
    <definedName name="BODCDC60E0DAE14E1A87E177A39424DBBA" localSheetId="1" hidden="1">#REF!</definedName>
    <definedName name="BODCDC60E0DAE14E1A87E177A39424DBBA" hidden="1">#REF!</definedName>
    <definedName name="BODCF9B3C3B64847C5B7AA49E141E8367F" localSheetId="1" hidden="1">#REF!</definedName>
    <definedName name="BODCF9B3C3B64847C5B7AA49E141E8367F" hidden="1">#REF!</definedName>
    <definedName name="BODD55D711679540EBA8B4626BAFC0C961" localSheetId="1" hidden="1">#REF!</definedName>
    <definedName name="BODD55D711679540EBA8B4626BAFC0C961" hidden="1">#REF!</definedName>
    <definedName name="BODD87356B32F3448BA7F6D80C4681836A" localSheetId="1" hidden="1">#REF!</definedName>
    <definedName name="BODD87356B32F3448BA7F6D80C4681836A" hidden="1">#REF!</definedName>
    <definedName name="BODD912D5833004681A88D2F9EF257B7C0" localSheetId="1" hidden="1">#REF!</definedName>
    <definedName name="BODD912D5833004681A88D2F9EF257B7C0" hidden="1">#REF!</definedName>
    <definedName name="BODD9480E3CACE4F268ADF8A4111607E56" localSheetId="1" hidden="1">#REF!</definedName>
    <definedName name="BODD9480E3CACE4F268ADF8A4111607E56" hidden="1">#REF!</definedName>
    <definedName name="BODDA82180A02945AABDD7BADBD4BB12C4" localSheetId="1" hidden="1">#REF!</definedName>
    <definedName name="BODDA82180A02945AABDD7BADBD4BB12C4" hidden="1">#REF!</definedName>
    <definedName name="BODDC65C1306484FAD8C5B5098B18FA369" localSheetId="1" hidden="1">#REF!</definedName>
    <definedName name="BODDC65C1306484FAD8C5B5098B18FA369" hidden="1">#REF!</definedName>
    <definedName name="BODDE486C3BA604263A250727A6C11879D" localSheetId="1" hidden="1">#REF!</definedName>
    <definedName name="BODDE486C3BA604263A250727A6C11879D" hidden="1">#REF!</definedName>
    <definedName name="BODDEFC0D0572B4042AB60AB186BB501E7" localSheetId="1" hidden="1">#REF!</definedName>
    <definedName name="BODDEFC0D0572B4042AB60AB186BB501E7" hidden="1">#REF!</definedName>
    <definedName name="BODE40BF5CBE26430282B79A6769A9E4EE" localSheetId="1" hidden="1">#REF!</definedName>
    <definedName name="BODE40BF5CBE26430282B79A6769A9E4EE" hidden="1">#REF!</definedName>
    <definedName name="BODE768A9B2D54461F9A71EC094B8BFEA9" localSheetId="1" hidden="1">#REF!</definedName>
    <definedName name="BODE768A9B2D54461F9A71EC094B8BFEA9" hidden="1">#REF!</definedName>
    <definedName name="BODE811A6228654F54939A745212057316" localSheetId="1" hidden="1">#REF!</definedName>
    <definedName name="BODE811A6228654F54939A745212057316" hidden="1">#REF!</definedName>
    <definedName name="BODE89B1DA731A4454A01E45129D52F892" localSheetId="1" hidden="1">#REF!</definedName>
    <definedName name="BODE89B1DA731A4454A01E45129D52F892" hidden="1">#REF!</definedName>
    <definedName name="BODE9072EB3BFB4B1C92C8FCDBBE8360D7" localSheetId="1" hidden="1">#REF!</definedName>
    <definedName name="BODE9072EB3BFB4B1C92C8FCDBBE8360D7" hidden="1">#REF!</definedName>
    <definedName name="BODECEBD48E9604A83A10F1F22350794BF" localSheetId="1" hidden="1">#REF!</definedName>
    <definedName name="BODECEBD48E9604A83A10F1F22350794BF" hidden="1">#REF!</definedName>
    <definedName name="BODEF3253214EB42739241C6059132B79D" localSheetId="1" hidden="1">#REF!</definedName>
    <definedName name="BODEF3253214EB42739241C6059132B79D" hidden="1">#REF!</definedName>
    <definedName name="BODF01B683526347E0ACBE5A579DBFCF9C" localSheetId="1" hidden="1">#REF!</definedName>
    <definedName name="BODF01B683526347E0ACBE5A579DBFCF9C" hidden="1">#REF!</definedName>
    <definedName name="BODF073AE731E849BDACD3A7E9DA3E9CE6" localSheetId="1" hidden="1">#REF!</definedName>
    <definedName name="BODF073AE731E849BDACD3A7E9DA3E9CE6" hidden="1">#REF!</definedName>
    <definedName name="BODF094FBD134141929A57AFD3107DEBE1" localSheetId="1" hidden="1">#REF!</definedName>
    <definedName name="BODF094FBD134141929A57AFD3107DEBE1" hidden="1">#REF!</definedName>
    <definedName name="BODF744399BFC0430AA3F357277380EE88" localSheetId="1" hidden="1">#REF!</definedName>
    <definedName name="BODF744399BFC0430AA3F357277380EE88" hidden="1">#REF!</definedName>
    <definedName name="BODFB578F516AA465893C1FE1B2B12D366" localSheetId="1" hidden="1">#REF!</definedName>
    <definedName name="BODFB578F516AA465893C1FE1B2B12D366" hidden="1">#REF!</definedName>
    <definedName name="BOE006847D0A6D4D4D8D2533E19C49D667" localSheetId="1" hidden="1">#REF!</definedName>
    <definedName name="BOE006847D0A6D4D4D8D2533E19C49D667" hidden="1">#REF!</definedName>
    <definedName name="BOE006ED9E20C3444F8CEAF6E03763551D" localSheetId="1" hidden="1">#REF!</definedName>
    <definedName name="BOE006ED9E20C3444F8CEAF6E03763551D" hidden="1">#REF!</definedName>
    <definedName name="BOE00DA9EEAD2747C89688401F227A1B47" localSheetId="1" hidden="1">#REF!</definedName>
    <definedName name="BOE00DA9EEAD2747C89688401F227A1B47" hidden="1">#REF!</definedName>
    <definedName name="BOE017B1FDF9474AB39B4D907FFF9B93B4" localSheetId="1" hidden="1">#REF!</definedName>
    <definedName name="BOE017B1FDF9474AB39B4D907FFF9B93B4" hidden="1">#REF!</definedName>
    <definedName name="BOE034E323591D4D3081245B383BB615E3" localSheetId="1" hidden="1">#REF!</definedName>
    <definedName name="BOE034E323591D4D3081245B383BB615E3" hidden="1">#REF!</definedName>
    <definedName name="BOE0360C2D533540EA91E5BF1F73B1D78C" localSheetId="1" hidden="1">#REF!</definedName>
    <definedName name="BOE0360C2D533540EA91E5BF1F73B1D78C" hidden="1">#REF!</definedName>
    <definedName name="BOE0576357A0FB48FFB1C2EE97C539209D" localSheetId="1" hidden="1">#REF!</definedName>
    <definedName name="BOE0576357A0FB48FFB1C2EE97C539209D" hidden="1">#REF!</definedName>
    <definedName name="BOE05AB811E6DC47F588E989213BDA0E49" localSheetId="1" hidden="1">#REF!</definedName>
    <definedName name="BOE05AB811E6DC47F588E989213BDA0E49" hidden="1">#REF!</definedName>
    <definedName name="BOE072055565B440F0B96E015B8A86281B" localSheetId="1" hidden="1">#REF!</definedName>
    <definedName name="BOE072055565B440F0B96E015B8A86281B" hidden="1">#REF!</definedName>
    <definedName name="BOE07673114B354AADB2FE0F4CF47306B1" localSheetId="1" hidden="1">#REF!</definedName>
    <definedName name="BOE07673114B354AADB2FE0F4CF47306B1" hidden="1">#REF!</definedName>
    <definedName name="BOE07C99ECF2B04F24AF66BE9134092175" localSheetId="1" hidden="1">#REF!</definedName>
    <definedName name="BOE07C99ECF2B04F24AF66BE9134092175" hidden="1">#REF!</definedName>
    <definedName name="BOE0B675C6FF644F25ABE231535B04807E" localSheetId="1" hidden="1">#REF!</definedName>
    <definedName name="BOE0B675C6FF644F25ABE231535B04807E" hidden="1">#REF!</definedName>
    <definedName name="BOE0BE8FB3CBC74049B3BDC5FBC4F0515A" localSheetId="1" hidden="1">#REF!</definedName>
    <definedName name="BOE0BE8FB3CBC74049B3BDC5FBC4F0515A" hidden="1">#REF!</definedName>
    <definedName name="BOE0F80A181E3C4F628830B11216FE6E5C" localSheetId="1" hidden="1">#REF!</definedName>
    <definedName name="BOE0F80A181E3C4F628830B11216FE6E5C" hidden="1">#REF!</definedName>
    <definedName name="BOE11978DCD81043259E316E7A919B3956" localSheetId="1" hidden="1">#REF!</definedName>
    <definedName name="BOE11978DCD81043259E316E7A919B3956" hidden="1">#REF!</definedName>
    <definedName name="BOE12937672CEA40B2A2C0AC7904CC44AE" localSheetId="1" hidden="1">#REF!</definedName>
    <definedName name="BOE12937672CEA40B2A2C0AC7904CC44AE" hidden="1">#REF!</definedName>
    <definedName name="BOE13AB4235AC2402DAB027B3936B550B9" localSheetId="1" hidden="1">#REF!</definedName>
    <definedName name="BOE13AB4235AC2402DAB027B3936B550B9" hidden="1">#REF!</definedName>
    <definedName name="BOE153C64737424AE6B4DB32194D7FF0E2" localSheetId="1" hidden="1">#REF!</definedName>
    <definedName name="BOE153C64737424AE6B4DB32194D7FF0E2" hidden="1">#REF!</definedName>
    <definedName name="BOE18C517FEAEA45E8BCA8C8C731F3D920" localSheetId="1" hidden="1">#REF!</definedName>
    <definedName name="BOE18C517FEAEA45E8BCA8C8C731F3D920" hidden="1">#REF!</definedName>
    <definedName name="BOE19089FAC16F4B8688A0492982FF446E" localSheetId="1" hidden="1">#REF!</definedName>
    <definedName name="BOE19089FAC16F4B8688A0492982FF446E" hidden="1">#REF!</definedName>
    <definedName name="BOE1D5BDF45331474CB5BCDA5D62240B3B" localSheetId="1" hidden="1">#REF!</definedName>
    <definedName name="BOE1D5BDF45331474CB5BCDA5D62240B3B" hidden="1">#REF!</definedName>
    <definedName name="BOE1D864672D394290A795746A1DE77B08" localSheetId="1" hidden="1">#REF!</definedName>
    <definedName name="BOE1D864672D394290A795746A1DE77B08" hidden="1">#REF!</definedName>
    <definedName name="BOE2120FD099664455B8C4D55E1FF026FD" localSheetId="1" hidden="1">#REF!</definedName>
    <definedName name="BOE2120FD099664455B8C4D55E1FF026FD" hidden="1">#REF!</definedName>
    <definedName name="BOE214051AC1A748E081A158A11E4ADD05" localSheetId="1" hidden="1">#REF!</definedName>
    <definedName name="BOE214051AC1A748E081A158A11E4ADD05" hidden="1">#REF!</definedName>
    <definedName name="BOE22CD0E0569A49439417A071544CE72A" localSheetId="1" hidden="1">#REF!</definedName>
    <definedName name="BOE22CD0E0569A49439417A071544CE72A" hidden="1">#REF!</definedName>
    <definedName name="BOE25B77D6C27540E6AAA556148B083B53" localSheetId="1" hidden="1">#REF!</definedName>
    <definedName name="BOE25B77D6C27540E6AAA556148B083B53" hidden="1">#REF!</definedName>
    <definedName name="BOE263959986DE4AC8B573670D83DDB9EF" localSheetId="1" hidden="1">#REF!</definedName>
    <definedName name="BOE263959986DE4AC8B573670D83DDB9EF" hidden="1">#REF!</definedName>
    <definedName name="BOE28EA0D9163A45FDBB2590D2729647C9" localSheetId="1" hidden="1">#REF!</definedName>
    <definedName name="BOE28EA0D9163A45FDBB2590D2729647C9" hidden="1">#REF!</definedName>
    <definedName name="BOE2D85861CE134B2899A88CE95589BEA9" localSheetId="1" hidden="1">#REF!</definedName>
    <definedName name="BOE2D85861CE134B2899A88CE95589BEA9" hidden="1">#REF!</definedName>
    <definedName name="BOE307F88CF982433D8A5E1A5800FD2AD4" localSheetId="1" hidden="1">#REF!</definedName>
    <definedName name="BOE307F88CF982433D8A5E1A5800FD2AD4" hidden="1">#REF!</definedName>
    <definedName name="BOE32845D4217248B5A29BB1EF05A74B53" localSheetId="1" hidden="1">#REF!</definedName>
    <definedName name="BOE32845D4217248B5A29BB1EF05A74B53" hidden="1">#REF!</definedName>
    <definedName name="BOE337F40BCDB04761B6982A92D8288043" localSheetId="1" hidden="1">#REF!</definedName>
    <definedName name="BOE337F40BCDB04761B6982A92D8288043" hidden="1">#REF!</definedName>
    <definedName name="BOE3903726787A43369D14E2CFD75168C1" localSheetId="1" hidden="1">#REF!</definedName>
    <definedName name="BOE3903726787A43369D14E2CFD75168C1" hidden="1">#REF!</definedName>
    <definedName name="BOE3A961B9C77F419C80AA8DBDE61BF21F" localSheetId="1" hidden="1">#REF!</definedName>
    <definedName name="BOE3A961B9C77F419C80AA8DBDE61BF21F" hidden="1">#REF!</definedName>
    <definedName name="BOE3D3C537354043529495944246227E54" localSheetId="1" hidden="1">#REF!</definedName>
    <definedName name="BOE3D3C537354043529495944246227E54" hidden="1">#REF!</definedName>
    <definedName name="BOE3EAB94B34994813A192F85F34F64788" localSheetId="1" hidden="1">#REF!</definedName>
    <definedName name="BOE3EAB94B34994813A192F85F34F64788" hidden="1">#REF!</definedName>
    <definedName name="BOE447A50A6A0445EDA278C8F6684F9F56" localSheetId="1" hidden="1">#REF!</definedName>
    <definedName name="BOE447A50A6A0445EDA278C8F6684F9F56" hidden="1">#REF!</definedName>
    <definedName name="BOE449661142474D1998C432F3D15150A8" localSheetId="1" hidden="1">#REF!</definedName>
    <definedName name="BOE449661142474D1998C432F3D15150A8" hidden="1">#REF!</definedName>
    <definedName name="BOE4553A17435E44E1A73A3E8C5BB03776" localSheetId="1" hidden="1">#REF!</definedName>
    <definedName name="BOE4553A17435E44E1A73A3E8C5BB03776" hidden="1">#REF!</definedName>
    <definedName name="BOE4570C8160CD449BA2EB7A5799F3D970" localSheetId="1" hidden="1">#REF!</definedName>
    <definedName name="BOE4570C8160CD449BA2EB7A5799F3D970" hidden="1">#REF!</definedName>
    <definedName name="BOE46F6DB57CC5418DB632FD6AA4046084" localSheetId="1" hidden="1">#REF!</definedName>
    <definedName name="BOE46F6DB57CC5418DB632FD6AA4046084" hidden="1">#REF!</definedName>
    <definedName name="BOE4864185A3864D3AB1C30FBB75915886" localSheetId="1" hidden="1">#REF!</definedName>
    <definedName name="BOE4864185A3864D3AB1C30FBB75915886" hidden="1">#REF!</definedName>
    <definedName name="BOE49A28902F614E22AADB7D311EBA846E" localSheetId="1" hidden="1">#REF!</definedName>
    <definedName name="BOE49A28902F614E22AADB7D311EBA846E" hidden="1">#REF!</definedName>
    <definedName name="BOE4CBEA97B39C41D8BA6F03263BFA8066" localSheetId="1" hidden="1">#REF!</definedName>
    <definedName name="BOE4CBEA97B39C41D8BA6F03263BFA8066" hidden="1">#REF!</definedName>
    <definedName name="BOE4D5A5154F4C482B944548BC47E31E5D" localSheetId="1" hidden="1">#REF!</definedName>
    <definedName name="BOE4D5A5154F4C482B944548BC47E31E5D" hidden="1">#REF!</definedName>
    <definedName name="BOE545914D51B74F8F80A99121E9F681D3" localSheetId="1" hidden="1">#REF!</definedName>
    <definedName name="BOE545914D51B74F8F80A99121E9F681D3" hidden="1">#REF!</definedName>
    <definedName name="BOE5480C2C9C554E828BCF6B26CE00644E" localSheetId="1" hidden="1">#REF!</definedName>
    <definedName name="BOE5480C2C9C554E828BCF6B26CE00644E" hidden="1">#REF!</definedName>
    <definedName name="BOE549C9E705DE4877993E07C59BDC0CE5" localSheetId="1" hidden="1">#REF!</definedName>
    <definedName name="BOE549C9E705DE4877993E07C59BDC0CE5" hidden="1">#REF!</definedName>
    <definedName name="BOE55435D37049454395ECA083E501131D" localSheetId="1" hidden="1">#REF!</definedName>
    <definedName name="BOE55435D37049454395ECA083E501131D" hidden="1">#REF!</definedName>
    <definedName name="BOE585DC72C4564FA68F5AA993D43A7E96" localSheetId="1" hidden="1">#REF!</definedName>
    <definedName name="BOE585DC72C4564FA68F5AA993D43A7E96" hidden="1">#REF!</definedName>
    <definedName name="BOE5AA83923A2A4251A365967B0FABE997" localSheetId="1" hidden="1">#REF!</definedName>
    <definedName name="BOE5AA83923A2A4251A365967B0FABE997" hidden="1">#REF!</definedName>
    <definedName name="BOE5C36DE72DD74A34BA37E9397BF4B1BF" localSheetId="1" hidden="1">#REF!</definedName>
    <definedName name="BOE5C36DE72DD74A34BA37E9397BF4B1BF" hidden="1">#REF!</definedName>
    <definedName name="BOE5D737DF7DC04EF4A3F1879E3C59FBA5" localSheetId="1" hidden="1">#REF!</definedName>
    <definedName name="BOE5D737DF7DC04EF4A3F1879E3C59FBA5" hidden="1">#REF!</definedName>
    <definedName name="BOE5DB18EC4BF143CAB33F7AB9CE0BC7AD" localSheetId="1" hidden="1">#REF!</definedName>
    <definedName name="BOE5DB18EC4BF143CAB33F7AB9CE0BC7AD" hidden="1">#REF!</definedName>
    <definedName name="BOE5E15CBA8693404E95C6E7532B0455DE" localSheetId="1" hidden="1">#REF!</definedName>
    <definedName name="BOE5E15CBA8693404E95C6E7532B0455DE" hidden="1">#REF!</definedName>
    <definedName name="BOE5F1AA16B89C46E08917B4E586F61146" localSheetId="1" hidden="1">#REF!</definedName>
    <definedName name="BOE5F1AA16B89C46E08917B4E586F61146" hidden="1">#REF!</definedName>
    <definedName name="BOE642644C80644606B590C952B2B679BB" localSheetId="1" hidden="1">#REF!</definedName>
    <definedName name="BOE642644C80644606B590C952B2B679BB" hidden="1">#REF!</definedName>
    <definedName name="BOE6472F62E05843E3A42485F3FC4DAA7B" localSheetId="1" hidden="1">#REF!</definedName>
    <definedName name="BOE6472F62E05843E3A42485F3FC4DAA7B" hidden="1">#REF!</definedName>
    <definedName name="BOE64B65D0B2E3477D965DA34BE633B705" localSheetId="1" hidden="1">#REF!</definedName>
    <definedName name="BOE64B65D0B2E3477D965DA34BE633B705" hidden="1">#REF!</definedName>
    <definedName name="BOE671A811FEE443B0AF77FFD7B973E3D8" localSheetId="1" hidden="1">#REF!</definedName>
    <definedName name="BOE671A811FEE443B0AF77FFD7B973E3D8" hidden="1">#REF!</definedName>
    <definedName name="BOE69EC63A965D4D389109A1397229FE81" localSheetId="1" hidden="1">#REF!</definedName>
    <definedName name="BOE69EC63A965D4D389109A1397229FE81" hidden="1">#REF!</definedName>
    <definedName name="BOE6CF0641D1CF4974818BF6A3C75563DF" localSheetId="1" hidden="1">#REF!</definedName>
    <definedName name="BOE6CF0641D1CF4974818BF6A3C75563DF" hidden="1">#REF!</definedName>
    <definedName name="BOE6CF7371C48B4B4CA75BF8C02972E606" localSheetId="1" hidden="1">#REF!</definedName>
    <definedName name="BOE6CF7371C48B4B4CA75BF8C02972E606" hidden="1">#REF!</definedName>
    <definedName name="BOE6D827D9E2DE489ABEBB24B97E6503E8" localSheetId="1" hidden="1">#REF!</definedName>
    <definedName name="BOE6D827D9E2DE489ABEBB24B97E6503E8" hidden="1">#REF!</definedName>
    <definedName name="BOE6EC2B01DAAC4CAA860BFF94370676C8" localSheetId="1" hidden="1">#REF!</definedName>
    <definedName name="BOE6EC2B01DAAC4CAA860BFF94370676C8" hidden="1">#REF!</definedName>
    <definedName name="BOE723E5A34F7C49D89A97CE036F53E20A" localSheetId="1" hidden="1">#REF!</definedName>
    <definedName name="BOE723E5A34F7C49D89A97CE036F53E20A" hidden="1">#REF!</definedName>
    <definedName name="BOE741AA47A5B7491BB12A8962C001BCD6" localSheetId="1" hidden="1">#REF!</definedName>
    <definedName name="BOE741AA47A5B7491BB12A8962C001BCD6" hidden="1">#REF!</definedName>
    <definedName name="BOE74688F5AC1E4867865C628E71974C74" localSheetId="1" hidden="1">#REF!</definedName>
    <definedName name="BOE74688F5AC1E4867865C628E71974C74" hidden="1">#REF!</definedName>
    <definedName name="BOE749E2E453224EDE819CB02CD51A08BE" localSheetId="1" hidden="1">#REF!</definedName>
    <definedName name="BOE749E2E453224EDE819CB02CD51A08BE" hidden="1">#REF!</definedName>
    <definedName name="BOE75B49FAF61B4EF69763E611B56CE634" localSheetId="1" hidden="1">#REF!</definedName>
    <definedName name="BOE75B49FAF61B4EF69763E611B56CE634" hidden="1">#REF!</definedName>
    <definedName name="BOE76250712D36454EA8BD340089539AD6" localSheetId="1" hidden="1">#REF!</definedName>
    <definedName name="BOE76250712D36454EA8BD340089539AD6" hidden="1">#REF!</definedName>
    <definedName name="BOE76431D47602405BB3C0FF818CC34755" localSheetId="1" hidden="1">#REF!</definedName>
    <definedName name="BOE76431D47602405BB3C0FF818CC34755" hidden="1">#REF!</definedName>
    <definedName name="BOE776B09F34E244928F8EA22D197685DA" localSheetId="1" hidden="1">#REF!</definedName>
    <definedName name="BOE776B09F34E244928F8EA22D197685DA" hidden="1">#REF!</definedName>
    <definedName name="BOE7CBB0CC34384B958962B499B09B2EFE" localSheetId="1" hidden="1">#REF!</definedName>
    <definedName name="BOE7CBB0CC34384B958962B499B09B2EFE" hidden="1">#REF!</definedName>
    <definedName name="BOE7DFAF165385446BA6A3484A6449F5EB" localSheetId="1" hidden="1">#REF!</definedName>
    <definedName name="BOE7DFAF165385446BA6A3484A6449F5EB" hidden="1">#REF!</definedName>
    <definedName name="BOE7EC9B4E00164CB5B67EF6A26F794461" localSheetId="1" hidden="1">#REF!</definedName>
    <definedName name="BOE7EC9B4E00164CB5B67EF6A26F794461" hidden="1">#REF!</definedName>
    <definedName name="BOE7F286C313164F68BF206AFA08DBC094" localSheetId="1" hidden="1">#REF!</definedName>
    <definedName name="BOE7F286C313164F68BF206AFA08DBC094" hidden="1">#REF!</definedName>
    <definedName name="BOE7FB822E1C854B0080C789D2304CB9DE" localSheetId="1" hidden="1">#REF!</definedName>
    <definedName name="BOE7FB822E1C854B0080C789D2304CB9DE" hidden="1">#REF!</definedName>
    <definedName name="BOE7FF59A65485454D9BAF35A631532BE7" localSheetId="1" hidden="1">#REF!</definedName>
    <definedName name="BOE7FF59A65485454D9BAF35A631532BE7" hidden="1">#REF!</definedName>
    <definedName name="BOE8052FE958B8496D959F6782B970EA25" localSheetId="1" hidden="1">#REF!</definedName>
    <definedName name="BOE8052FE958B8496D959F6782B970EA25" hidden="1">#REF!</definedName>
    <definedName name="BOE8473256F0E74B51A0AF9E07903BA006" localSheetId="1" hidden="1">#REF!</definedName>
    <definedName name="BOE8473256F0E74B51A0AF9E07903BA006" hidden="1">#REF!</definedName>
    <definedName name="BOE84E82EEFCCE41D0BA91EFACF23EBFA7" localSheetId="1" hidden="1">#REF!</definedName>
    <definedName name="BOE84E82EEFCCE41D0BA91EFACF23EBFA7" hidden="1">#REF!</definedName>
    <definedName name="BOE884DB0E080F4026AEDEAD76588B78FC" localSheetId="1" hidden="1">#REF!</definedName>
    <definedName name="BOE884DB0E080F4026AEDEAD76588B78FC" hidden="1">#REF!</definedName>
    <definedName name="BOE8970DB59C714C8BA0FB79E01170D916" localSheetId="1" hidden="1">#REF!</definedName>
    <definedName name="BOE8970DB59C714C8BA0FB79E01170D916" hidden="1">#REF!</definedName>
    <definedName name="BOE8DBD581E91E43A295718AF22899C040" localSheetId="1" hidden="1">#REF!</definedName>
    <definedName name="BOE8DBD581E91E43A295718AF22899C040" hidden="1">#REF!</definedName>
    <definedName name="BOE8FD561F920B4D0EB0A7FF754C48EC59" localSheetId="1" hidden="1">#REF!</definedName>
    <definedName name="BOE8FD561F920B4D0EB0A7FF754C48EC59" hidden="1">#REF!</definedName>
    <definedName name="BOE9070F3F0E5C4CECA88BDCD0FE83FACA" localSheetId="1" hidden="1">#REF!</definedName>
    <definedName name="BOE9070F3F0E5C4CECA88BDCD0FE83FACA" hidden="1">#REF!</definedName>
    <definedName name="BOE9145CAB99E74AFE9E99E9CC29206FC8" localSheetId="1" hidden="1">#REF!</definedName>
    <definedName name="BOE9145CAB99E74AFE9E99E9CC29206FC8" hidden="1">#REF!</definedName>
    <definedName name="BOE919721A160440009B2F08B691E057F6" localSheetId="1" hidden="1">#REF!</definedName>
    <definedName name="BOE919721A160440009B2F08B691E057F6" hidden="1">#REF!</definedName>
    <definedName name="BOE9365DA92F0142D688109164C3F00B4C" localSheetId="1" hidden="1">#REF!</definedName>
    <definedName name="BOE9365DA92F0142D688109164C3F00B4C" hidden="1">#REF!</definedName>
    <definedName name="BOE93FF485CBB143C8B17639519B225C67" localSheetId="1" hidden="1">#REF!</definedName>
    <definedName name="BOE93FF485CBB143C8B17639519B225C67" hidden="1">#REF!</definedName>
    <definedName name="BOE9711470A17248E1818E183991FEFBE1" localSheetId="1" hidden="1">#REF!</definedName>
    <definedName name="BOE9711470A17248E1818E183991FEFBE1" hidden="1">#REF!</definedName>
    <definedName name="BOE986E94CE98349AE8748D58895E44442" localSheetId="1" hidden="1">#REF!</definedName>
    <definedName name="BOE986E94CE98349AE8748D58895E44442" hidden="1">#REF!</definedName>
    <definedName name="BOE9A94086040D4182824491AC50D5A715" localSheetId="1" hidden="1">#REF!</definedName>
    <definedName name="BOE9A94086040D4182824491AC50D5A715" hidden="1">#REF!</definedName>
    <definedName name="BOE9C1CB3E7BDF4A4B99B9C11169458EA4" localSheetId="1" hidden="1">#REF!</definedName>
    <definedName name="BOE9C1CB3E7BDF4A4B99B9C11169458EA4" hidden="1">#REF!</definedName>
    <definedName name="BOE9D930B87D734F9798F59AA71877AC27" localSheetId="1" hidden="1">#REF!</definedName>
    <definedName name="BOE9D930B87D734F9798F59AA71877AC27" hidden="1">#REF!</definedName>
    <definedName name="BOE9E6BF7CEFB94FE1A00EF1AF9DE0670D" localSheetId="1" hidden="1">#REF!</definedName>
    <definedName name="BOE9E6BF7CEFB94FE1A00EF1AF9DE0670D" hidden="1">#REF!</definedName>
    <definedName name="BOEA23F73FE7434EFCA0F38B740B2A71CE" localSheetId="1" hidden="1">#REF!</definedName>
    <definedName name="BOEA23F73FE7434EFCA0F38B740B2A71CE" hidden="1">#REF!</definedName>
    <definedName name="BOEA3DBC7CAAA9402E85E619F5B8A0658D" localSheetId="1" hidden="1">#REF!</definedName>
    <definedName name="BOEA3DBC7CAAA9402E85E619F5B8A0658D" hidden="1">#REF!</definedName>
    <definedName name="BOEA487DFBBB0446B0A8D7FEFB2D9E7C93" localSheetId="1" hidden="1">#REF!</definedName>
    <definedName name="BOEA487DFBBB0446B0A8D7FEFB2D9E7C93" hidden="1">#REF!</definedName>
    <definedName name="BOEAD6D7767DC54CBEBCE421A3DB34DE6B" localSheetId="1" hidden="1">#REF!</definedName>
    <definedName name="BOEAD6D7767DC54CBEBCE421A3DB34DE6B" hidden="1">#REF!</definedName>
    <definedName name="BOEADD9A517C9E4CB4999114D4B9BD6920" localSheetId="1" hidden="1">#REF!</definedName>
    <definedName name="BOEADD9A517C9E4CB4999114D4B9BD6920" hidden="1">#REF!</definedName>
    <definedName name="BOEAF3B895ABCD49308AF2F5A2E22BBC94" localSheetId="1" hidden="1">#REF!</definedName>
    <definedName name="BOEAF3B895ABCD49308AF2F5A2E22BBC94" hidden="1">#REF!</definedName>
    <definedName name="BOEB0E75BF9AEA444FA574EF153F2DE2A5" localSheetId="1" hidden="1">#REF!</definedName>
    <definedName name="BOEB0E75BF9AEA444FA574EF153F2DE2A5" hidden="1">#REF!</definedName>
    <definedName name="BOEB1FBF1FAD7F4ECC8BB20074F709319C" localSheetId="1" hidden="1">#REF!</definedName>
    <definedName name="BOEB1FBF1FAD7F4ECC8BB20074F709319C" hidden="1">#REF!</definedName>
    <definedName name="BOEB7ECE9285934C488E6B2136A2F0641C" localSheetId="1" hidden="1">#REF!</definedName>
    <definedName name="BOEB7ECE9285934C488E6B2136A2F0641C" hidden="1">#REF!</definedName>
    <definedName name="BOEBB477EA004747AC923498244421587D" localSheetId="1" hidden="1">#REF!</definedName>
    <definedName name="BOEBB477EA004747AC923498244421587D" hidden="1">#REF!</definedName>
    <definedName name="BOEBBC73E30C5E459DB8E9982D70CCFA83" localSheetId="1" hidden="1">#REF!</definedName>
    <definedName name="BOEBBC73E30C5E459DB8E9982D70CCFA83" hidden="1">#REF!</definedName>
    <definedName name="BOEC0BCDB4FA624FE89507CCDAFB2DE5F3" localSheetId="1" hidden="1">#REF!</definedName>
    <definedName name="BOEC0BCDB4FA624FE89507CCDAFB2DE5F3" hidden="1">#REF!</definedName>
    <definedName name="BOEC0DD3F439BA4003AD46A41F29874030" localSheetId="1" hidden="1">#REF!</definedName>
    <definedName name="BOEC0DD3F439BA4003AD46A41F29874030" hidden="1">#REF!</definedName>
    <definedName name="BOEC1A5FBA282D4E98AC0A8B6E60EA9049" localSheetId="1" hidden="1">#REF!</definedName>
    <definedName name="BOEC1A5FBA282D4E98AC0A8B6E60EA9049" hidden="1">#REF!</definedName>
    <definedName name="BOEC425E786A5F4CE78604F43CC4690D0E" localSheetId="1" hidden="1">#REF!</definedName>
    <definedName name="BOEC425E786A5F4CE78604F43CC4690D0E" hidden="1">#REF!</definedName>
    <definedName name="BOEC5B408FC72D40DAAEAB05CE85838531" localSheetId="1" hidden="1">#REF!</definedName>
    <definedName name="BOEC5B408FC72D40DAAEAB05CE85838531" hidden="1">#REF!</definedName>
    <definedName name="BOEC6B3D1B408C4BEA9A1E84D8EDF0F1D8" localSheetId="1" hidden="1">#REF!</definedName>
    <definedName name="BOEC6B3D1B408C4BEA9A1E84D8EDF0F1D8" hidden="1">#REF!</definedName>
    <definedName name="BOEC9B5B1AD36D4F2AA7A07F0BDCAA69E4" localSheetId="1" hidden="1">#REF!</definedName>
    <definedName name="BOEC9B5B1AD36D4F2AA7A07F0BDCAA69E4" hidden="1">#REF!</definedName>
    <definedName name="BOECDF813F5B044D3090546B36A2795F21" localSheetId="1" hidden="1">#REF!</definedName>
    <definedName name="BOECDF813F5B044D3090546B36A2795F21" hidden="1">#REF!</definedName>
    <definedName name="BOECF8FF9A3492427BA40FF8CA6171F72D" localSheetId="1" hidden="1">#REF!</definedName>
    <definedName name="BOECF8FF9A3492427BA40FF8CA6171F72D" hidden="1">#REF!</definedName>
    <definedName name="BOED05B2F2B9E94F6187B09D58E9239D88" localSheetId="1" hidden="1">#REF!</definedName>
    <definedName name="BOED05B2F2B9E94F6187B09D58E9239D88" hidden="1">#REF!</definedName>
    <definedName name="BOED1EA8F825644ABA99CA16B474D79E3E" localSheetId="1" hidden="1">#REF!</definedName>
    <definedName name="BOED1EA8F825644ABA99CA16B474D79E3E" hidden="1">#REF!</definedName>
    <definedName name="BOED562F54123C431F9027C5E4DD931301" localSheetId="1" hidden="1">#REF!</definedName>
    <definedName name="BOED562F54123C431F9027C5E4DD931301" hidden="1">#REF!</definedName>
    <definedName name="BOED90211738DC45B88535CD01C1135A78" localSheetId="1" hidden="1">#REF!</definedName>
    <definedName name="BOED90211738DC45B88535CD01C1135A78" hidden="1">#REF!</definedName>
    <definedName name="BOED9EE50BAF774E2AA4A7596663A49FC4" localSheetId="1" hidden="1">#REF!</definedName>
    <definedName name="BOED9EE50BAF774E2AA4A7596663A49FC4" hidden="1">#REF!</definedName>
    <definedName name="BOEDA36C9CE4FA4581A52255AF23DB93A0" localSheetId="1" hidden="1">#REF!</definedName>
    <definedName name="BOEDA36C9CE4FA4581A52255AF23DB93A0" hidden="1">#REF!</definedName>
    <definedName name="BOEDB3BA53AFC3453DB990331E0B5780A0" localSheetId="1" hidden="1">#REF!</definedName>
    <definedName name="BOEDB3BA53AFC3453DB990331E0B5780A0" hidden="1">#REF!</definedName>
    <definedName name="BOEDBABC0C059545189DC8E8F1C8E61166" localSheetId="1" hidden="1">#REF!</definedName>
    <definedName name="BOEDBABC0C059545189DC8E8F1C8E61166" hidden="1">#REF!</definedName>
    <definedName name="BOEDE32FE5EB604C1F930D99BA4C3B57D5" localSheetId="1" hidden="1">#REF!</definedName>
    <definedName name="BOEDE32FE5EB604C1F930D99BA4C3B57D5" hidden="1">#REF!</definedName>
    <definedName name="BOEDE768E044204D4896FC83EA9E0DED28" localSheetId="1" hidden="1">#REF!</definedName>
    <definedName name="BOEDE768E044204D4896FC83EA9E0DED28" hidden="1">#REF!</definedName>
    <definedName name="BOEDF260BEC9454C2AAB8653DAA455274C" localSheetId="1" hidden="1">#REF!</definedName>
    <definedName name="BOEDF260BEC9454C2AAB8653DAA455274C" hidden="1">#REF!</definedName>
    <definedName name="BOEDFE33E509F943EB8068C63B6FBA2CD7" localSheetId="1" hidden="1">#REF!</definedName>
    <definedName name="BOEDFE33E509F943EB8068C63B6FBA2CD7" hidden="1">#REF!</definedName>
    <definedName name="BOEE0353DEA87047D1BC8BA1A10AA66E19" localSheetId="1" hidden="1">#REF!</definedName>
    <definedName name="BOEE0353DEA87047D1BC8BA1A10AA66E19" hidden="1">#REF!</definedName>
    <definedName name="BOEE89452115254AA5AD1B4A4D53F5D207" localSheetId="1" hidden="1">#REF!</definedName>
    <definedName name="BOEE89452115254AA5AD1B4A4D53F5D207" hidden="1">#REF!</definedName>
    <definedName name="BOEEACC20B9FE44B1AA33590292E5D0028" localSheetId="1" hidden="1">#REF!</definedName>
    <definedName name="BOEEACC20B9FE44B1AA33590292E5D0028" hidden="1">#REF!</definedName>
    <definedName name="BOEEDA0B6B46114ED382263C8C9D55A945" localSheetId="1" hidden="1">#REF!</definedName>
    <definedName name="BOEEDA0B6B46114ED382263C8C9D55A945" hidden="1">#REF!</definedName>
    <definedName name="BOEEE402F4521E4129B8F3DAFD319B8DE9" localSheetId="1" hidden="1">#REF!</definedName>
    <definedName name="BOEEE402F4521E4129B8F3DAFD319B8DE9" hidden="1">#REF!</definedName>
    <definedName name="BOEF406C0827AE4CBCAA017E0C0DCC3DED" localSheetId="1" hidden="1">#REF!</definedName>
    <definedName name="BOEF406C0827AE4CBCAA017E0C0DCC3DED" hidden="1">#REF!</definedName>
    <definedName name="BOEF56D01AD3D14C099D494FBC502954D5" localSheetId="1" hidden="1">#REF!</definedName>
    <definedName name="BOEF56D01AD3D14C099D494FBC502954D5" hidden="1">#REF!</definedName>
    <definedName name="BOEF7322C278CF4E74A4F50631FF61E1A4" localSheetId="1" hidden="1">#REF!</definedName>
    <definedName name="BOEF7322C278CF4E74A4F50631FF61E1A4" hidden="1">#REF!</definedName>
    <definedName name="BOEFBD1451554C46C5B09F0AEEE7170DBE" localSheetId="1" hidden="1">#REF!</definedName>
    <definedName name="BOEFBD1451554C46C5B09F0AEEE7170DBE" hidden="1">#REF!</definedName>
    <definedName name="BOEFC38C6084D4401087A1495EDEB30DD0" localSheetId="1" hidden="1">#REF!</definedName>
    <definedName name="BOEFC38C6084D4401087A1495EDEB30DD0" hidden="1">#REF!</definedName>
    <definedName name="BOEFED11C55B7D42F0BA74E1AC52FFFCB6" localSheetId="1" hidden="1">#REF!</definedName>
    <definedName name="BOEFED11C55B7D42F0BA74E1AC52FFFCB6" hidden="1">#REF!</definedName>
    <definedName name="BOF0100A92ADA14111A38DCB300766F521" localSheetId="1" hidden="1">#REF!</definedName>
    <definedName name="BOF0100A92ADA14111A38DCB300766F521" hidden="1">#REF!</definedName>
    <definedName name="BOF05E6310E06849798562BB8BD53C4F28" localSheetId="1" hidden="1">#REF!</definedName>
    <definedName name="BOF05E6310E06849798562BB8BD53C4F28" hidden="1">#REF!</definedName>
    <definedName name="BOF05FFF3AC94B4E36925B5EDAAC8C1C53" localSheetId="1" hidden="1">#REF!</definedName>
    <definedName name="BOF05FFF3AC94B4E36925B5EDAAC8C1C53" hidden="1">#REF!</definedName>
    <definedName name="BOF0905563093845A997A50AF692884153" localSheetId="1" hidden="1">#REF!</definedName>
    <definedName name="BOF0905563093845A997A50AF692884153" hidden="1">#REF!</definedName>
    <definedName name="BOF0A825745E464D13A54ABA20B609B9E8" localSheetId="1" hidden="1">#REF!</definedName>
    <definedName name="BOF0A825745E464D13A54ABA20B609B9E8" hidden="1">#REF!</definedName>
    <definedName name="BOF0C59731D4AE4017B5B4169F3C9AA2A6" localSheetId="1" hidden="1">#REF!</definedName>
    <definedName name="BOF0C59731D4AE4017B5B4169F3C9AA2A6" hidden="1">#REF!</definedName>
    <definedName name="BOF0D4EF18741047F1B1043984130F0FA6" localSheetId="1" hidden="1">#REF!</definedName>
    <definedName name="BOF0D4EF18741047F1B1043984130F0FA6" hidden="1">#REF!</definedName>
    <definedName name="BOF0E3743744E240A992B06E29FA68C50A" localSheetId="1" hidden="1">#REF!</definedName>
    <definedName name="BOF0E3743744E240A992B06E29FA68C50A" hidden="1">#REF!</definedName>
    <definedName name="BOF0E6E6B0E78C42E08BE2CDEA8CF44D78" localSheetId="1" hidden="1">#REF!</definedName>
    <definedName name="BOF0E6E6B0E78C42E08BE2CDEA8CF44D78" hidden="1">#REF!</definedName>
    <definedName name="BOF109CEBDEEAC441FA6E936017139B088" localSheetId="1" hidden="1">#REF!</definedName>
    <definedName name="BOF109CEBDEEAC441FA6E936017139B088" hidden="1">#REF!</definedName>
    <definedName name="BOF1ABC4FD00E64BA58CFF06D348B0C5C3" localSheetId="1" hidden="1">#REF!</definedName>
    <definedName name="BOF1ABC4FD00E64BA58CFF06D348B0C5C3" hidden="1">#REF!</definedName>
    <definedName name="BOF1AEBC9A7BD44233A1943849C28C4FEC" localSheetId="1" hidden="1">#REF!</definedName>
    <definedName name="BOF1AEBC9A7BD44233A1943849C28C4FEC" hidden="1">#REF!</definedName>
    <definedName name="BOF1B8AD00099048A2A8AEC0999BE156F5" localSheetId="1" hidden="1">#REF!</definedName>
    <definedName name="BOF1B8AD00099048A2A8AEC0999BE156F5" hidden="1">#REF!</definedName>
    <definedName name="BOF20CCB7468C540F09F18FAB754EC370F" localSheetId="1" hidden="1">#REF!</definedName>
    <definedName name="BOF20CCB7468C540F09F18FAB754EC370F" hidden="1">#REF!</definedName>
    <definedName name="BOF23D7E5217A24026827BA1D213504D2A" localSheetId="1" hidden="1">#REF!</definedName>
    <definedName name="BOF23D7E5217A24026827BA1D213504D2A" hidden="1">#REF!</definedName>
    <definedName name="BOF24947DB82D64635840A8DB5866B51FD" localSheetId="1" hidden="1">#REF!</definedName>
    <definedName name="BOF24947DB82D64635840A8DB5866B51FD" hidden="1">#REF!</definedName>
    <definedName name="BOF27712BD4E094407ACB4899BA5C49295" localSheetId="1" hidden="1">#REF!</definedName>
    <definedName name="BOF27712BD4E094407ACB4899BA5C49295" hidden="1">#REF!</definedName>
    <definedName name="BOF287C0DE87E04A9FA22B2ECD2F94C614" localSheetId="1" hidden="1">#REF!</definedName>
    <definedName name="BOF287C0DE87E04A9FA22B2ECD2F94C614" hidden="1">#REF!</definedName>
    <definedName name="BOF2E4E26EFA1B45A6B451A32AF9340BA2" localSheetId="1" hidden="1">#REF!</definedName>
    <definedName name="BOF2E4E26EFA1B45A6B451A32AF9340BA2" hidden="1">#REF!</definedName>
    <definedName name="BOF2E9D408E0CE4BE8BFEABB6B73934CC2" localSheetId="1" hidden="1">#REF!</definedName>
    <definedName name="BOF2E9D408E0CE4BE8BFEABB6B73934CC2" hidden="1">#REF!</definedName>
    <definedName name="BOF2FF48AA091D4BA99B50E6B5AC55A3E5" localSheetId="1" hidden="1">#REF!</definedName>
    <definedName name="BOF2FF48AA091D4BA99B50E6B5AC55A3E5" hidden="1">#REF!</definedName>
    <definedName name="BOF33D6B6D93C74BB18FE3D6E0FF794B23" localSheetId="1" hidden="1">#REF!</definedName>
    <definedName name="BOF33D6B6D93C74BB18FE3D6E0FF794B23" hidden="1">#REF!</definedName>
    <definedName name="BOF36997466DCA419EB5BB546C26585165" localSheetId="1" hidden="1">#REF!</definedName>
    <definedName name="BOF36997466DCA419EB5BB546C26585165" hidden="1">#REF!</definedName>
    <definedName name="BOF36B04952D7E494D8982DF32678ED517" localSheetId="1" hidden="1">#REF!</definedName>
    <definedName name="BOF36B04952D7E494D8982DF32678ED517" hidden="1">#REF!</definedName>
    <definedName name="BOF3A90882C3F646AC8E52826DE77B4F42" localSheetId="1" hidden="1">#REF!</definedName>
    <definedName name="BOF3A90882C3F646AC8E52826DE77B4F42" hidden="1">#REF!</definedName>
    <definedName name="BOF3C2FA67E9714243A6A0E31921FBEEBC" localSheetId="1" hidden="1">#REF!</definedName>
    <definedName name="BOF3C2FA67E9714243A6A0E31921FBEEBC" hidden="1">#REF!</definedName>
    <definedName name="BOF3E50E227A544F7F8427DB69807893E0" localSheetId="1" hidden="1">#REF!</definedName>
    <definedName name="BOF3E50E227A544F7F8427DB69807893E0" hidden="1">#REF!</definedName>
    <definedName name="BOF40B8D5DE4EF48C8A142F2738685DF4E" localSheetId="1" hidden="1">#REF!</definedName>
    <definedName name="BOF40B8D5DE4EF48C8A142F2738685DF4E" hidden="1">#REF!</definedName>
    <definedName name="BOF4E734F5E0B346399B3F74EDDE1364EA" localSheetId="1" hidden="1">#REF!</definedName>
    <definedName name="BOF4E734F5E0B346399B3F74EDDE1364EA" hidden="1">#REF!</definedName>
    <definedName name="BOF51A52841A654E94BE5B17633A966825" localSheetId="1" hidden="1">#REF!</definedName>
    <definedName name="BOF51A52841A654E94BE5B17633A966825" hidden="1">#REF!</definedName>
    <definedName name="BOF53CCAFB02904DA4AF21417141E6C458" localSheetId="1" hidden="1">#REF!</definedName>
    <definedName name="BOF53CCAFB02904DA4AF21417141E6C458" hidden="1">#REF!</definedName>
    <definedName name="BOF55CF31ECD7A406CA38DE801694F8552" localSheetId="1" hidden="1">#REF!</definedName>
    <definedName name="BOF55CF31ECD7A406CA38DE801694F8552" hidden="1">#REF!</definedName>
    <definedName name="BOF5631028159044D78779C45CA65FC43B" localSheetId="1" hidden="1">#REF!</definedName>
    <definedName name="BOF5631028159044D78779C45CA65FC43B" hidden="1">#REF!</definedName>
    <definedName name="BOF585D8968C854C30B591C88227EDB648" localSheetId="1" hidden="1">#REF!</definedName>
    <definedName name="BOF585D8968C854C30B591C88227EDB648" hidden="1">#REF!</definedName>
    <definedName name="BOF5AEE545461542C7A1A82997EB41AB35" localSheetId="1" hidden="1">#REF!</definedName>
    <definedName name="BOF5AEE545461542C7A1A82997EB41AB35" hidden="1">#REF!</definedName>
    <definedName name="BOF5CB44B1A6E44FDC89B7F2976A7CE3A8" localSheetId="1" hidden="1">#REF!</definedName>
    <definedName name="BOF5CB44B1A6E44FDC89B7F2976A7CE3A8" hidden="1">#REF!</definedName>
    <definedName name="BOF5DC32DE31BD4B50B0267F468F4E4CB0" localSheetId="1" hidden="1">#REF!</definedName>
    <definedName name="BOF5DC32DE31BD4B50B0267F468F4E4CB0" hidden="1">#REF!</definedName>
    <definedName name="BOF604F32E6DAC49BBA3716C381BEBAB3A" localSheetId="1" hidden="1">#REF!</definedName>
    <definedName name="BOF604F32E6DAC49BBA3716C381BEBAB3A" hidden="1">#REF!</definedName>
    <definedName name="BOF611A9E8BB0F49E497EFF27831772058" localSheetId="1" hidden="1">#REF!</definedName>
    <definedName name="BOF611A9E8BB0F49E497EFF27831772058" hidden="1">#REF!</definedName>
    <definedName name="BOF63D3B4EB0E544EFA271FEA8860AC25D" localSheetId="1" hidden="1">#REF!</definedName>
    <definedName name="BOF63D3B4EB0E544EFA271FEA8860AC25D" hidden="1">#REF!</definedName>
    <definedName name="BOF669A2D2BA994424B1F5A8AC117A55CA" localSheetId="1" hidden="1">#REF!</definedName>
    <definedName name="BOF669A2D2BA994424B1F5A8AC117A55CA" hidden="1">#REF!</definedName>
    <definedName name="BOF66F23777B7C431BBA70EAF3374BA9DD" localSheetId="1" hidden="1">#REF!</definedName>
    <definedName name="BOF66F23777B7C431BBA70EAF3374BA9DD" hidden="1">#REF!</definedName>
    <definedName name="BOF67F5AA185884F23B340D90B4494144F" localSheetId="1" hidden="1">#REF!</definedName>
    <definedName name="BOF67F5AA185884F23B340D90B4494144F" hidden="1">#REF!</definedName>
    <definedName name="BOF6C435831C884A2B958ECF1499C5AE81" localSheetId="1" hidden="1">#REF!</definedName>
    <definedName name="BOF6C435831C884A2B958ECF1499C5AE81" hidden="1">#REF!</definedName>
    <definedName name="BOF6CDA264C92D4DF2907EB1622B5003D6" localSheetId="1" hidden="1">#REF!</definedName>
    <definedName name="BOF6CDA264C92D4DF2907EB1622B5003D6" hidden="1">#REF!</definedName>
    <definedName name="BOF708D1281373454597A1A056AB3A3531" localSheetId="1" hidden="1">#REF!</definedName>
    <definedName name="BOF708D1281373454597A1A056AB3A3531" hidden="1">#REF!</definedName>
    <definedName name="BOF72B7E5688A24599B26396DA1025418E" localSheetId="1" hidden="1">#REF!</definedName>
    <definedName name="BOF72B7E5688A24599B26396DA1025418E" hidden="1">#REF!</definedName>
    <definedName name="BOF75BD264DBB04172906E6710FDC5CE9B" localSheetId="1" hidden="1">#REF!</definedName>
    <definedName name="BOF75BD264DBB04172906E6710FDC5CE9B" hidden="1">#REF!</definedName>
    <definedName name="BOF77B331BE93848B7BCD11717BB266D2A" localSheetId="1" hidden="1">#REF!</definedName>
    <definedName name="BOF77B331BE93848B7BCD11717BB266D2A" hidden="1">#REF!</definedName>
    <definedName name="BOF7976E88AE214F67B9CBB47608F7DDA9" localSheetId="1" hidden="1">#REF!</definedName>
    <definedName name="BOF7976E88AE214F67B9CBB47608F7DDA9" hidden="1">#REF!</definedName>
    <definedName name="BOF79C8057618541DB900AC860DEA92122" localSheetId="1" hidden="1">#REF!</definedName>
    <definedName name="BOF79C8057618541DB900AC860DEA92122" hidden="1">#REF!</definedName>
    <definedName name="BOF7B5D1FBB8764A4FB0220E77B2881D62" localSheetId="1" hidden="1">#REF!</definedName>
    <definedName name="BOF7B5D1FBB8764A4FB0220E77B2881D62" hidden="1">#REF!</definedName>
    <definedName name="BOF7B5FA1754E0413AAFB010856810A5BA" localSheetId="1" hidden="1">#REF!</definedName>
    <definedName name="BOF7B5FA1754E0413AAFB010856810A5BA" hidden="1">#REF!</definedName>
    <definedName name="BOF7CF94FFA36A46ACB0FCB81905FBD824" localSheetId="1" hidden="1">#REF!</definedName>
    <definedName name="BOF7CF94FFA36A46ACB0FCB81905FBD824" hidden="1">#REF!</definedName>
    <definedName name="BOF83559FBC7D04204ADB4B6AED114EAF7" localSheetId="1" hidden="1">#REF!</definedName>
    <definedName name="BOF83559FBC7D04204ADB4B6AED114EAF7" hidden="1">#REF!</definedName>
    <definedName name="BOF835CA3093464BB98CC8821172B1F91C" localSheetId="1" hidden="1">#REF!</definedName>
    <definedName name="BOF835CA3093464BB98CC8821172B1F91C" hidden="1">#REF!</definedName>
    <definedName name="BOF85E6CCF6A57462A8CA36AA9540D141F" localSheetId="1" hidden="1">#REF!</definedName>
    <definedName name="BOF85E6CCF6A57462A8CA36AA9540D141F" hidden="1">#REF!</definedName>
    <definedName name="BOF86B41F85B3F42E4B7EFE1B2C2199C1B" localSheetId="1" hidden="1">#REF!</definedName>
    <definedName name="BOF86B41F85B3F42E4B7EFE1B2C2199C1B" hidden="1">#REF!</definedName>
    <definedName name="BOF87E495A74FB4EFAB3F46E6715C2B04E" localSheetId="1" hidden="1">#REF!</definedName>
    <definedName name="BOF87E495A74FB4EFAB3F46E6715C2B04E" hidden="1">#REF!</definedName>
    <definedName name="BOF8B846D7E8B34D05B384F863E85A28E5" localSheetId="1" hidden="1">#REF!</definedName>
    <definedName name="BOF8B846D7E8B34D05B384F863E85A28E5" hidden="1">#REF!</definedName>
    <definedName name="BOF8E521594CB6424A882EA938563567D8" localSheetId="1" hidden="1">#REF!</definedName>
    <definedName name="BOF8E521594CB6424A882EA938563567D8" hidden="1">#REF!</definedName>
    <definedName name="BOF8F113671AB242A0A31C324D25132756" localSheetId="1" hidden="1">#REF!</definedName>
    <definedName name="BOF8F113671AB242A0A31C324D25132756" hidden="1">#REF!</definedName>
    <definedName name="BOF90C081FC31448DE8B5AE57F93E88D5A" localSheetId="1" hidden="1">#REF!</definedName>
    <definedName name="BOF90C081FC31448DE8B5AE57F93E88D5A" hidden="1">#REF!</definedName>
    <definedName name="BOF9376400C8CF4FCD85B320E7EAD04A94" localSheetId="1" hidden="1">#REF!</definedName>
    <definedName name="BOF9376400C8CF4FCD85B320E7EAD04A94" hidden="1">#REF!</definedName>
    <definedName name="BOF9495CF6160944879E041E0D38789F50" localSheetId="1" hidden="1">#REF!</definedName>
    <definedName name="BOF9495CF6160944879E041E0D38789F50" hidden="1">#REF!</definedName>
    <definedName name="BOF9509C2000054150B4B30DF7C43A4A51" localSheetId="1" hidden="1">#REF!</definedName>
    <definedName name="BOF9509C2000054150B4B30DF7C43A4A51" hidden="1">#REF!</definedName>
    <definedName name="BOF96D6F15B6C64D5C8030DD9389EA8255" localSheetId="1" hidden="1">#REF!</definedName>
    <definedName name="BOF96D6F15B6C64D5C8030DD9389EA8255" hidden="1">#REF!</definedName>
    <definedName name="BOF976143D93AF4A00A035132360605823" localSheetId="1" hidden="1">#REF!</definedName>
    <definedName name="BOF976143D93AF4A00A035132360605823" hidden="1">#REF!</definedName>
    <definedName name="BOF982D863C97441DE8C3A59719A3F7A1C" localSheetId="1" hidden="1">#REF!</definedName>
    <definedName name="BOF982D863C97441DE8C3A59719A3F7A1C" hidden="1">#REF!</definedName>
    <definedName name="BOF991385FBFDD4DD7AD5E7F1640C78BB8" localSheetId="1" hidden="1">#REF!</definedName>
    <definedName name="BOF991385FBFDD4DD7AD5E7F1640C78BB8" hidden="1">#REF!</definedName>
    <definedName name="BOF9958D4FBFBF40E68FCC6DC7A805A18F" localSheetId="1" hidden="1">#REF!</definedName>
    <definedName name="BOF9958D4FBFBF40E68FCC6DC7A805A18F" hidden="1">#REF!</definedName>
    <definedName name="BOF9CCA466DDE34243A28BEC11EA7696FC" localSheetId="1" hidden="1">#REF!</definedName>
    <definedName name="BOF9CCA466DDE34243A28BEC11EA7696FC" hidden="1">#REF!</definedName>
    <definedName name="BOF9D0F7B0FC8745ADA15A7F51ACA86046" localSheetId="1" hidden="1">#REF!</definedName>
    <definedName name="BOF9D0F7B0FC8745ADA15A7F51ACA86046" hidden="1">#REF!</definedName>
    <definedName name="BOF9E3ACA774784CC185178823C21D0683" localSheetId="1" hidden="1">#REF!</definedName>
    <definedName name="BOF9E3ACA774784CC185178823C21D0683" hidden="1">#REF!</definedName>
    <definedName name="BOF9E4F58BD63540A68A019559C64FCADD" localSheetId="1" hidden="1">#REF!</definedName>
    <definedName name="BOF9E4F58BD63540A68A019559C64FCADD" hidden="1">#REF!</definedName>
    <definedName name="BOF9F15082364A4134B98686203548E9D2" localSheetId="1" hidden="1">#REF!</definedName>
    <definedName name="BOF9F15082364A4134B98686203548E9D2" hidden="1">#REF!</definedName>
    <definedName name="BOF9F2E505E437475E8029DC8D894C88D9" localSheetId="1" hidden="1">#REF!</definedName>
    <definedName name="BOF9F2E505E437475E8029DC8D894C88D9" hidden="1">#REF!</definedName>
    <definedName name="BOF9F503D5C8DC4F159CA92378C6C2F165" localSheetId="1" hidden="1">#REF!</definedName>
    <definedName name="BOF9F503D5C8DC4F159CA92378C6C2F165" hidden="1">#REF!</definedName>
    <definedName name="BOFA14A2D8CB234719B612B2CD55B5C9B9" localSheetId="1" hidden="1">#REF!</definedName>
    <definedName name="BOFA14A2D8CB234719B612B2CD55B5C9B9" hidden="1">#REF!</definedName>
    <definedName name="BOFA189D6399D741059121AB58C4681E1B" localSheetId="1" hidden="1">#REF!</definedName>
    <definedName name="BOFA189D6399D741059121AB58C4681E1B" hidden="1">#REF!</definedName>
    <definedName name="BOFA2EA8565515456BB492A0487B3028BB" localSheetId="1" hidden="1">#REF!</definedName>
    <definedName name="BOFA2EA8565515456BB492A0487B3028BB" hidden="1">#REF!</definedName>
    <definedName name="BOFA6FBCF148F348859DF1A84441CCBAE5" localSheetId="1" hidden="1">#REF!</definedName>
    <definedName name="BOFA6FBCF148F348859DF1A84441CCBAE5" hidden="1">#REF!</definedName>
    <definedName name="BOFAABE7614B284661B98C71FC73AF5357" localSheetId="1" hidden="1">#REF!</definedName>
    <definedName name="BOFAABE7614B284661B98C71FC73AF5357" hidden="1">#REF!</definedName>
    <definedName name="BOFAC709B4C59A409D8062E376F00BEAEB" localSheetId="1" hidden="1">#REF!</definedName>
    <definedName name="BOFAC709B4C59A409D8062E376F00BEAEB" hidden="1">#REF!</definedName>
    <definedName name="BOFAD762ED2D514C759268845816353004" localSheetId="1" hidden="1">#REF!</definedName>
    <definedName name="BOFAD762ED2D514C759268845816353004" hidden="1">#REF!</definedName>
    <definedName name="BOFB1C41C30B6E4FDDB1D2E412168345EA" localSheetId="1" hidden="1">#REF!</definedName>
    <definedName name="BOFB1C41C30B6E4FDDB1D2E412168345EA" hidden="1">#REF!</definedName>
    <definedName name="BOFB336458987A4A00A14567345C5A3BC3" localSheetId="1" hidden="1">#REF!</definedName>
    <definedName name="BOFB336458987A4A00A14567345C5A3BC3" hidden="1">#REF!</definedName>
    <definedName name="BOFB68B3AB13A949D6B91D57867C55ACBD" localSheetId="1" hidden="1">#REF!</definedName>
    <definedName name="BOFB68B3AB13A949D6B91D57867C55ACBD" hidden="1">#REF!</definedName>
    <definedName name="BOFC008101E26942739BCE45A22FDC1809" localSheetId="1" hidden="1">#REF!</definedName>
    <definedName name="BOFC008101E26942739BCE45A22FDC1809" hidden="1">#REF!</definedName>
    <definedName name="BOFC101594CCBD46F69B92FD32FB5B2967" localSheetId="1" hidden="1">#REF!</definedName>
    <definedName name="BOFC101594CCBD46F69B92FD32FB5B2967" hidden="1">#REF!</definedName>
    <definedName name="BOFC5BF5B340284577A6C0DA03F1824FF8" localSheetId="1" hidden="1">#REF!</definedName>
    <definedName name="BOFC5BF5B340284577A6C0DA03F1824FF8" hidden="1">#REF!</definedName>
    <definedName name="BOFC691235AADD4AF99E5F69CD249F2546" localSheetId="1" hidden="1">#REF!</definedName>
    <definedName name="BOFC691235AADD4AF99E5F69CD249F2546" hidden="1">#REF!</definedName>
    <definedName name="BOFC779837E3E04A1985835E5DF253266E" localSheetId="1" hidden="1">#REF!</definedName>
    <definedName name="BOFC779837E3E04A1985835E5DF253266E" hidden="1">#REF!</definedName>
    <definedName name="BOFCB243D312254A6495E9987C2B550B68" localSheetId="1" hidden="1">#REF!</definedName>
    <definedName name="BOFCB243D312254A6495E9987C2B550B68" hidden="1">#REF!</definedName>
    <definedName name="BOFCED67DF69DE4476812BDAF010897053" localSheetId="1" hidden="1">#REF!</definedName>
    <definedName name="BOFCED67DF69DE4476812BDAF010897053" hidden="1">#REF!</definedName>
    <definedName name="BOFCF51C93505B48AC82B9911B1E5E5C72" localSheetId="1" hidden="1">#REF!</definedName>
    <definedName name="BOFCF51C93505B48AC82B9911B1E5E5C72" hidden="1">#REF!</definedName>
    <definedName name="BOFD09022DAC094A40B6A03F0E06944AFA" localSheetId="1" hidden="1">#REF!</definedName>
    <definedName name="BOFD09022DAC094A40B6A03F0E06944AFA" hidden="1">#REF!</definedName>
    <definedName name="BOFD529BCDFD5B4DC1A3A3F2BB939D10F7" localSheetId="1" hidden="1">#REF!</definedName>
    <definedName name="BOFD529BCDFD5B4DC1A3A3F2BB939D10F7" hidden="1">#REF!</definedName>
    <definedName name="BOFD8DF3176E384B91BF0EC93EA8ADD67B" localSheetId="1" hidden="1">#REF!</definedName>
    <definedName name="BOFD8DF3176E384B91BF0EC93EA8ADD67B" hidden="1">#REF!</definedName>
    <definedName name="BOFE0305390B704C48BA2EC4A05D8EC976" localSheetId="1" hidden="1">#REF!</definedName>
    <definedName name="BOFE0305390B704C48BA2EC4A05D8EC976" hidden="1">#REF!</definedName>
    <definedName name="BOFE0FFADB41B0470093CD34743DAA5984" localSheetId="1" hidden="1">#REF!</definedName>
    <definedName name="BOFE0FFADB41B0470093CD34743DAA5984" hidden="1">#REF!</definedName>
    <definedName name="BOFE2E98B7B96147599125BD16B196EA9A" localSheetId="1" hidden="1">#REF!</definedName>
    <definedName name="BOFE2E98B7B96147599125BD16B196EA9A" hidden="1">#REF!</definedName>
    <definedName name="BOFE80B2BAD5AA490FB1090A0F5A6B2D3E" localSheetId="1" hidden="1">#REF!</definedName>
    <definedName name="BOFE80B2BAD5AA490FB1090A0F5A6B2D3E" hidden="1">#REF!</definedName>
    <definedName name="BOFEA5122D1E64440F99EE2A3A11DF2E00" localSheetId="1" hidden="1">#REF!</definedName>
    <definedName name="BOFEA5122D1E64440F99EE2A3A11DF2E00" hidden="1">#REF!</definedName>
    <definedName name="BOFEA6BEA308954340BEC08D6EE88D6232" localSheetId="1" hidden="1">#REF!</definedName>
    <definedName name="BOFEA6BEA308954340BEC08D6EE88D6232" hidden="1">#REF!</definedName>
    <definedName name="BOFEEA8528210641EAAB5BD7AF7B5A478A" localSheetId="1" hidden="1">#REF!</definedName>
    <definedName name="BOFEEA8528210641EAAB5BD7AF7B5A478A" hidden="1">#REF!</definedName>
    <definedName name="BOFEEC3A32A9914EA8B78F465349332185" localSheetId="1" hidden="1">#REF!</definedName>
    <definedName name="BOFEEC3A32A9914EA8B78F465349332185" hidden="1">#REF!</definedName>
    <definedName name="BOFF2E1E2C77F74388A8E5E3760D657FFD" localSheetId="1" hidden="1">#REF!</definedName>
    <definedName name="BOFF2E1E2C77F74388A8E5E3760D657FFD" hidden="1">#REF!</definedName>
    <definedName name="BOFF3F97E7FAA347979ACC7B2E0F8F09D1" localSheetId="1" hidden="1">#REF!</definedName>
    <definedName name="BOFF3F97E7FAA347979ACC7B2E0F8F09D1" hidden="1">#REF!</definedName>
    <definedName name="BOFF4D952AA1C249788BD8E15A5BF80074" localSheetId="1" hidden="1">#REF!</definedName>
    <definedName name="BOFF4D952AA1C249788BD8E15A5BF80074" hidden="1">#REF!</definedName>
    <definedName name="BOFF5544F0476F470FA140C6EE947E013F" localSheetId="1" hidden="1">#REF!</definedName>
    <definedName name="BOFF5544F0476F470FA140C6EE947E013F" hidden="1">#REF!</definedName>
    <definedName name="BOFF61E3DC87BE4E8894E44CFB42BEB0B5" localSheetId="1" hidden="1">#REF!</definedName>
    <definedName name="BOFF61E3DC87BE4E8894E44CFB42BEB0B5" hidden="1">#REF!</definedName>
    <definedName name="BOFF7CC3ACE061481A91BF100123E466EF" localSheetId="1" hidden="1">#REF!</definedName>
    <definedName name="BOFF7CC3ACE061481A91BF100123E466EF" hidden="1">#REF!</definedName>
    <definedName name="BOFFC6A738E872423F9F535B7F1AC62C55" localSheetId="1" hidden="1">#REF!</definedName>
    <definedName name="BOFFC6A738E872423F9F535B7F1AC62C55" hidden="1">#REF!</definedName>
    <definedName name="BOFFD8B225E60E4EF78F585F6FA950656C" localSheetId="1" hidden="1">#REF!</definedName>
    <definedName name="BOFFD8B225E60E4EF78F585F6FA950656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I2" i="2"/>
  <c r="D20" i="1"/>
  <c r="J2" i="2"/>
  <c r="E20" i="1"/>
  <c r="O20" i="1"/>
  <c r="N20" i="1"/>
  <c r="M20" i="1"/>
  <c r="L20" i="1"/>
  <c r="K20" i="1"/>
  <c r="J20" i="1"/>
  <c r="I20" i="1"/>
  <c r="H20" i="1"/>
  <c r="G20" i="1"/>
  <c r="F20" i="1"/>
  <c r="O19" i="1"/>
  <c r="N19" i="1"/>
  <c r="N21" i="1" s="1"/>
  <c r="M19" i="1"/>
  <c r="L19" i="1"/>
  <c r="K19" i="1"/>
  <c r="J19" i="1"/>
  <c r="I19" i="1"/>
  <c r="H19" i="1"/>
  <c r="G19" i="1"/>
  <c r="F19" i="1"/>
  <c r="E19" i="1"/>
  <c r="D19" i="1"/>
  <c r="O15" i="1"/>
  <c r="N15" i="1"/>
  <c r="M15" i="1"/>
  <c r="L15" i="1"/>
  <c r="K15" i="1"/>
  <c r="J15" i="1"/>
  <c r="I15" i="1"/>
  <c r="H15" i="1"/>
  <c r="G15" i="1"/>
  <c r="F15" i="1"/>
  <c r="E15" i="1"/>
  <c r="D15" i="1"/>
  <c r="D4" i="1"/>
  <c r="O14" i="1"/>
  <c r="N14" i="1"/>
  <c r="M14" i="1"/>
  <c r="L14" i="1"/>
  <c r="K14" i="1"/>
  <c r="J14" i="1"/>
  <c r="I14" i="1"/>
  <c r="H14" i="1"/>
  <c r="G14" i="1"/>
  <c r="F14" i="1"/>
  <c r="E14" i="1"/>
  <c r="D14" i="1"/>
  <c r="O3" i="1"/>
  <c r="N3" i="1"/>
  <c r="M3" i="1"/>
  <c r="L3" i="1"/>
  <c r="K3" i="1"/>
  <c r="J3" i="1"/>
  <c r="I3" i="1"/>
  <c r="H3" i="1"/>
  <c r="G3" i="1"/>
  <c r="F3" i="1"/>
  <c r="E3" i="1"/>
  <c r="D3" i="1"/>
  <c r="O9" i="1"/>
  <c r="N9" i="1"/>
  <c r="M9" i="1"/>
  <c r="L9" i="1"/>
  <c r="K9" i="1"/>
  <c r="J9" i="1"/>
  <c r="I9" i="1"/>
  <c r="H9" i="1"/>
  <c r="G9" i="1"/>
  <c r="F9" i="1"/>
  <c r="E9" i="1"/>
  <c r="D9" i="1"/>
  <c r="O8" i="1"/>
  <c r="N8" i="1"/>
  <c r="M8" i="1"/>
  <c r="L8" i="1"/>
  <c r="K8" i="1"/>
  <c r="J8" i="1"/>
  <c r="I8" i="1"/>
  <c r="H8" i="1"/>
  <c r="G8" i="1"/>
  <c r="F8" i="1"/>
  <c r="E8" i="1"/>
  <c r="D8" i="1"/>
  <c r="O4" i="1"/>
  <c r="N4" i="1"/>
  <c r="M4" i="1"/>
  <c r="L4" i="1"/>
  <c r="K4" i="1"/>
  <c r="J4" i="1"/>
  <c r="I4" i="1"/>
  <c r="H4" i="1"/>
  <c r="G4" i="1"/>
  <c r="F4" i="1"/>
  <c r="E4" i="1"/>
  <c r="O21" i="1" l="1"/>
  <c r="J21" i="1"/>
  <c r="M21" i="1"/>
  <c r="L21" i="1"/>
  <c r="K21" i="1"/>
  <c r="F21" i="1"/>
  <c r="D21" i="1"/>
  <c r="I21" i="1"/>
  <c r="K16" i="1"/>
  <c r="M16" i="1"/>
  <c r="N16" i="1"/>
  <c r="O16" i="1"/>
  <c r="E21" i="1"/>
  <c r="G21" i="1"/>
  <c r="H21" i="1"/>
  <c r="P20" i="1"/>
  <c r="P19" i="1"/>
  <c r="P15" i="1"/>
  <c r="E16" i="1"/>
  <c r="F16" i="1"/>
  <c r="G16" i="1"/>
  <c r="H16" i="1"/>
  <c r="I16" i="1"/>
  <c r="J16" i="1"/>
  <c r="L16" i="1"/>
  <c r="D16" i="1"/>
  <c r="F10" i="1"/>
  <c r="P14" i="1"/>
  <c r="J377" i="2"/>
  <c r="J147" i="2"/>
  <c r="J146" i="2"/>
  <c r="J145" i="2"/>
  <c r="J98" i="2"/>
  <c r="J97" i="2"/>
  <c r="J30" i="2"/>
  <c r="P9" i="1"/>
  <c r="E10" i="1"/>
  <c r="D10" i="1"/>
  <c r="P4" i="1"/>
  <c r="O5" i="1"/>
  <c r="N5" i="1"/>
  <c r="M5" i="1"/>
  <c r="L5" i="1"/>
  <c r="K5" i="1"/>
  <c r="J5" i="1"/>
  <c r="I5" i="1"/>
  <c r="H5" i="1"/>
  <c r="G5" i="1"/>
  <c r="F5" i="1"/>
  <c r="E5" i="1"/>
  <c r="P21" i="1" l="1"/>
  <c r="P16" i="1"/>
  <c r="P3" i="1"/>
  <c r="P5" i="1" s="1"/>
  <c r="H10" i="1" l="1"/>
  <c r="G10" i="1"/>
  <c r="I10" i="1" l="1"/>
  <c r="J10" i="1" l="1"/>
  <c r="K10" i="1" l="1"/>
  <c r="L10" i="1" l="1"/>
  <c r="N10" i="1"/>
  <c r="M10" i="1" l="1"/>
  <c r="O10" i="1" l="1"/>
  <c r="P8" i="1"/>
  <c r="P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I230" authorId="0" shapeId="0" xr:uid="{1197F0C9-5D9C-456F-AEEC-A83469793A9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xe nhà</t>
        </r>
      </text>
    </comment>
    <comment ref="I257" authorId="0" shapeId="0" xr:uid="{092BC590-7388-4B6A-BC09-E802A48CCF7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xe nhà</t>
        </r>
      </text>
    </comment>
  </commentList>
</comments>
</file>

<file path=xl/sharedStrings.xml><?xml version="1.0" encoding="utf-8"?>
<sst xmlns="http://schemas.openxmlformats.org/spreadsheetml/2006/main" count="3666" uniqueCount="368">
  <si>
    <t>SL bán (tấn)</t>
  </si>
  <si>
    <t>Tổng</t>
  </si>
  <si>
    <t>Unilever</t>
  </si>
  <si>
    <t>% SL bán/ tổng SL</t>
  </si>
  <si>
    <t>Doanh thu (trđ)</t>
  </si>
  <si>
    <t>% doanh thu/ tổng DT</t>
  </si>
  <si>
    <t>Month</t>
  </si>
  <si>
    <t>Incoterm</t>
  </si>
  <si>
    <t>Customer</t>
  </si>
  <si>
    <t>Material Group</t>
  </si>
  <si>
    <t>Product</t>
  </si>
  <si>
    <t>Số lượng h.bán T.Tế</t>
  </si>
  <si>
    <t>Doanh thu thuần 2 T.Tế</t>
  </si>
  <si>
    <t>1</t>
  </si>
  <si>
    <t>B2B</t>
  </si>
  <si>
    <t>1000</t>
  </si>
  <si>
    <t>CPSX Nhựa Duy Tân</t>
  </si>
  <si>
    <t>110000354</t>
  </si>
  <si>
    <t>Hạt nhựa rPET WSS01G</t>
  </si>
  <si>
    <t>102990</t>
  </si>
  <si>
    <t>Coca-Cola Thủ Đức</t>
  </si>
  <si>
    <t>110000332</t>
  </si>
  <si>
    <t>Hạt nhựa rPET iSS01084G</t>
  </si>
  <si>
    <t>104894</t>
  </si>
  <si>
    <t>UNILEVER-NGỌC NGHĨA</t>
  </si>
  <si>
    <t>104909</t>
  </si>
  <si>
    <t>Công ty TNHH La Vie</t>
  </si>
  <si>
    <t>110000497</t>
  </si>
  <si>
    <t>Hạt Nhựa rPET WSS01G-L</t>
  </si>
  <si>
    <t>105186</t>
  </si>
  <si>
    <t>CÔNG TY TNHH HON CHU</t>
  </si>
  <si>
    <t>110000355</t>
  </si>
  <si>
    <t>Hạt nhựa rPET iSS01G</t>
  </si>
  <si>
    <t>105194</t>
  </si>
  <si>
    <t>Suntory Việt Nam</t>
  </si>
  <si>
    <t>105204</t>
  </si>
  <si>
    <t>CTY NGỌC NGHĨA-TÂY N</t>
  </si>
  <si>
    <t>105207</t>
  </si>
  <si>
    <t>Sri Thái Bình Dương</t>
  </si>
  <si>
    <t>105222</t>
  </si>
  <si>
    <t>CN Cty Coca - Hà Nội</t>
  </si>
  <si>
    <t>105223</t>
  </si>
  <si>
    <t>Dynaplast Bắc Ninh</t>
  </si>
  <si>
    <t>110000339</t>
  </si>
  <si>
    <t>Hạt Nhựa rHDPE MBF01</t>
  </si>
  <si>
    <t>105263</t>
  </si>
  <si>
    <t>Unilever Duy Tân</t>
  </si>
  <si>
    <t>110000360</t>
  </si>
  <si>
    <t>Hạt nhựa rHDI4L01</t>
  </si>
  <si>
    <t>110000425</t>
  </si>
  <si>
    <t>Hạt Nhựa HCBF-Whi-U</t>
  </si>
  <si>
    <t>110000426</t>
  </si>
  <si>
    <t>Hạt Nhựa HCBF-Yel-U</t>
  </si>
  <si>
    <t>110000481</t>
  </si>
  <si>
    <t>Hạt Nhựa rHDPE PCF01</t>
  </si>
  <si>
    <t>105265</t>
  </si>
  <si>
    <t>Muji- DTP</t>
  </si>
  <si>
    <t>105271</t>
  </si>
  <si>
    <t>105272</t>
  </si>
  <si>
    <t>LINH CHI</t>
  </si>
  <si>
    <t>110000466</t>
  </si>
  <si>
    <t>Hạt Nhựa rPET WSS05S</t>
  </si>
  <si>
    <t>105281</t>
  </si>
  <si>
    <t>Plascene- DTP</t>
  </si>
  <si>
    <t>110000329</t>
  </si>
  <si>
    <t>Hạt nhựa rPET WSS01</t>
  </si>
  <si>
    <t>105284</t>
  </si>
  <si>
    <t>Motul -DTP</t>
  </si>
  <si>
    <t>110000374</t>
  </si>
  <si>
    <t>Hạt Nhựa rHDB03N02</t>
  </si>
  <si>
    <t>105291</t>
  </si>
  <si>
    <t>AN NHẬT</t>
  </si>
  <si>
    <t>105306</t>
  </si>
  <si>
    <t>MTV MILKIWAY SOLUTIO</t>
  </si>
  <si>
    <t>105319</t>
  </si>
  <si>
    <t>PHƯƠNG VI</t>
  </si>
  <si>
    <t>110000365</t>
  </si>
  <si>
    <t>Hạt nhựa rHDI3W01</t>
  </si>
  <si>
    <t>105324</t>
  </si>
  <si>
    <t>NHỰA TRƯỜNG AN</t>
  </si>
  <si>
    <t>110000407</t>
  </si>
  <si>
    <t>Vảy HD Ép Đỏ</t>
  </si>
  <si>
    <t>110000409</t>
  </si>
  <si>
    <t>Vảy HD Ép Vàng</t>
  </si>
  <si>
    <t>XK</t>
  </si>
  <si>
    <t>200319</t>
  </si>
  <si>
    <t>Niagara Bottling, LL</t>
  </si>
  <si>
    <t>200337</t>
  </si>
  <si>
    <t>Toyota Tsusho</t>
  </si>
  <si>
    <t>200367</t>
  </si>
  <si>
    <t>MAS CO.LTD</t>
  </si>
  <si>
    <t>200368</t>
  </si>
  <si>
    <t>SodaStream</t>
  </si>
  <si>
    <t>110000361</t>
  </si>
  <si>
    <t>Hạt nhựa rHDI3R01</t>
  </si>
  <si>
    <t>110000363</t>
  </si>
  <si>
    <t>Hạt nhựa rHDI3Gy01</t>
  </si>
  <si>
    <t>110000364</t>
  </si>
  <si>
    <t>Hạt nhựa rHDI3Y01</t>
  </si>
  <si>
    <t>102865</t>
  </si>
  <si>
    <t>Dynaplast Bình Dương</t>
  </si>
  <si>
    <t>105189</t>
  </si>
  <si>
    <t>Chấn Thuận Thành</t>
  </si>
  <si>
    <t>110000408</t>
  </si>
  <si>
    <t>Vảy HD Ép Trắng</t>
  </si>
  <si>
    <t>110000410</t>
  </si>
  <si>
    <t>Vảy HD Ép Lá</t>
  </si>
  <si>
    <t>105286</t>
  </si>
  <si>
    <t>Mondelez-Việt Thành</t>
  </si>
  <si>
    <t>110000392</t>
  </si>
  <si>
    <t>Hạt nhựa rPP20B01</t>
  </si>
  <si>
    <t>105292</t>
  </si>
  <si>
    <t>NHỰA ĐỒNG NAI</t>
  </si>
  <si>
    <t>110000341</t>
  </si>
  <si>
    <t>Hạt nhựa rHDB04B01</t>
  </si>
  <si>
    <t>105323</t>
  </si>
  <si>
    <t>ĐẠI LỤC</t>
  </si>
  <si>
    <t>110000436</t>
  </si>
  <si>
    <t>Hạt nhựa rPET WSS05SB</t>
  </si>
  <si>
    <t>110000411</t>
  </si>
  <si>
    <t>Vảy HD Ép Dương</t>
  </si>
  <si>
    <t>105327</t>
  </si>
  <si>
    <t>MEGA</t>
  </si>
  <si>
    <t>110000389</t>
  </si>
  <si>
    <t>Hạt nhựa rPP20R02</t>
  </si>
  <si>
    <t>110000435</t>
  </si>
  <si>
    <t>Hạt Nhựa rPP20L03</t>
  </si>
  <si>
    <t>110000472</t>
  </si>
  <si>
    <t>Hạt Nhựa rPP20Gy01</t>
  </si>
  <si>
    <t>110000482</t>
  </si>
  <si>
    <t>Hạt Nhựa rPP20W01</t>
  </si>
  <si>
    <t>105329</t>
  </si>
  <si>
    <t>DUROCOLOUR</t>
  </si>
  <si>
    <t>105330</t>
  </si>
  <si>
    <t>Việt Thành Plast</t>
  </si>
  <si>
    <t>110000359</t>
  </si>
  <si>
    <t>Hạt nhựa rPET WSS03G</t>
  </si>
  <si>
    <t>105333</t>
  </si>
  <si>
    <t>LƯỚI BẢO NÔNG</t>
  </si>
  <si>
    <t>105334</t>
  </si>
  <si>
    <t>NHỰA BUYO</t>
  </si>
  <si>
    <t>200326</t>
  </si>
  <si>
    <t>Resinex</t>
  </si>
  <si>
    <t>200329</t>
  </si>
  <si>
    <t>Pentaplast SRL</t>
  </si>
  <si>
    <t>200330</t>
  </si>
  <si>
    <t>Fega</t>
  </si>
  <si>
    <t>200332</t>
  </si>
  <si>
    <t>OUTEIRINHO TURISMO E</t>
  </si>
  <si>
    <t>110000496</t>
  </si>
  <si>
    <t>Hạt Nhựa rHDI7DL02</t>
  </si>
  <si>
    <t>200341</t>
  </si>
  <si>
    <t>Pragmatrade</t>
  </si>
  <si>
    <t>200355</t>
  </si>
  <si>
    <t>International Gate S</t>
  </si>
  <si>
    <t>200364</t>
  </si>
  <si>
    <t>POLYRESIN EOOD</t>
  </si>
  <si>
    <t>200365</t>
  </si>
  <si>
    <t>Vinmar International</t>
  </si>
  <si>
    <t>200369</t>
  </si>
  <si>
    <t>PTI- Retal</t>
  </si>
  <si>
    <t>200370</t>
  </si>
  <si>
    <t>KORYFES SA</t>
  </si>
  <si>
    <t>200372</t>
  </si>
  <si>
    <t>MERAXIS AG</t>
  </si>
  <si>
    <t>200374</t>
  </si>
  <si>
    <t>Polycad</t>
  </si>
  <si>
    <t>105328</t>
  </si>
  <si>
    <t>COCA-COLA VIỆT NAM</t>
  </si>
  <si>
    <t>200377</t>
  </si>
  <si>
    <t>COLLECTIVE POLYMERS</t>
  </si>
  <si>
    <t>110000499</t>
  </si>
  <si>
    <t>Hạt Nhựa rPET WSS01L</t>
  </si>
  <si>
    <t>200376</t>
  </si>
  <si>
    <t>CORAL A.E.</t>
  </si>
  <si>
    <t>110000495</t>
  </si>
  <si>
    <t>Hạt Nhựa rHDA03W01</t>
  </si>
  <si>
    <t>105219</t>
  </si>
  <si>
    <t>CTY VÂN LONG</t>
  </si>
  <si>
    <t>105248</t>
  </si>
  <si>
    <t>ĐẠI NHẤT LONG</t>
  </si>
  <si>
    <t>110000421</t>
  </si>
  <si>
    <t>Vảy PP Đỏ Nhạt</t>
  </si>
  <si>
    <t>105335</t>
  </si>
  <si>
    <t>EATONE PRO</t>
  </si>
  <si>
    <t>105339</t>
  </si>
  <si>
    <t>HUY THÀNH</t>
  </si>
  <si>
    <t>110000413</t>
  </si>
  <si>
    <t>Vảy HD Ép Đồng</t>
  </si>
  <si>
    <t>110000443</t>
  </si>
  <si>
    <t>Hạt Nhựa rHDA03N01</t>
  </si>
  <si>
    <t>Hạt Nhựa rPET WSS05SB-2</t>
  </si>
  <si>
    <t>200343</t>
  </si>
  <si>
    <t>MILKYWAY</t>
  </si>
  <si>
    <t>200375</t>
  </si>
  <si>
    <t>Nu-Pure</t>
  </si>
  <si>
    <t>110000412</t>
  </si>
  <si>
    <t>Vảy HD Ép Đen</t>
  </si>
  <si>
    <t>200311</t>
  </si>
  <si>
    <t>Plascene, Inc.</t>
  </si>
  <si>
    <t>200358</t>
  </si>
  <si>
    <t>REYNERA</t>
  </si>
  <si>
    <t>110000470</t>
  </si>
  <si>
    <t>Hạt Nhựa rPP20L04</t>
  </si>
  <si>
    <t>110000471</t>
  </si>
  <si>
    <t>Hạt Nhựa rPP20L05</t>
  </si>
  <si>
    <t>105341</t>
  </si>
  <si>
    <t>TÂN HOA THỊNH</t>
  </si>
  <si>
    <t>105301</t>
  </si>
  <si>
    <t>TÂN TƯỜNG KHANG</t>
  </si>
  <si>
    <t>105214</t>
  </si>
  <si>
    <t>Người mua hàng không</t>
  </si>
  <si>
    <t>105336</t>
  </si>
  <si>
    <t>Hailide Việt Nam</t>
  </si>
  <si>
    <t>110000382</t>
  </si>
  <si>
    <t>Hạt nhựa rPET WSS04SB</t>
  </si>
  <si>
    <t>110000366</t>
  </si>
  <si>
    <t>Hạt nhựa rHDI3G01</t>
  </si>
  <si>
    <t>105342</t>
  </si>
  <si>
    <t>VIỆT NHẬT</t>
  </si>
  <si>
    <t>105346</t>
  </si>
  <si>
    <t>GUNICA</t>
  </si>
  <si>
    <t>110000423</t>
  </si>
  <si>
    <t>Vảy PP Dương Nhạt</t>
  </si>
  <si>
    <t>105347</t>
  </si>
  <si>
    <t>Kim Hòa</t>
  </si>
  <si>
    <t>105348</t>
  </si>
  <si>
    <t>Bao Bì Vinh Nam</t>
  </si>
  <si>
    <t>105349</t>
  </si>
  <si>
    <t>MTVN Plastic</t>
  </si>
  <si>
    <t>105350</t>
  </si>
  <si>
    <t>Suntory - Ngọc Nghĩa Hưng Yên</t>
  </si>
  <si>
    <t>200380</t>
  </si>
  <si>
    <t>Lion Corp</t>
  </si>
  <si>
    <t>200381</t>
  </si>
  <si>
    <t>ITD Polyresin</t>
  </si>
  <si>
    <t>105351</t>
  </si>
  <si>
    <t>ĐÔ THÀNH</t>
  </si>
  <si>
    <t>200357</t>
  </si>
  <si>
    <t>Genesis Polymers Int</t>
  </si>
  <si>
    <t>200382</t>
  </si>
  <si>
    <t>Montachem Internatio</t>
  </si>
  <si>
    <t>200383</t>
  </si>
  <si>
    <t>Natures Organics - P</t>
  </si>
  <si>
    <t>LDPE</t>
  </si>
  <si>
    <t>110000502</t>
  </si>
  <si>
    <t>Hạt Nhựa rLDB2N01</t>
  </si>
  <si>
    <t>200390</t>
  </si>
  <si>
    <t>Agrifreda</t>
  </si>
  <si>
    <t>ANTEX</t>
  </si>
  <si>
    <t>200359</t>
  </si>
  <si>
    <t>DACHEN (PREMIUM WATE</t>
  </si>
  <si>
    <t>200386</t>
  </si>
  <si>
    <t>GENESIS DISTRIBUCIÓN</t>
  </si>
  <si>
    <t>105357</t>
  </si>
  <si>
    <t>MINH THÔNG</t>
  </si>
  <si>
    <t>110000483</t>
  </si>
  <si>
    <t>Hạt Nhựa rPET iSS01G-S</t>
  </si>
  <si>
    <t>105355</t>
  </si>
  <si>
    <t>NHỰA ÂU LẠC</t>
  </si>
  <si>
    <t>105356</t>
  </si>
  <si>
    <t>QUANG CHÍ BẢO</t>
  </si>
  <si>
    <t>200391</t>
  </si>
  <si>
    <t>SHARPAK AYLESHAM LTD</t>
  </si>
  <si>
    <t>110000505</t>
  </si>
  <si>
    <t>Vảy PET</t>
  </si>
  <si>
    <t>200389</t>
  </si>
  <si>
    <t>TAE BAEK</t>
  </si>
  <si>
    <t>200384</t>
  </si>
  <si>
    <t>TRICON</t>
  </si>
  <si>
    <t>105354</t>
  </si>
  <si>
    <t>UNILEVER - NNG-TN</t>
  </si>
  <si>
    <t>200385</t>
  </si>
  <si>
    <t>VINMAR POLYMERS AMER</t>
  </si>
  <si>
    <t>104877</t>
  </si>
  <si>
    <t>Cty TNHH Uy Kiệt</t>
  </si>
  <si>
    <t>105287</t>
  </si>
  <si>
    <t>CÔNG TY TNHH HƯNG DỤ</t>
  </si>
  <si>
    <t>105358</t>
  </si>
  <si>
    <t>Ngũ Kim Tấn Phát</t>
  </si>
  <si>
    <t>105359</t>
  </si>
  <si>
    <t>Thạc Hương</t>
  </si>
  <si>
    <t>105360</t>
  </si>
  <si>
    <t>Lợi Tường</t>
  </si>
  <si>
    <t>105361</t>
  </si>
  <si>
    <t>THÀNH NGHĨA P.E.T</t>
  </si>
  <si>
    <t>110000503</t>
  </si>
  <si>
    <t>Hạt Nhựa rPET WSS01S</t>
  </si>
  <si>
    <t>110000506</t>
  </si>
  <si>
    <t>Hạt Nhựa rPET WSS01 &amp; WSS01G-L</t>
  </si>
  <si>
    <t>105312</t>
  </si>
  <si>
    <t>COCA COLA ĐÀ NẴNG</t>
  </si>
  <si>
    <t>Hạt Nhựa rPET iSS01G</t>
  </si>
  <si>
    <t>105364</t>
  </si>
  <si>
    <t>Nhựa Lộc Phát</t>
  </si>
  <si>
    <t>105367</t>
  </si>
  <si>
    <t>Nhựa TC 2050</t>
  </si>
  <si>
    <t>200388</t>
  </si>
  <si>
    <t>Svepol Americas Inc.</t>
  </si>
  <si>
    <t>200392</t>
  </si>
  <si>
    <t>RTCO</t>
  </si>
  <si>
    <t>200394</t>
  </si>
  <si>
    <t>MHE ENTERPRISE</t>
  </si>
  <si>
    <t>Hạt Nhựa rPET WSS01</t>
  </si>
  <si>
    <t>105266</t>
  </si>
  <si>
    <t>MIDA</t>
  </si>
  <si>
    <t>110000376</t>
  </si>
  <si>
    <t>Hạt nhựa rPET iSS01L</t>
  </si>
  <si>
    <t>105267</t>
  </si>
  <si>
    <t>Hồng Kim Long An</t>
  </si>
  <si>
    <t>110000508</t>
  </si>
  <si>
    <t>Hạt Nhựa rPP20W02</t>
  </si>
  <si>
    <t>110000358</t>
  </si>
  <si>
    <t>Hạt nhựa rPET WSS02G</t>
  </si>
  <si>
    <t>105313</t>
  </si>
  <si>
    <t>Ngọc Nghĩa</t>
  </si>
  <si>
    <t>110000335</t>
  </si>
  <si>
    <t>Hạt nhựa rPET WSS04</t>
  </si>
  <si>
    <t>105365</t>
  </si>
  <si>
    <t>Mekong Bros</t>
  </si>
  <si>
    <t>1005</t>
  </si>
  <si>
    <t>Duy Tân Long An</t>
  </si>
  <si>
    <t>Oceanworks</t>
  </si>
  <si>
    <t>110000381</t>
  </si>
  <si>
    <t>Hạt nhựa rPET WSS04SD</t>
  </si>
  <si>
    <t>110000387</t>
  </si>
  <si>
    <t>Hạt nhựa rPET WSS03SD</t>
  </si>
  <si>
    <t>105314</t>
  </si>
  <si>
    <t>Vilube - DTP</t>
  </si>
  <si>
    <t>105337</t>
  </si>
  <si>
    <t>NHỰA ĐẠT HÒA</t>
  </si>
  <si>
    <t>110000509</t>
  </si>
  <si>
    <t>Hạt Nhựa rHDB01B01</t>
  </si>
  <si>
    <t>110000431</t>
  </si>
  <si>
    <t>Hạt Nhựa rHDI3Gy02</t>
  </si>
  <si>
    <t>105371</t>
  </si>
  <si>
    <t>VINAFIBER</t>
  </si>
  <si>
    <t>105372</t>
  </si>
  <si>
    <t>Sanofi - DTP</t>
  </si>
  <si>
    <t>105382</t>
  </si>
  <si>
    <t>VĂN MINH</t>
  </si>
  <si>
    <t>105383</t>
  </si>
  <si>
    <t>Aeonmall - DTP</t>
  </si>
  <si>
    <t>110000394</t>
  </si>
  <si>
    <t>Hạt nhựa rPP15Gy02</t>
  </si>
  <si>
    <t>105384</t>
  </si>
  <si>
    <t>QUÀ TẶNG MỘC</t>
  </si>
  <si>
    <t>200387</t>
  </si>
  <si>
    <t>Suntory Sri Thái Bình Dương</t>
  </si>
  <si>
    <t>Suntory- Ngọc Nghĩa Tây Ninh</t>
  </si>
  <si>
    <t>MTV MILKIWAY SOLUTION</t>
  </si>
  <si>
    <t>Hạt nhựa rPET WSS05S</t>
  </si>
  <si>
    <t>105373</t>
  </si>
  <si>
    <t>IKEA - An Nhật</t>
  </si>
  <si>
    <t>105374</t>
  </si>
  <si>
    <t>CHẤN HÙNG</t>
  </si>
  <si>
    <t>105386</t>
  </si>
  <si>
    <t>BÌNH MINH VIỆT</t>
  </si>
  <si>
    <t>105387</t>
  </si>
  <si>
    <t>IKEA- VĨ HUY</t>
  </si>
  <si>
    <t>200396</t>
  </si>
  <si>
    <t>Industrias Salcom</t>
  </si>
  <si>
    <t>*</t>
  </si>
  <si>
    <t>rPET</t>
  </si>
  <si>
    <t>Xơ sợi</t>
  </si>
  <si>
    <t>rPP</t>
  </si>
  <si>
    <t>rHDPE</t>
  </si>
  <si>
    <t>Nhóm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</si>
</sst>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-* #,##0.000000_-;\-* #,##0.000000_-;_-* &quot;-&quot;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0"/>
      <color rgb="FFFF00FF"/>
      <name val="Times New Roman"/>
      <family val="1"/>
    </font>
    <font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color rgb="FFFF66CC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66CC"/>
      <name val="Times New Roman"/>
      <family val="1"/>
    </font>
    <font>
      <b/>
      <sz val="10"/>
      <color rgb="FFFF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164" fontId="3" fillId="0" borderId="2" xfId="1" applyFont="1" applyBorder="1"/>
    <xf numFmtId="164" fontId="3" fillId="0" borderId="2" xfId="0" applyNumberFormat="1" applyFont="1" applyBorder="1"/>
    <xf numFmtId="0" fontId="3" fillId="0" borderId="3" xfId="0" applyFont="1" applyBorder="1"/>
    <xf numFmtId="9" fontId="3" fillId="0" borderId="3" xfId="2" applyFont="1" applyBorder="1"/>
    <xf numFmtId="164" fontId="3" fillId="0" borderId="0" xfId="1" applyFont="1" applyBorder="1"/>
    <xf numFmtId="164" fontId="3" fillId="0" borderId="0" xfId="1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3" applyNumberFormat="1" applyFont="1" applyAlignment="1">
      <alignment vertical="top"/>
    </xf>
    <xf numFmtId="164" fontId="5" fillId="0" borderId="0" xfId="1" applyFont="1" applyAlignment="1">
      <alignment vertical="top"/>
    </xf>
    <xf numFmtId="0" fontId="7" fillId="0" borderId="0" xfId="0" applyFont="1" applyAlignment="1">
      <alignment horizontal="center" vertical="top"/>
    </xf>
    <xf numFmtId="166" fontId="5" fillId="0" borderId="0" xfId="0" applyNumberFormat="1" applyFont="1" applyAlignment="1">
      <alignment vertical="top"/>
    </xf>
    <xf numFmtId="167" fontId="5" fillId="0" borderId="0" xfId="1" applyNumberFormat="1" applyFont="1" applyAlignment="1">
      <alignment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8" fillId="0" borderId="0" xfId="3" applyNumberFormat="1" applyFont="1" applyAlignment="1">
      <alignment vertical="top"/>
    </xf>
    <xf numFmtId="164" fontId="8" fillId="0" borderId="0" xfId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0" fontId="4" fillId="3" borderId="4" xfId="0" applyFont="1" applyFill="1" applyBorder="1" applyAlignment="1">
      <alignment vertical="top" wrapText="1"/>
    </xf>
    <xf numFmtId="49" fontId="6" fillId="3" borderId="4" xfId="0" applyNumberFormat="1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164" fontId="6" fillId="3" borderId="4" xfId="1" applyFont="1" applyFill="1" applyBorder="1" applyAlignment="1">
      <alignment vertical="top" wrapText="1"/>
    </xf>
    <xf numFmtId="49" fontId="7" fillId="0" borderId="0" xfId="0" applyNumberFormat="1" applyFont="1" applyAlignment="1">
      <alignment horizontal="center" vertical="top"/>
    </xf>
    <xf numFmtId="49" fontId="11" fillId="0" borderId="0" xfId="0" applyNumberFormat="1" applyFont="1" applyAlignment="1">
      <alignment vertical="top"/>
    </xf>
    <xf numFmtId="166" fontId="11" fillId="0" borderId="0" xfId="3" applyNumberFormat="1" applyFont="1" applyFill="1" applyAlignment="1">
      <alignment vertical="top"/>
    </xf>
    <xf numFmtId="166" fontId="4" fillId="0" borderId="0" xfId="3" applyNumberFormat="1" applyFont="1" applyFill="1" applyAlignment="1">
      <alignment vertical="top"/>
    </xf>
    <xf numFmtId="49" fontId="5" fillId="0" borderId="0" xfId="0" applyNumberFormat="1" applyFont="1" applyAlignment="1">
      <alignment vertical="top"/>
    </xf>
    <xf numFmtId="164" fontId="11" fillId="0" borderId="0" xfId="1" applyFont="1" applyFill="1" applyAlignment="1">
      <alignment horizontal="right" vertical="top"/>
    </xf>
    <xf numFmtId="0" fontId="11" fillId="0" borderId="0" xfId="0" applyFont="1" applyAlignment="1">
      <alignment vertical="top"/>
    </xf>
    <xf numFmtId="166" fontId="4" fillId="0" borderId="0" xfId="3" applyNumberFormat="1" applyFont="1" applyAlignment="1">
      <alignment vertical="top"/>
    </xf>
    <xf numFmtId="166" fontId="11" fillId="0" borderId="0" xfId="3" applyNumberFormat="1" applyFont="1" applyAlignment="1">
      <alignment vertical="top"/>
    </xf>
    <xf numFmtId="166" fontId="12" fillId="0" borderId="0" xfId="3" applyNumberFormat="1" applyFont="1" applyAlignment="1">
      <alignment vertical="top"/>
    </xf>
    <xf numFmtId="0" fontId="5" fillId="0" borderId="0" xfId="0" quotePrefix="1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5" xfId="0" applyBorder="1"/>
    <xf numFmtId="0" fontId="13" fillId="0" borderId="5" xfId="0" applyFont="1" applyBorder="1" applyAlignment="1">
      <alignment horizontal="center"/>
    </xf>
    <xf numFmtId="0" fontId="7" fillId="4" borderId="0" xfId="0" applyFont="1" applyFill="1" applyAlignment="1">
      <alignment horizontal="center" vertical="top"/>
    </xf>
    <xf numFmtId="0" fontId="4" fillId="4" borderId="0" xfId="0" applyFont="1" applyFill="1" applyAlignment="1">
      <alignment vertical="top"/>
    </xf>
    <xf numFmtId="49" fontId="5" fillId="4" borderId="0" xfId="0" applyNumberFormat="1" applyFont="1" applyFill="1" applyAlignment="1">
      <alignment vertical="top"/>
    </xf>
    <xf numFmtId="166" fontId="5" fillId="4" borderId="0" xfId="3" applyNumberFormat="1" applyFont="1" applyFill="1" applyAlignment="1">
      <alignment vertical="top"/>
    </xf>
    <xf numFmtId="166" fontId="4" fillId="4" borderId="0" xfId="3" applyNumberFormat="1" applyFont="1" applyFill="1" applyAlignment="1">
      <alignment vertical="top"/>
    </xf>
    <xf numFmtId="0" fontId="5" fillId="4" borderId="0" xfId="0" applyFont="1" applyFill="1" applyAlignment="1">
      <alignment vertical="top"/>
    </xf>
    <xf numFmtId="164" fontId="5" fillId="4" borderId="0" xfId="1" applyFont="1" applyFill="1" applyAlignment="1">
      <alignment vertical="top"/>
    </xf>
    <xf numFmtId="0" fontId="0" fillId="4" borderId="0" xfId="0" applyFill="1"/>
    <xf numFmtId="49" fontId="7" fillId="4" borderId="0" xfId="0" applyNumberFormat="1" applyFont="1" applyFill="1" applyAlignment="1">
      <alignment horizontal="center" vertical="top"/>
    </xf>
    <xf numFmtId="49" fontId="11" fillId="4" borderId="0" xfId="0" applyNumberFormat="1" applyFont="1" applyFill="1" applyAlignment="1">
      <alignment vertical="top"/>
    </xf>
    <xf numFmtId="166" fontId="11" fillId="4" borderId="0" xfId="3" applyNumberFormat="1" applyFont="1" applyFill="1" applyAlignment="1">
      <alignment vertical="top"/>
    </xf>
    <xf numFmtId="0" fontId="11" fillId="4" borderId="0" xfId="0" applyFont="1" applyFill="1" applyAlignment="1">
      <alignment vertical="top"/>
    </xf>
    <xf numFmtId="164" fontId="11" fillId="4" borderId="0" xfId="1" applyFont="1" applyFill="1" applyAlignment="1">
      <alignment horizontal="right" vertical="top"/>
    </xf>
    <xf numFmtId="164" fontId="3" fillId="0" borderId="2" xfId="1" applyFont="1" applyFill="1" applyBorder="1"/>
  </cellXfs>
  <cellStyles count="4">
    <cellStyle name="Comma [0]" xfId="1" builtinId="6"/>
    <cellStyle name="Comma 2" xfId="3" xr:uid="{0126EDF3-B493-4B54-9033-51E84159F4FC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1C15-E570-401D-8668-D69F1AC9281F}">
  <dimension ref="B2:P21"/>
  <sheetViews>
    <sheetView tabSelected="1" workbookViewId="0">
      <selection activeCell="E15" sqref="E15"/>
    </sheetView>
  </sheetViews>
  <sheetFormatPr defaultRowHeight="14" x14ac:dyDescent="0.3"/>
  <cols>
    <col min="1" max="1" width="4.1796875" style="3" customWidth="1"/>
    <col min="2" max="2" width="18.6328125" style="3" bestFit="1" customWidth="1"/>
    <col min="3" max="3" width="9.1796875" style="3" customWidth="1"/>
    <col min="4" max="4" width="10.54296875" style="10" customWidth="1"/>
    <col min="5" max="5" width="11.453125" style="10" customWidth="1"/>
    <col min="6" max="14" width="8.7265625" style="3"/>
    <col min="15" max="15" width="8.7265625" style="3" hidden="1" customWidth="1"/>
    <col min="16" max="16" width="10.1796875" style="3" bestFit="1" customWidth="1"/>
    <col min="17" max="16384" width="8.7265625" style="3"/>
  </cols>
  <sheetData>
    <row r="2" spans="2:16" x14ac:dyDescent="0.3">
      <c r="B2" s="1" t="s">
        <v>0</v>
      </c>
      <c r="C2" s="1" t="s">
        <v>367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1" t="s">
        <v>1</v>
      </c>
    </row>
    <row r="3" spans="2:16" x14ac:dyDescent="0.3">
      <c r="B3" s="4" t="s">
        <v>2</v>
      </c>
      <c r="C3" s="4" t="s">
        <v>363</v>
      </c>
      <c r="D3" s="5">
        <f>SUMIFS(data!$I:$I,data!$B:$B,Sheet1!$B3,data!$A:$A,Sheet1!D$2,data!$F:$F,Sheet1!$C3)/1000</f>
        <v>253</v>
      </c>
      <c r="E3" s="5">
        <f>SUMIFS(data!$I:$I,data!$B:$B,Sheet1!$B3,data!$A:$A,Sheet1!E$2,data!$F:$F,Sheet1!$C3)/1000</f>
        <v>363</v>
      </c>
      <c r="F3" s="5">
        <f>SUMIFS(data!$I:$I,data!$B:$B,Sheet1!$B3,data!$A:$A,Sheet1!F$2,data!$F:$F,Sheet1!$C3)/1000</f>
        <v>249.7</v>
      </c>
      <c r="G3" s="5">
        <f>SUMIFS(data!$I:$I,data!$B:$B,Sheet1!$B3,data!$A:$A,Sheet1!G$2,data!$F:$F,Sheet1!$C3)/1000</f>
        <v>176</v>
      </c>
      <c r="H3" s="5">
        <f>SUMIFS(data!$I:$I,data!$B:$B,Sheet1!$B3,data!$A:$A,Sheet1!H$2,data!$F:$F,Sheet1!$C3)/1000</f>
        <v>242</v>
      </c>
      <c r="I3" s="5">
        <f>SUMIFS(data!$I:$I,data!$B:$B,Sheet1!$B3,data!$A:$A,Sheet1!I$2,data!$F:$F,Sheet1!$C3)/1000</f>
        <v>341</v>
      </c>
      <c r="J3" s="5">
        <f>SUMIFS(data!$I:$I,data!$B:$B,Sheet1!$B3,data!$A:$A,Sheet1!J$2,data!$F:$F,Sheet1!$C3)/1000</f>
        <v>220</v>
      </c>
      <c r="K3" s="5">
        <f>SUMIFS(data!$I:$I,data!$B:$B,Sheet1!$B3,data!$A:$A,Sheet1!K$2,data!$F:$F,Sheet1!$C3)/1000</f>
        <v>434.5</v>
      </c>
      <c r="L3" s="5">
        <f>SUMIFS(data!$I:$I,data!$B:$B,Sheet1!$B3,data!$A:$A,Sheet1!L$2,data!$F:$F,Sheet1!$C3)/1000</f>
        <v>396</v>
      </c>
      <c r="M3" s="5">
        <f>SUMIFS(data!$I:$I,data!$B:$B,Sheet1!$B3,data!$A:$A,Sheet1!M$2,data!$F:$F,Sheet1!$C3)/1000</f>
        <v>473</v>
      </c>
      <c r="N3" s="5">
        <f>SUMIFS(data!$I:$I,data!$B:$B,Sheet1!$B3,data!$A:$A,Sheet1!N$2,data!$F:$F,Sheet1!$C3)/1000</f>
        <v>253</v>
      </c>
      <c r="O3" s="5">
        <f>SUMIFS(data!$I:$I,data!$B:$B,Sheet1!$B3,data!$A:$A,Sheet1!O$2,data!$F:$F,Sheet1!$C3)/1000</f>
        <v>0</v>
      </c>
      <c r="P3" s="6">
        <f>SUM(D3:O3)</f>
        <v>3401.2</v>
      </c>
    </row>
    <row r="4" spans="2:16" x14ac:dyDescent="0.3">
      <c r="B4" s="4" t="s">
        <v>1</v>
      </c>
      <c r="C4" s="4" t="s">
        <v>363</v>
      </c>
      <c r="D4" s="5">
        <f>SUMIFS(data!$I:$I,data!$A:$A,Sheet1!D$2,data!$F:$F,Sheet1!$C4)/1000</f>
        <v>3296.1493</v>
      </c>
      <c r="E4" s="5">
        <f>SUMIFS(data!$I:$I,data!$A:$A,Sheet1!E$2,data!$F:$F,Sheet1!$C4)/1000</f>
        <v>5148</v>
      </c>
      <c r="F4" s="5">
        <f>SUMIFS(data!$I:$I,data!$A:$A,Sheet1!F$2,data!$F:$F,Sheet1!$C4)/1000</f>
        <v>4019.3</v>
      </c>
      <c r="G4" s="5">
        <f>SUMIFS(data!$I:$I,data!$A:$A,Sheet1!G$2,data!$F:$F,Sheet1!$C4)/1000</f>
        <v>3574.4</v>
      </c>
      <c r="H4" s="5">
        <f>SUMIFS(data!$I:$I,data!$A:$A,Sheet1!H$2,data!$F:$F,Sheet1!$C4)/1000</f>
        <v>4207.0102999999999</v>
      </c>
      <c r="I4" s="5">
        <f>SUMIFS(data!$I:$I,data!$A:$A,Sheet1!I$2,data!$F:$F,Sheet1!$C4)/1000</f>
        <v>3103.0830000000001</v>
      </c>
      <c r="J4" s="5">
        <f>SUMIFS(data!$I:$I,data!$A:$A,Sheet1!J$2,data!$F:$F,Sheet1!$C4)/1000</f>
        <v>3670.3490999999999</v>
      </c>
      <c r="K4" s="5">
        <f>SUMIFS(data!$I:$I,data!$A:$A,Sheet1!K$2,data!$F:$F,Sheet1!$C4)/1000</f>
        <v>4344.5929999999998</v>
      </c>
      <c r="L4" s="5">
        <f>SUMIFS(data!$I:$I,data!$A:$A,Sheet1!L$2,data!$F:$F,Sheet1!$C4)/1000</f>
        <v>1787</v>
      </c>
      <c r="M4" s="5">
        <f>SUMIFS(data!$I:$I,data!$A:$A,Sheet1!M$2,data!$F:$F,Sheet1!$C4)/1000</f>
        <v>2337.42</v>
      </c>
      <c r="N4" s="5">
        <f>SUMIFS(data!$I:$I,data!$A:$A,Sheet1!N$2,data!$F:$F,Sheet1!$C4)/1000</f>
        <v>2027.64</v>
      </c>
      <c r="O4" s="5">
        <f>SUMIFS(data!$I:$I,data!$A:$A,Sheet1!O$2,data!$F:$F,Sheet1!$C4)/1000</f>
        <v>0</v>
      </c>
      <c r="P4" s="55">
        <f>SUM(D4:O4)</f>
        <v>37514.944699999993</v>
      </c>
    </row>
    <row r="5" spans="2:16" x14ac:dyDescent="0.3">
      <c r="B5" s="7" t="s">
        <v>3</v>
      </c>
      <c r="C5" s="7" t="s">
        <v>363</v>
      </c>
      <c r="D5" s="8">
        <f>D3/D4</f>
        <v>7.6756231885491355E-2</v>
      </c>
      <c r="E5" s="8">
        <f t="shared" ref="E5:P5" si="0">E3/E4</f>
        <v>7.0512820512820512E-2</v>
      </c>
      <c r="F5" s="8">
        <f t="shared" si="0"/>
        <v>6.2125245689547928E-2</v>
      </c>
      <c r="G5" s="8">
        <f t="shared" si="0"/>
        <v>4.9239033124440466E-2</v>
      </c>
      <c r="H5" s="8">
        <f t="shared" si="0"/>
        <v>5.7523034825942787E-2</v>
      </c>
      <c r="I5" s="8">
        <f t="shared" si="0"/>
        <v>0.10989071191457012</v>
      </c>
      <c r="J5" s="8">
        <f t="shared" si="0"/>
        <v>5.9939802456393049E-2</v>
      </c>
      <c r="K5" s="8">
        <f t="shared" si="0"/>
        <v>0.10000936796611329</v>
      </c>
      <c r="L5" s="8">
        <f t="shared" si="0"/>
        <v>0.22160044767767206</v>
      </c>
      <c r="M5" s="8">
        <f t="shared" si="0"/>
        <v>0.20235986686175356</v>
      </c>
      <c r="N5" s="8">
        <f t="shared" si="0"/>
        <v>0.12477560119153301</v>
      </c>
      <c r="O5" s="8" t="e">
        <f t="shared" si="0"/>
        <v>#DIV/0!</v>
      </c>
      <c r="P5" s="8">
        <f t="shared" si="0"/>
        <v>9.0662535349545659E-2</v>
      </c>
    </row>
    <row r="6" spans="2:16" x14ac:dyDescent="0.3">
      <c r="D6" s="9"/>
      <c r="E6" s="9"/>
    </row>
    <row r="7" spans="2:16" x14ac:dyDescent="0.3">
      <c r="B7" s="1" t="s">
        <v>4</v>
      </c>
      <c r="C7" s="1" t="s">
        <v>367</v>
      </c>
      <c r="D7" s="2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1" t="s">
        <v>1</v>
      </c>
    </row>
    <row r="8" spans="2:16" x14ac:dyDescent="0.3">
      <c r="B8" s="4" t="s">
        <v>2</v>
      </c>
      <c r="C8" s="4" t="s">
        <v>363</v>
      </c>
      <c r="D8" s="5">
        <f>SUMIFS(data!$J:$J,data!$B:$B,Sheet1!$B8,data!$A:$A,Sheet1!D$7,data!$F:$F,Sheet1!$C8)/10^6</f>
        <v>8243.9169999999995</v>
      </c>
      <c r="E8" s="5">
        <f>SUMIFS(data!$J:$J,data!$B:$B,Sheet1!$B8,data!$A:$A,Sheet1!E$7,data!$F:$F,Sheet1!$C8)/10^6</f>
        <v>11986.26</v>
      </c>
      <c r="F8" s="5">
        <f>SUMIFS(data!$J:$J,data!$B:$B,Sheet1!$B8,data!$A:$A,Sheet1!F$7,data!$F:$F,Sheet1!$C8)/10^6</f>
        <v>8230.4562999999998</v>
      </c>
      <c r="G8" s="5">
        <f>SUMIFS(data!$J:$J,data!$B:$B,Sheet1!$B8,data!$A:$A,Sheet1!G$7,data!$F:$F,Sheet1!$C8)/10^6</f>
        <v>5643.0879999999997</v>
      </c>
      <c r="H8" s="5">
        <f>SUMIFS(data!$J:$J,data!$B:$B,Sheet1!$B8,data!$A:$A,Sheet1!H$7,data!$F:$F,Sheet1!$C8)/10^6</f>
        <v>7759.2460000000001</v>
      </c>
      <c r="I8" s="5">
        <f>SUMIFS(data!$J:$J,data!$B:$B,Sheet1!$B8,data!$A:$A,Sheet1!I$7,data!$F:$F,Sheet1!$C8)/10^6</f>
        <v>10933.477500000001</v>
      </c>
      <c r="J8" s="5">
        <f>SUMIFS(data!$J:$J,data!$B:$B,Sheet1!$B8,data!$A:$A,Sheet1!J$7,data!$F:$F,Sheet1!$C8)/10^6</f>
        <v>7105.8680000000004</v>
      </c>
      <c r="K8" s="5">
        <f>SUMIFS(data!$J:$J,data!$B:$B,Sheet1!$B8,data!$A:$A,Sheet1!K$7,data!$F:$F,Sheet1!$C8)/10^6</f>
        <v>14431.94742</v>
      </c>
      <c r="L8" s="5">
        <f>SUMIFS(data!$J:$J,data!$B:$B,Sheet1!$B8,data!$A:$A,Sheet1!L$7,data!$F:$F,Sheet1!$C8)/10^6</f>
        <v>13165.02</v>
      </c>
      <c r="M8" s="5">
        <f>SUMIFS(data!$J:$J,data!$B:$B,Sheet1!$B8,data!$A:$A,Sheet1!M$7,data!$F:$F,Sheet1!$C8)/10^6</f>
        <v>15882.95984</v>
      </c>
      <c r="N8" s="5">
        <f>SUMIFS(data!$J:$J,data!$B:$B,Sheet1!$B8,data!$A:$A,Sheet1!N$7,data!$F:$F,Sheet1!$C8)/10^6</f>
        <v>8532.1737599999997</v>
      </c>
      <c r="O8" s="5">
        <f>SUMIFS(data!$J:$J,data!$B:$B,Sheet1!$B8,data!$A:$A,Sheet1!O$7,data!$F:$F,Sheet1!$C8)/10^6</f>
        <v>0</v>
      </c>
      <c r="P8" s="6">
        <f>SUM(D8:O8)</f>
        <v>111914.41382000002</v>
      </c>
    </row>
    <row r="9" spans="2:16" x14ac:dyDescent="0.3">
      <c r="B9" s="4" t="s">
        <v>1</v>
      </c>
      <c r="C9" s="4" t="s">
        <v>363</v>
      </c>
      <c r="D9" s="5">
        <f>SUMIFS(data!$J:$J,data!$A:$A,Sheet1!D$7,data!$F:$F,Sheet1!$C9)/10^6</f>
        <v>104654.644711</v>
      </c>
      <c r="E9" s="5">
        <f>SUMIFS(data!$J:$J,data!$A:$A,Sheet1!E$7,data!$F:$F,Sheet1!$C9)/10^6</f>
        <v>169867.347243</v>
      </c>
      <c r="F9" s="5">
        <f>SUMIFS(data!$J:$J,data!$A:$A,Sheet1!F$7,data!$F:$F,Sheet1!$C9)/10^6</f>
        <v>128930.704555</v>
      </c>
      <c r="G9" s="5">
        <f>SUMIFS(data!$J:$J,data!$A:$A,Sheet1!G$7,data!$F:$F,Sheet1!$C9)/10^6</f>
        <v>115777.549339</v>
      </c>
      <c r="H9" s="5">
        <f>SUMIFS(data!$J:$J,data!$A:$A,Sheet1!H$7,data!$F:$F,Sheet1!$C9)/10^6</f>
        <v>139203.898842</v>
      </c>
      <c r="I9" s="5">
        <f>SUMIFS(data!$J:$J,data!$A:$A,Sheet1!I$7,data!$F:$F,Sheet1!$C9)/10^6</f>
        <v>101121.31380600001</v>
      </c>
      <c r="J9" s="5">
        <f>SUMIFS(data!$J:$J,data!$A:$A,Sheet1!J$7,data!$F:$F,Sheet1!$C9)/10^6</f>
        <v>117865.98162999999</v>
      </c>
      <c r="K9" s="5">
        <f>SUMIFS(data!$J:$J,data!$A:$A,Sheet1!K$7,data!$F:$F,Sheet1!$C9)/10^6</f>
        <v>142817.26338300001</v>
      </c>
      <c r="L9" s="5">
        <f>SUMIFS(data!$J:$J,data!$A:$A,Sheet1!L$7,data!$F:$F,Sheet1!$C9)/10^6</f>
        <v>58495.956058999996</v>
      </c>
      <c r="M9" s="5">
        <f>SUMIFS(data!$J:$J,data!$A:$A,Sheet1!M$7,data!$F:$F,Sheet1!$C9)/10^6</f>
        <v>76215.058917999995</v>
      </c>
      <c r="N9" s="5">
        <f>SUMIFS(data!$J:$J,data!$A:$A,Sheet1!N$7,data!$F:$F,Sheet1!$C9)/10^6</f>
        <v>66483.767181000003</v>
      </c>
      <c r="O9" s="5">
        <f>SUMIFS(data!$J:$J,data!$A:$A,Sheet1!O$7,data!$F:$F,Sheet1!$C9)/10^6</f>
        <v>0</v>
      </c>
      <c r="P9" s="6">
        <f>SUM(D9:O9)</f>
        <v>1221433.4856670001</v>
      </c>
    </row>
    <row r="10" spans="2:16" x14ac:dyDescent="0.3">
      <c r="B10" s="7" t="s">
        <v>5</v>
      </c>
      <c r="C10" s="7" t="s">
        <v>363</v>
      </c>
      <c r="D10" s="8">
        <f>D8/D9</f>
        <v>7.8772585992387401E-2</v>
      </c>
      <c r="E10" s="8">
        <f t="shared" ref="E10:P10" si="1">E8/E9</f>
        <v>7.0562472391196646E-2</v>
      </c>
      <c r="F10" s="8">
        <f t="shared" si="1"/>
        <v>6.3836278010014319E-2</v>
      </c>
      <c r="G10" s="8">
        <f t="shared" si="1"/>
        <v>4.8740779470783882E-2</v>
      </c>
      <c r="H10" s="8">
        <f t="shared" si="1"/>
        <v>5.574014854861891E-2</v>
      </c>
      <c r="I10" s="8">
        <f t="shared" si="1"/>
        <v>0.10812238378326199</v>
      </c>
      <c r="J10" s="8">
        <f t="shared" si="1"/>
        <v>6.0287692018774736E-2</v>
      </c>
      <c r="K10" s="8">
        <f t="shared" si="1"/>
        <v>0.10105184120001756</v>
      </c>
      <c r="L10" s="8">
        <f t="shared" si="1"/>
        <v>0.22505863459555292</v>
      </c>
      <c r="M10" s="8">
        <f t="shared" si="1"/>
        <v>0.20839660908861229</v>
      </c>
      <c r="N10" s="8">
        <f t="shared" si="1"/>
        <v>0.12833469163640232</v>
      </c>
      <c r="O10" s="8" t="e">
        <f t="shared" si="1"/>
        <v>#DIV/0!</v>
      </c>
      <c r="P10" s="8">
        <f t="shared" si="1"/>
        <v>9.1625467234415822E-2</v>
      </c>
    </row>
    <row r="13" spans="2:16" x14ac:dyDescent="0.3">
      <c r="B13" s="1" t="s">
        <v>0</v>
      </c>
      <c r="C13" s="1" t="s">
        <v>367</v>
      </c>
      <c r="D13" s="2">
        <v>1</v>
      </c>
      <c r="E13" s="2">
        <v>2</v>
      </c>
      <c r="F13" s="2">
        <v>3</v>
      </c>
      <c r="G13" s="2">
        <v>4</v>
      </c>
      <c r="H13" s="2">
        <v>5</v>
      </c>
      <c r="I13" s="2">
        <v>6</v>
      </c>
      <c r="J13" s="2">
        <v>7</v>
      </c>
      <c r="K13" s="2">
        <v>8</v>
      </c>
      <c r="L13" s="2">
        <v>9</v>
      </c>
      <c r="M13" s="2">
        <v>10</v>
      </c>
      <c r="N13" s="2">
        <v>11</v>
      </c>
      <c r="O13" s="2">
        <v>12</v>
      </c>
      <c r="P13" s="1" t="s">
        <v>1</v>
      </c>
    </row>
    <row r="14" spans="2:16" x14ac:dyDescent="0.3">
      <c r="B14" s="4" t="s">
        <v>2</v>
      </c>
      <c r="C14" s="4" t="s">
        <v>366</v>
      </c>
      <c r="D14" s="5">
        <f>SUMIFS(data!$I:$I,data!$B:$B,Sheet1!$B14,data!$A:$A,Sheet1!D$2,data!$F:$F,Sheet1!$C14)/1000</f>
        <v>148.35</v>
      </c>
      <c r="E14" s="5">
        <f>SUMIFS(data!$I:$I,data!$B:$B,Sheet1!$B14,data!$A:$A,Sheet1!E$2,data!$F:$F,Sheet1!$C14)/1000</f>
        <v>178</v>
      </c>
      <c r="F14" s="5">
        <f>SUMIFS(data!$I:$I,data!$B:$B,Sheet1!$B14,data!$A:$A,Sheet1!F$2,data!$F:$F,Sheet1!$C14)/1000</f>
        <v>215.875</v>
      </c>
      <c r="G14" s="5">
        <f>SUMIFS(data!$I:$I,data!$B:$B,Sheet1!$B14,data!$A:$A,Sheet1!G$2,data!$F:$F,Sheet1!$C14)/1000</f>
        <v>90.75</v>
      </c>
      <c r="H14" s="5">
        <f>SUMIFS(data!$I:$I,data!$B:$B,Sheet1!$B14,data!$A:$A,Sheet1!H$2,data!$F:$F,Sheet1!$C14)/1000</f>
        <v>160.85</v>
      </c>
      <c r="I14" s="5">
        <f>SUMIFS(data!$I:$I,data!$B:$B,Sheet1!$B14,data!$A:$A,Sheet1!I$2,data!$F:$F,Sheet1!$C14)/1000</f>
        <v>189.75</v>
      </c>
      <c r="J14" s="5">
        <f>SUMIFS(data!$I:$I,data!$B:$B,Sheet1!$B14,data!$A:$A,Sheet1!J$2,data!$F:$F,Sheet1!$C14)/1000</f>
        <v>155.375</v>
      </c>
      <c r="K14" s="5">
        <f>SUMIFS(data!$I:$I,data!$B:$B,Sheet1!$B14,data!$A:$A,Sheet1!K$2,data!$F:$F,Sheet1!$C14)/1000</f>
        <v>178.72499999999999</v>
      </c>
      <c r="L14" s="5">
        <f>SUMIFS(data!$I:$I,data!$B:$B,Sheet1!$B14,data!$A:$A,Sheet1!L$2,data!$F:$F,Sheet1!$C14)/1000</f>
        <v>173.25</v>
      </c>
      <c r="M14" s="5">
        <f>SUMIFS(data!$I:$I,data!$B:$B,Sheet1!$B14,data!$A:$A,Sheet1!M$2,data!$F:$F,Sheet1!$C14)/1000</f>
        <v>218.625</v>
      </c>
      <c r="N14" s="5">
        <f>SUMIFS(data!$I:$I,data!$B:$B,Sheet1!$B14,data!$A:$A,Sheet1!N$2,data!$F:$F,Sheet1!$C14)/1000</f>
        <v>106</v>
      </c>
      <c r="O14" s="5">
        <f>SUMIFS(data!$I:$I,data!$B:$B,Sheet1!$B14,data!$A:$A,Sheet1!O$2,data!$F:$F,Sheet1!$C14)/1000</f>
        <v>0</v>
      </c>
      <c r="P14" s="6">
        <f>SUM(D14:O14)</f>
        <v>1815.55</v>
      </c>
    </row>
    <row r="15" spans="2:16" x14ac:dyDescent="0.3">
      <c r="B15" s="4" t="s">
        <v>1</v>
      </c>
      <c r="C15" s="4" t="s">
        <v>366</v>
      </c>
      <c r="D15" s="5">
        <f>SUMIFS(data!$I:$I,data!$A:$A,Sheet1!D$2,data!$F:$F,Sheet1!$C15)/1000</f>
        <v>180.85</v>
      </c>
      <c r="E15" s="5">
        <f>SUMIFS(data!$I:$I,data!$A:$A,Sheet1!E$2,data!$F:$F,Sheet1!$C15)/1000</f>
        <v>311.5</v>
      </c>
      <c r="F15" s="5">
        <f>SUMIFS(data!$I:$I,data!$A:$A,Sheet1!F$2,data!$F:$F,Sheet1!$C15)/1000</f>
        <v>474.82499999999999</v>
      </c>
      <c r="G15" s="5">
        <f>SUMIFS(data!$I:$I,data!$A:$A,Sheet1!G$2,data!$F:$F,Sheet1!$C15)/1000</f>
        <v>268.85000000000002</v>
      </c>
      <c r="H15" s="5">
        <f>SUMIFS(data!$I:$I,data!$A:$A,Sheet1!H$2,data!$F:$F,Sheet1!$C15)/1000</f>
        <v>351.625</v>
      </c>
      <c r="I15" s="5">
        <f>SUMIFS(data!$I:$I,data!$A:$A,Sheet1!I$2,data!$F:$F,Sheet1!$C15)/1000</f>
        <v>399.22500000000002</v>
      </c>
      <c r="J15" s="5">
        <f>SUMIFS(data!$I:$I,data!$A:$A,Sheet1!J$2,data!$F:$F,Sheet1!$C15)/1000</f>
        <v>271.42500000000001</v>
      </c>
      <c r="K15" s="5">
        <f>SUMIFS(data!$I:$I,data!$A:$A,Sheet1!K$2,data!$F:$F,Sheet1!$C15)/1000</f>
        <v>506.875</v>
      </c>
      <c r="L15" s="5">
        <f>SUMIFS(data!$I:$I,data!$A:$A,Sheet1!L$2,data!$F:$F,Sheet1!$C15)/1000</f>
        <v>608.125</v>
      </c>
      <c r="M15" s="5">
        <f>SUMIFS(data!$I:$I,data!$A:$A,Sheet1!M$2,data!$F:$F,Sheet1!$C15)/1000</f>
        <v>659.32500000000005</v>
      </c>
      <c r="N15" s="5">
        <f>SUMIFS(data!$I:$I,data!$A:$A,Sheet1!N$2,data!$F:$F,Sheet1!$C15)/1000</f>
        <v>455.47500000000002</v>
      </c>
      <c r="O15" s="5">
        <f>SUMIFS(data!$I:$I,data!$A:$A,Sheet1!O$2,data!$F:$F,Sheet1!$C15)/1000</f>
        <v>0</v>
      </c>
      <c r="P15" s="55">
        <f>SUM(D15:O15)</f>
        <v>4488.1000000000004</v>
      </c>
    </row>
    <row r="16" spans="2:16" x14ac:dyDescent="0.3">
      <c r="B16" s="7" t="s">
        <v>3</v>
      </c>
      <c r="C16" s="7" t="s">
        <v>366</v>
      </c>
      <c r="D16" s="8">
        <f>D14/D15</f>
        <v>0.82029306054741502</v>
      </c>
      <c r="E16" s="8">
        <f t="shared" ref="E16:P16" si="2">E14/E15</f>
        <v>0.5714285714285714</v>
      </c>
      <c r="F16" s="8">
        <f t="shared" si="2"/>
        <v>0.45464118359395567</v>
      </c>
      <c r="G16" s="8">
        <f t="shared" si="2"/>
        <v>0.33754881904407658</v>
      </c>
      <c r="H16" s="8">
        <f t="shared" si="2"/>
        <v>0.45744756487735511</v>
      </c>
      <c r="I16" s="8">
        <f t="shared" si="2"/>
        <v>0.47529588577869619</v>
      </c>
      <c r="J16" s="8">
        <f t="shared" si="2"/>
        <v>0.57244174265450853</v>
      </c>
      <c r="K16" s="8">
        <f t="shared" si="2"/>
        <v>0.35260172626387176</v>
      </c>
      <c r="L16" s="8">
        <f t="shared" si="2"/>
        <v>0.28489208633093527</v>
      </c>
      <c r="M16" s="8">
        <f t="shared" si="2"/>
        <v>0.33158912524172446</v>
      </c>
      <c r="N16" s="8">
        <f t="shared" si="2"/>
        <v>0.23272407925791755</v>
      </c>
      <c r="O16" s="8" t="e">
        <f t="shared" si="2"/>
        <v>#DIV/0!</v>
      </c>
      <c r="P16" s="8">
        <f t="shared" si="2"/>
        <v>0.40452530023840821</v>
      </c>
    </row>
    <row r="17" spans="2:16" x14ac:dyDescent="0.3">
      <c r="D17" s="9"/>
      <c r="E17" s="9"/>
    </row>
    <row r="18" spans="2:16" x14ac:dyDescent="0.3">
      <c r="B18" s="1" t="s">
        <v>4</v>
      </c>
      <c r="C18" s="1" t="s">
        <v>367</v>
      </c>
      <c r="D18" s="2">
        <v>1</v>
      </c>
      <c r="E18" s="2">
        <v>2</v>
      </c>
      <c r="F18" s="2">
        <v>3</v>
      </c>
      <c r="G18" s="2">
        <v>4</v>
      </c>
      <c r="H18" s="2">
        <v>5</v>
      </c>
      <c r="I18" s="2">
        <v>6</v>
      </c>
      <c r="J18" s="2">
        <v>7</v>
      </c>
      <c r="K18" s="2">
        <v>8</v>
      </c>
      <c r="L18" s="2">
        <v>9</v>
      </c>
      <c r="M18" s="2">
        <v>10</v>
      </c>
      <c r="N18" s="2">
        <v>11</v>
      </c>
      <c r="O18" s="2">
        <v>12</v>
      </c>
      <c r="P18" s="1" t="s">
        <v>1</v>
      </c>
    </row>
    <row r="19" spans="2:16" x14ac:dyDescent="0.3">
      <c r="B19" s="4" t="s">
        <v>2</v>
      </c>
      <c r="C19" s="4" t="s">
        <v>366</v>
      </c>
      <c r="D19" s="5">
        <f>SUMIFS(data!$J:$J,data!$B:$B,Sheet1!$B19,data!$A:$A,Sheet1!D$7,data!$F:$F,Sheet1!$C19)/10^6</f>
        <v>5151.0986339999999</v>
      </c>
      <c r="E19" s="5">
        <f>SUMIFS(data!$J:$J,data!$B:$B,Sheet1!$B19,data!$A:$A,Sheet1!E$7,data!$F:$F,Sheet1!$C19)/10^6</f>
        <v>6287.3850000000002</v>
      </c>
      <c r="F19" s="5">
        <f>SUMIFS(data!$J:$J,data!$B:$B,Sheet1!$B19,data!$A:$A,Sheet1!F$7,data!$F:$F,Sheet1!$C19)/10^6</f>
        <v>7635.65</v>
      </c>
      <c r="G19" s="5">
        <f>SUMIFS(data!$J:$J,data!$B:$B,Sheet1!$B19,data!$A:$A,Sheet1!G$7,data!$F:$F,Sheet1!$C19)/10^6</f>
        <v>3157.308</v>
      </c>
      <c r="H19" s="5">
        <f>SUMIFS(data!$J:$J,data!$B:$B,Sheet1!$B19,data!$A:$A,Sheet1!H$7,data!$F:$F,Sheet1!$C19)/10^6</f>
        <v>5542.4594999999999</v>
      </c>
      <c r="I19" s="5">
        <f>SUMIFS(data!$J:$J,data!$B:$B,Sheet1!$B19,data!$A:$A,Sheet1!I$7,data!$F:$F,Sheet1!$C19)/10^6</f>
        <v>6534.1485000000002</v>
      </c>
      <c r="J19" s="5">
        <f>SUMIFS(data!$J:$J,data!$B:$B,Sheet1!$B19,data!$A:$A,Sheet1!J$7,data!$F:$F,Sheet1!$C19)/10^6</f>
        <v>5495.4963390000003</v>
      </c>
      <c r="K19" s="5">
        <f>SUMIFS(data!$J:$J,data!$B:$B,Sheet1!$B19,data!$A:$A,Sheet1!K$7,data!$F:$F,Sheet1!$C19)/10^6</f>
        <v>6360.4819539999999</v>
      </c>
      <c r="L19" s="5">
        <f>SUMIFS(data!$J:$J,data!$B:$B,Sheet1!$B19,data!$A:$A,Sheet1!L$7,data!$F:$F,Sheet1!$C19)/10^6</f>
        <v>6174.2627700000003</v>
      </c>
      <c r="M19" s="5">
        <f>SUMIFS(data!$J:$J,data!$B:$B,Sheet1!$B19,data!$A:$A,Sheet1!M$7,data!$F:$F,Sheet1!$C19)/10^6</f>
        <v>7891.0376189999997</v>
      </c>
      <c r="N19" s="5">
        <f>SUMIFS(data!$J:$J,data!$B:$B,Sheet1!$B19,data!$A:$A,Sheet1!N$7,data!$F:$F,Sheet1!$C19)/10^6</f>
        <v>3818.1329350000001</v>
      </c>
      <c r="O19" s="5">
        <f>SUMIFS(data!$J:$J,data!$B:$B,Sheet1!$B19,data!$A:$A,Sheet1!O$7,data!$F:$F,Sheet1!$C19)/10^6</f>
        <v>0</v>
      </c>
      <c r="P19" s="6">
        <f>SUM(D19:O19)</f>
        <v>64047.461251000008</v>
      </c>
    </row>
    <row r="20" spans="2:16" x14ac:dyDescent="0.3">
      <c r="B20" s="4" t="s">
        <v>1</v>
      </c>
      <c r="C20" s="4" t="s">
        <v>366</v>
      </c>
      <c r="D20" s="5">
        <f>SUMIFS(data!$J:$J,data!$A:$A,Sheet1!D$7,data!$F:$F,Sheet1!$C20)/10^6</f>
        <v>6108.7014900000004</v>
      </c>
      <c r="E20" s="5">
        <f>SUMIFS(data!$J:$J,data!$A:$A,Sheet1!E$7,data!$F:$F,Sheet1!$C20)/10^6</f>
        <v>9546.6134889999994</v>
      </c>
      <c r="F20" s="5">
        <f>SUMIFS(data!$J:$J,data!$A:$A,Sheet1!F$7,data!$F:$F,Sheet1!$C20)/10^6</f>
        <v>14668.775659999999</v>
      </c>
      <c r="G20" s="5">
        <f>SUMIFS(data!$J:$J,data!$A:$A,Sheet1!G$7,data!$F:$F,Sheet1!$C20)/10^6</f>
        <v>6763.9122280000001</v>
      </c>
      <c r="H20" s="5">
        <f>SUMIFS(data!$J:$J,data!$A:$A,Sheet1!H$7,data!$F:$F,Sheet1!$C20)/10^6</f>
        <v>9389.5945119999997</v>
      </c>
      <c r="I20" s="5">
        <f>SUMIFS(data!$J:$J,data!$A:$A,Sheet1!I$7,data!$F:$F,Sheet1!$C20)/10^6</f>
        <v>10734.441806999999</v>
      </c>
      <c r="J20" s="5">
        <f>SUMIFS(data!$J:$J,data!$A:$A,Sheet1!J$7,data!$F:$F,Sheet1!$C20)/10^6</f>
        <v>8037.2940280000003</v>
      </c>
      <c r="K20" s="5">
        <f>SUMIFS(data!$J:$J,data!$A:$A,Sheet1!K$7,data!$F:$F,Sheet1!$C20)/10^6</f>
        <v>14841.698643</v>
      </c>
      <c r="L20" s="5">
        <f>SUMIFS(data!$J:$J,data!$A:$A,Sheet1!L$7,data!$F:$F,Sheet1!$C20)/10^6</f>
        <v>13662.237553999999</v>
      </c>
      <c r="M20" s="5">
        <f>SUMIFS(data!$J:$J,data!$A:$A,Sheet1!M$7,data!$F:$F,Sheet1!$C20)/10^6</f>
        <v>15772.177066</v>
      </c>
      <c r="N20" s="5">
        <f>SUMIFS(data!$J:$J,data!$A:$A,Sheet1!N$7,data!$F:$F,Sheet1!$C20)/10^6</f>
        <v>10638.666088</v>
      </c>
      <c r="O20" s="5">
        <f>SUMIFS(data!$J:$J,data!$A:$A,Sheet1!O$7,data!$F:$F,Sheet1!$C20)/10^6</f>
        <v>0</v>
      </c>
      <c r="P20" s="6">
        <f>SUM(D20:O20)</f>
        <v>120164.11256499999</v>
      </c>
    </row>
    <row r="21" spans="2:16" x14ac:dyDescent="0.3">
      <c r="B21" s="7" t="s">
        <v>5</v>
      </c>
      <c r="C21" s="7" t="s">
        <v>366</v>
      </c>
      <c r="D21" s="8">
        <f>D19/D20</f>
        <v>0.84323953993044098</v>
      </c>
      <c r="E21" s="8">
        <f t="shared" ref="E21:P21" si="3">E19/E20</f>
        <v>0.65859846606805483</v>
      </c>
      <c r="F21" s="8">
        <f t="shared" si="3"/>
        <v>0.52053764928872048</v>
      </c>
      <c r="G21" s="8">
        <f t="shared" si="3"/>
        <v>0.46678725175201963</v>
      </c>
      <c r="H21" s="8">
        <f t="shared" si="3"/>
        <v>0.59027676785367877</v>
      </c>
      <c r="I21" s="8">
        <f t="shared" si="3"/>
        <v>0.60870873562694616</v>
      </c>
      <c r="J21" s="8">
        <f t="shared" si="3"/>
        <v>0.68374957042196194</v>
      </c>
      <c r="K21" s="8">
        <f t="shared" si="3"/>
        <v>0.42855485123327741</v>
      </c>
      <c r="L21" s="8">
        <f t="shared" si="3"/>
        <v>0.4519217840852367</v>
      </c>
      <c r="M21" s="8">
        <f t="shared" si="3"/>
        <v>0.50031378585082387</v>
      </c>
      <c r="N21" s="8">
        <f t="shared" si="3"/>
        <v>0.35889207381992233</v>
      </c>
      <c r="O21" s="8" t="e">
        <f t="shared" si="3"/>
        <v>#DIV/0!</v>
      </c>
      <c r="P21" s="8">
        <f t="shared" si="3"/>
        <v>0.53299991057109519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5B8F-C2E3-4870-8BF3-C95B93031008}">
  <sheetPr filterMode="1">
    <tabColor theme="5" tint="0.59999389629810485"/>
  </sheetPr>
  <dimension ref="A1:J749"/>
  <sheetViews>
    <sheetView zoomScale="90" zoomScaleNormal="80" workbookViewId="0">
      <pane xSplit="8" ySplit="3" topLeftCell="I9" activePane="bottomRight" state="frozen"/>
      <selection activeCell="G114" sqref="G114"/>
      <selection pane="topRight" activeCell="G114" sqref="G114"/>
      <selection pane="bottomLeft" activeCell="G114" sqref="G114"/>
      <selection pane="bottomRight" activeCell="E3" sqref="E3"/>
    </sheetView>
  </sheetViews>
  <sheetFormatPr defaultColWidth="9.1796875" defaultRowHeight="14.5" x14ac:dyDescent="0.35"/>
  <cols>
    <col min="1" max="1" width="5.81640625" customWidth="1"/>
    <col min="2" max="2" width="8.6328125" customWidth="1"/>
    <col min="3" max="3" width="6.54296875" customWidth="1"/>
    <col min="4" max="4" width="7" customWidth="1"/>
    <col min="5" max="5" width="25.81640625" bestFit="1" customWidth="1"/>
    <col min="6" max="7" width="10.81640625" customWidth="1"/>
    <col min="8" max="8" width="26.453125" customWidth="1"/>
    <col min="9" max="9" width="12.54296875" customWidth="1"/>
    <col min="10" max="10" width="16.453125" customWidth="1"/>
  </cols>
  <sheetData>
    <row r="1" spans="1:10" x14ac:dyDescent="0.35">
      <c r="A1" s="15"/>
      <c r="B1" s="15"/>
      <c r="C1" s="11"/>
      <c r="D1" s="12"/>
      <c r="E1" s="13"/>
      <c r="F1" s="13"/>
      <c r="G1" s="12"/>
      <c r="H1" s="16"/>
      <c r="I1" s="17"/>
      <c r="J1" s="14"/>
    </row>
    <row r="2" spans="1:10" x14ac:dyDescent="0.35">
      <c r="A2" s="18"/>
      <c r="B2" s="18"/>
      <c r="C2" s="19"/>
      <c r="D2" s="20"/>
      <c r="E2" s="21"/>
      <c r="F2" s="21"/>
      <c r="G2" s="20"/>
      <c r="H2" s="16"/>
      <c r="I2" s="22">
        <f>SUBTOTAL(9,I4:I848)</f>
        <v>1815550</v>
      </c>
      <c r="J2" s="22">
        <f>SUBTOTAL(9,J4:J848)/10^6</f>
        <v>64047.461251000001</v>
      </c>
    </row>
    <row r="3" spans="1:10" ht="24" customHeight="1" x14ac:dyDescent="0.35">
      <c r="A3" s="23" t="s">
        <v>6</v>
      </c>
      <c r="B3" s="23"/>
      <c r="C3" s="24" t="s">
        <v>7</v>
      </c>
      <c r="D3" s="25" t="s">
        <v>8</v>
      </c>
      <c r="E3" s="26" t="s">
        <v>8</v>
      </c>
      <c r="F3" s="26" t="s">
        <v>9</v>
      </c>
      <c r="G3" s="25" t="s">
        <v>10</v>
      </c>
      <c r="H3" s="26" t="s">
        <v>10</v>
      </c>
      <c r="I3" s="27" t="s">
        <v>11</v>
      </c>
      <c r="J3" s="27" t="s">
        <v>12</v>
      </c>
    </row>
    <row r="4" spans="1:10" hidden="1" x14ac:dyDescent="0.35">
      <c r="A4" s="28" t="s">
        <v>13</v>
      </c>
      <c r="B4" s="28"/>
      <c r="C4" s="11" t="s">
        <v>14</v>
      </c>
      <c r="D4" s="29" t="s">
        <v>15</v>
      </c>
      <c r="E4" s="30" t="s">
        <v>16</v>
      </c>
      <c r="F4" s="31" t="s">
        <v>363</v>
      </c>
      <c r="G4" s="32" t="s">
        <v>17</v>
      </c>
      <c r="H4" s="12" t="s">
        <v>18</v>
      </c>
      <c r="I4" s="33">
        <v>11000</v>
      </c>
      <c r="J4" s="33">
        <v>371268975</v>
      </c>
    </row>
    <row r="5" spans="1:10" hidden="1" x14ac:dyDescent="0.35">
      <c r="A5" s="28" t="s">
        <v>13</v>
      </c>
      <c r="B5" s="28"/>
      <c r="C5" s="11" t="s">
        <v>14</v>
      </c>
      <c r="D5" s="29" t="s">
        <v>19</v>
      </c>
      <c r="E5" s="30" t="s">
        <v>20</v>
      </c>
      <c r="F5" s="31" t="s">
        <v>363</v>
      </c>
      <c r="G5" s="29" t="s">
        <v>21</v>
      </c>
      <c r="H5" s="34" t="s">
        <v>22</v>
      </c>
      <c r="I5" s="33">
        <v>72600</v>
      </c>
      <c r="J5" s="33">
        <v>2452863600</v>
      </c>
    </row>
    <row r="6" spans="1:10" hidden="1" x14ac:dyDescent="0.35">
      <c r="A6" s="28" t="s">
        <v>13</v>
      </c>
      <c r="B6" s="28" t="s">
        <v>2</v>
      </c>
      <c r="C6" s="11" t="s">
        <v>14</v>
      </c>
      <c r="D6" s="29" t="s">
        <v>23</v>
      </c>
      <c r="E6" s="30" t="s">
        <v>24</v>
      </c>
      <c r="F6" s="31" t="s">
        <v>363</v>
      </c>
      <c r="G6" s="29" t="s">
        <v>17</v>
      </c>
      <c r="H6" s="34" t="s">
        <v>18</v>
      </c>
      <c r="I6" s="33">
        <v>242000</v>
      </c>
      <c r="J6" s="33">
        <v>7886494000</v>
      </c>
    </row>
    <row r="7" spans="1:10" hidden="1" x14ac:dyDescent="0.35">
      <c r="A7" s="28" t="s">
        <v>13</v>
      </c>
      <c r="B7" s="28"/>
      <c r="C7" s="11" t="s">
        <v>14</v>
      </c>
      <c r="D7" s="29" t="s">
        <v>25</v>
      </c>
      <c r="E7" s="30" t="s">
        <v>26</v>
      </c>
      <c r="F7" s="31" t="s">
        <v>363</v>
      </c>
      <c r="G7" s="29" t="s">
        <v>27</v>
      </c>
      <c r="H7" s="34" t="s">
        <v>28</v>
      </c>
      <c r="I7" s="33">
        <v>2200</v>
      </c>
      <c r="J7" s="33">
        <v>68172500</v>
      </c>
    </row>
    <row r="8" spans="1:10" hidden="1" x14ac:dyDescent="0.35">
      <c r="A8" s="28" t="s">
        <v>13</v>
      </c>
      <c r="B8" s="28"/>
      <c r="C8" s="11" t="s">
        <v>14</v>
      </c>
      <c r="D8" s="29" t="s">
        <v>29</v>
      </c>
      <c r="E8" s="30" t="s">
        <v>30</v>
      </c>
      <c r="F8" s="31" t="s">
        <v>363</v>
      </c>
      <c r="G8" s="29" t="s">
        <v>31</v>
      </c>
      <c r="H8" s="34" t="s">
        <v>32</v>
      </c>
      <c r="I8" s="33">
        <v>3300</v>
      </c>
      <c r="J8" s="33">
        <v>116044500</v>
      </c>
    </row>
    <row r="9" spans="1:10" hidden="1" x14ac:dyDescent="0.35">
      <c r="A9" s="28" t="s">
        <v>13</v>
      </c>
      <c r="B9" s="28"/>
      <c r="C9" s="11" t="s">
        <v>14</v>
      </c>
      <c r="D9" s="29" t="s">
        <v>33</v>
      </c>
      <c r="E9" s="30" t="s">
        <v>34</v>
      </c>
      <c r="F9" s="31" t="s">
        <v>363</v>
      </c>
      <c r="G9" s="29" t="s">
        <v>21</v>
      </c>
      <c r="H9" s="34" t="s">
        <v>22</v>
      </c>
      <c r="I9" s="33">
        <v>154000</v>
      </c>
      <c r="J9" s="33">
        <v>5761602000</v>
      </c>
    </row>
    <row r="10" spans="1:10" hidden="1" x14ac:dyDescent="0.35">
      <c r="A10" s="28" t="s">
        <v>13</v>
      </c>
      <c r="B10" s="28"/>
      <c r="C10" s="11" t="s">
        <v>14</v>
      </c>
      <c r="D10" s="29" t="s">
        <v>33</v>
      </c>
      <c r="E10" s="30" t="s">
        <v>34</v>
      </c>
      <c r="F10" s="31" t="s">
        <v>363</v>
      </c>
      <c r="G10" s="29" t="s">
        <v>31</v>
      </c>
      <c r="H10" s="34" t="s">
        <v>32</v>
      </c>
      <c r="I10" s="33">
        <v>4400</v>
      </c>
      <c r="J10" s="33">
        <v>165513920</v>
      </c>
    </row>
    <row r="11" spans="1:10" hidden="1" x14ac:dyDescent="0.35">
      <c r="A11" s="28" t="s">
        <v>13</v>
      </c>
      <c r="B11" s="28"/>
      <c r="C11" s="11" t="s">
        <v>14</v>
      </c>
      <c r="D11" s="29" t="s">
        <v>35</v>
      </c>
      <c r="E11" s="30" t="s">
        <v>36</v>
      </c>
      <c r="F11" s="31" t="s">
        <v>363</v>
      </c>
      <c r="G11" s="29" t="s">
        <v>17</v>
      </c>
      <c r="H11" s="34" t="s">
        <v>18</v>
      </c>
      <c r="I11" s="33">
        <v>24200</v>
      </c>
      <c r="J11" s="33">
        <v>768350000</v>
      </c>
    </row>
    <row r="12" spans="1:10" hidden="1" x14ac:dyDescent="0.35">
      <c r="A12" s="28" t="s">
        <v>13</v>
      </c>
      <c r="B12" s="28"/>
      <c r="C12" s="11" t="s">
        <v>14</v>
      </c>
      <c r="D12" s="29" t="s">
        <v>37</v>
      </c>
      <c r="E12" s="30" t="s">
        <v>38</v>
      </c>
      <c r="F12" s="31" t="s">
        <v>363</v>
      </c>
      <c r="G12" s="29" t="s">
        <v>21</v>
      </c>
      <c r="H12" s="34" t="s">
        <v>22</v>
      </c>
      <c r="I12" s="33">
        <v>-13750.7</v>
      </c>
      <c r="J12" s="33">
        <v>-508671395</v>
      </c>
    </row>
    <row r="13" spans="1:10" hidden="1" x14ac:dyDescent="0.35">
      <c r="A13" s="28" t="s">
        <v>13</v>
      </c>
      <c r="B13" s="28"/>
      <c r="C13" s="11" t="s">
        <v>14</v>
      </c>
      <c r="D13" s="29" t="s">
        <v>39</v>
      </c>
      <c r="E13" s="30" t="s">
        <v>40</v>
      </c>
      <c r="F13" s="31" t="s">
        <v>363</v>
      </c>
      <c r="G13" s="29" t="s">
        <v>21</v>
      </c>
      <c r="H13" s="34" t="s">
        <v>22</v>
      </c>
      <c r="I13" s="33">
        <v>88000</v>
      </c>
      <c r="J13" s="33">
        <v>3029312000</v>
      </c>
    </row>
    <row r="14" spans="1:10" x14ac:dyDescent="0.35">
      <c r="A14" s="28" t="s">
        <v>13</v>
      </c>
      <c r="B14" s="28" t="s">
        <v>2</v>
      </c>
      <c r="C14" s="11" t="s">
        <v>14</v>
      </c>
      <c r="D14" s="29" t="s">
        <v>41</v>
      </c>
      <c r="E14" s="30" t="s">
        <v>42</v>
      </c>
      <c r="F14" s="31" t="s">
        <v>366</v>
      </c>
      <c r="G14" s="29" t="s">
        <v>43</v>
      </c>
      <c r="H14" s="34" t="s">
        <v>44</v>
      </c>
      <c r="I14" s="33">
        <v>49500</v>
      </c>
      <c r="J14" s="33">
        <v>1777149000</v>
      </c>
    </row>
    <row r="15" spans="1:10" x14ac:dyDescent="0.35">
      <c r="A15" s="28" t="s">
        <v>13</v>
      </c>
      <c r="B15" s="28" t="s">
        <v>2</v>
      </c>
      <c r="C15" s="11" t="s">
        <v>14</v>
      </c>
      <c r="D15" s="29" t="s">
        <v>45</v>
      </c>
      <c r="E15" s="30" t="s">
        <v>46</v>
      </c>
      <c r="F15" s="31" t="s">
        <v>366</v>
      </c>
      <c r="G15" s="29" t="s">
        <v>43</v>
      </c>
      <c r="H15" s="34" t="s">
        <v>44</v>
      </c>
      <c r="I15" s="33">
        <v>-150</v>
      </c>
      <c r="J15" s="33">
        <v>-5264100</v>
      </c>
    </row>
    <row r="16" spans="1:10" x14ac:dyDescent="0.35">
      <c r="A16" s="28" t="s">
        <v>13</v>
      </c>
      <c r="B16" s="28" t="s">
        <v>2</v>
      </c>
      <c r="C16" s="11" t="s">
        <v>14</v>
      </c>
      <c r="D16" s="29" t="s">
        <v>45</v>
      </c>
      <c r="E16" s="30" t="s">
        <v>46</v>
      </c>
      <c r="F16" s="31" t="s">
        <v>366</v>
      </c>
      <c r="G16" s="29" t="s">
        <v>43</v>
      </c>
      <c r="H16" s="34" t="s">
        <v>44</v>
      </c>
      <c r="I16" s="33">
        <v>55000</v>
      </c>
      <c r="J16" s="33">
        <v>1930170000</v>
      </c>
    </row>
    <row r="17" spans="1:10" hidden="1" x14ac:dyDescent="0.35">
      <c r="A17" s="28" t="s">
        <v>13</v>
      </c>
      <c r="B17" s="28" t="s">
        <v>2</v>
      </c>
      <c r="C17" s="11" t="s">
        <v>14</v>
      </c>
      <c r="D17" s="29" t="s">
        <v>45</v>
      </c>
      <c r="E17" s="30" t="s">
        <v>46</v>
      </c>
      <c r="F17" s="31" t="s">
        <v>363</v>
      </c>
      <c r="G17" s="29" t="s">
        <v>17</v>
      </c>
      <c r="H17" s="34" t="s">
        <v>18</v>
      </c>
      <c r="I17" s="33">
        <v>11000</v>
      </c>
      <c r="J17" s="33">
        <v>357423000</v>
      </c>
    </row>
    <row r="18" spans="1:10" x14ac:dyDescent="0.35">
      <c r="A18" s="28" t="s">
        <v>13</v>
      </c>
      <c r="B18" s="28" t="s">
        <v>2</v>
      </c>
      <c r="C18" s="11" t="s">
        <v>14</v>
      </c>
      <c r="D18" s="29" t="s">
        <v>45</v>
      </c>
      <c r="E18" s="30" t="s">
        <v>46</v>
      </c>
      <c r="F18" s="31" t="s">
        <v>366</v>
      </c>
      <c r="G18" s="29" t="s">
        <v>47</v>
      </c>
      <c r="H18" s="34" t="s">
        <v>48</v>
      </c>
      <c r="I18" s="33">
        <v>5500</v>
      </c>
      <c r="J18" s="33">
        <v>122476734</v>
      </c>
    </row>
    <row r="19" spans="1:10" x14ac:dyDescent="0.35">
      <c r="A19" s="28" t="s">
        <v>13</v>
      </c>
      <c r="B19" s="28" t="s">
        <v>2</v>
      </c>
      <c r="C19" s="11" t="s">
        <v>14</v>
      </c>
      <c r="D19" s="29" t="s">
        <v>45</v>
      </c>
      <c r="E19" s="30" t="s">
        <v>46</v>
      </c>
      <c r="F19" s="31" t="s">
        <v>366</v>
      </c>
      <c r="G19" s="29" t="s">
        <v>49</v>
      </c>
      <c r="H19" s="34" t="s">
        <v>50</v>
      </c>
      <c r="I19" s="33">
        <v>5500</v>
      </c>
      <c r="J19" s="33">
        <v>186153000</v>
      </c>
    </row>
    <row r="20" spans="1:10" x14ac:dyDescent="0.35">
      <c r="A20" s="28" t="s">
        <v>13</v>
      </c>
      <c r="B20" s="28" t="s">
        <v>2</v>
      </c>
      <c r="C20" s="11" t="s">
        <v>14</v>
      </c>
      <c r="D20" s="29" t="s">
        <v>45</v>
      </c>
      <c r="E20" s="30" t="s">
        <v>46</v>
      </c>
      <c r="F20" s="31" t="s">
        <v>366</v>
      </c>
      <c r="G20" s="29" t="s">
        <v>51</v>
      </c>
      <c r="H20" s="34" t="s">
        <v>52</v>
      </c>
      <c r="I20" s="33">
        <v>22000</v>
      </c>
      <c r="J20" s="33">
        <v>754380000</v>
      </c>
    </row>
    <row r="21" spans="1:10" x14ac:dyDescent="0.35">
      <c r="A21" s="28" t="s">
        <v>13</v>
      </c>
      <c r="B21" s="28" t="s">
        <v>2</v>
      </c>
      <c r="C21" s="11" t="s">
        <v>14</v>
      </c>
      <c r="D21" s="29" t="s">
        <v>45</v>
      </c>
      <c r="E21" s="30" t="s">
        <v>46</v>
      </c>
      <c r="F21" s="31" t="s">
        <v>366</v>
      </c>
      <c r="G21" s="29" t="s">
        <v>53</v>
      </c>
      <c r="H21" s="34" t="s">
        <v>54</v>
      </c>
      <c r="I21" s="33">
        <v>11000</v>
      </c>
      <c r="J21" s="33">
        <v>386034000</v>
      </c>
    </row>
    <row r="22" spans="1:10" hidden="1" x14ac:dyDescent="0.35">
      <c r="A22" s="28" t="s">
        <v>13</v>
      </c>
      <c r="B22" s="28"/>
      <c r="C22" s="11" t="s">
        <v>14</v>
      </c>
      <c r="D22" s="29" t="s">
        <v>55</v>
      </c>
      <c r="E22" s="30" t="s">
        <v>56</v>
      </c>
      <c r="F22" s="31" t="s">
        <v>363</v>
      </c>
      <c r="G22" s="29" t="s">
        <v>17</v>
      </c>
      <c r="H22" s="34" t="s">
        <v>18</v>
      </c>
      <c r="I22" s="33">
        <v>5500</v>
      </c>
      <c r="J22" s="33">
        <v>185634488</v>
      </c>
    </row>
    <row r="23" spans="1:10" hidden="1" x14ac:dyDescent="0.35">
      <c r="A23" s="28" t="s">
        <v>13</v>
      </c>
      <c r="B23" s="28"/>
      <c r="C23" s="11" t="s">
        <v>14</v>
      </c>
      <c r="D23" s="29" t="s">
        <v>57</v>
      </c>
      <c r="E23" s="13" t="s">
        <v>349</v>
      </c>
      <c r="F23" s="31" t="s">
        <v>363</v>
      </c>
      <c r="G23" s="29" t="s">
        <v>21</v>
      </c>
      <c r="H23" s="34" t="s">
        <v>22</v>
      </c>
      <c r="I23" s="33">
        <v>44000</v>
      </c>
      <c r="J23" s="33">
        <v>1636624000</v>
      </c>
    </row>
    <row r="24" spans="1:10" s="49" customFormat="1" hidden="1" x14ac:dyDescent="0.35">
      <c r="A24" s="50" t="s">
        <v>13</v>
      </c>
      <c r="B24" s="50"/>
      <c r="C24" s="43" t="s">
        <v>14</v>
      </c>
      <c r="D24" s="51" t="s">
        <v>57</v>
      </c>
      <c r="E24" s="52" t="s">
        <v>349</v>
      </c>
      <c r="F24" s="46" t="s">
        <v>363</v>
      </c>
      <c r="G24" s="51" t="s">
        <v>31</v>
      </c>
      <c r="H24" s="53" t="s">
        <v>32</v>
      </c>
      <c r="I24" s="54">
        <v>3300</v>
      </c>
      <c r="J24" s="54">
        <v>118965000</v>
      </c>
    </row>
    <row r="25" spans="1:10" hidden="1" x14ac:dyDescent="0.35">
      <c r="A25" s="28" t="s">
        <v>13</v>
      </c>
      <c r="B25" s="28"/>
      <c r="C25" s="11" t="s">
        <v>14</v>
      </c>
      <c r="D25" s="29" t="s">
        <v>58</v>
      </c>
      <c r="E25" s="30" t="s">
        <v>59</v>
      </c>
      <c r="F25" s="31" t="s">
        <v>364</v>
      </c>
      <c r="G25" s="29" t="s">
        <v>60</v>
      </c>
      <c r="H25" s="34" t="s">
        <v>61</v>
      </c>
      <c r="I25" s="33">
        <v>11000</v>
      </c>
      <c r="J25" s="33">
        <v>209000000</v>
      </c>
    </row>
    <row r="26" spans="1:10" hidden="1" x14ac:dyDescent="0.35">
      <c r="A26" s="28" t="s">
        <v>13</v>
      </c>
      <c r="B26" s="28"/>
      <c r="C26" s="11" t="s">
        <v>14</v>
      </c>
      <c r="D26" s="29" t="s">
        <v>62</v>
      </c>
      <c r="E26" s="30" t="s">
        <v>63</v>
      </c>
      <c r="F26" s="31" t="s">
        <v>363</v>
      </c>
      <c r="G26" s="29" t="s">
        <v>64</v>
      </c>
      <c r="H26" s="34" t="s">
        <v>65</v>
      </c>
      <c r="I26" s="33">
        <v>22000</v>
      </c>
      <c r="J26" s="33">
        <v>718440492</v>
      </c>
    </row>
    <row r="27" spans="1:10" hidden="1" x14ac:dyDescent="0.35">
      <c r="A27" s="28" t="s">
        <v>13</v>
      </c>
      <c r="B27" s="28"/>
      <c r="C27" s="11" t="s">
        <v>14</v>
      </c>
      <c r="D27" s="29" t="s">
        <v>62</v>
      </c>
      <c r="E27" s="30" t="s">
        <v>63</v>
      </c>
      <c r="F27" s="31" t="s">
        <v>363</v>
      </c>
      <c r="G27" s="29" t="s">
        <v>17</v>
      </c>
      <c r="H27" s="34" t="s">
        <v>18</v>
      </c>
      <c r="I27" s="33">
        <v>44000</v>
      </c>
      <c r="J27" s="33">
        <v>1436880984</v>
      </c>
    </row>
    <row r="28" spans="1:10" hidden="1" x14ac:dyDescent="0.35">
      <c r="A28" s="28" t="s">
        <v>13</v>
      </c>
      <c r="B28" s="28"/>
      <c r="C28" s="11" t="s">
        <v>14</v>
      </c>
      <c r="D28" s="29" t="s">
        <v>66</v>
      </c>
      <c r="E28" s="30" t="s">
        <v>67</v>
      </c>
      <c r="F28" s="31" t="s">
        <v>366</v>
      </c>
      <c r="G28" s="29" t="s">
        <v>68</v>
      </c>
      <c r="H28" s="34" t="s">
        <v>69</v>
      </c>
      <c r="I28" s="33">
        <v>22000</v>
      </c>
      <c r="J28" s="33">
        <v>759102300</v>
      </c>
    </row>
    <row r="29" spans="1:10" hidden="1" x14ac:dyDescent="0.35">
      <c r="A29" s="28" t="s">
        <v>13</v>
      </c>
      <c r="B29" s="28"/>
      <c r="C29" s="11" t="s">
        <v>14</v>
      </c>
      <c r="D29" s="29" t="s">
        <v>70</v>
      </c>
      <c r="E29" s="34" t="s">
        <v>71</v>
      </c>
      <c r="F29" s="31" t="s">
        <v>363</v>
      </c>
      <c r="G29" s="29" t="s">
        <v>17</v>
      </c>
      <c r="H29" s="34" t="s">
        <v>18</v>
      </c>
      <c r="I29" s="33">
        <v>3300</v>
      </c>
      <c r="J29" s="33">
        <v>108043822</v>
      </c>
    </row>
    <row r="30" spans="1:10" hidden="1" x14ac:dyDescent="0.35">
      <c r="A30" s="28" t="s">
        <v>13</v>
      </c>
      <c r="B30" s="28"/>
      <c r="C30" s="11" t="s">
        <v>14</v>
      </c>
      <c r="D30" s="29" t="s">
        <v>72</v>
      </c>
      <c r="E30" s="34" t="s">
        <v>73</v>
      </c>
      <c r="F30" s="31" t="s">
        <v>363</v>
      </c>
      <c r="G30" s="29" t="s">
        <v>17</v>
      </c>
      <c r="H30" s="34" t="s">
        <v>18</v>
      </c>
      <c r="I30" s="33">
        <v>22000</v>
      </c>
      <c r="J30" s="33">
        <f>711068380000-710357311620</f>
        <v>711068380</v>
      </c>
    </row>
    <row r="31" spans="1:10" hidden="1" x14ac:dyDescent="0.35">
      <c r="A31" s="28" t="s">
        <v>13</v>
      </c>
      <c r="B31" s="28"/>
      <c r="C31" s="11" t="s">
        <v>14</v>
      </c>
      <c r="D31" s="29" t="s">
        <v>74</v>
      </c>
      <c r="E31" s="30" t="s">
        <v>75</v>
      </c>
      <c r="F31" s="31" t="s">
        <v>366</v>
      </c>
      <c r="G31" s="29" t="s">
        <v>76</v>
      </c>
      <c r="H31" s="34" t="s">
        <v>77</v>
      </c>
      <c r="I31" s="33">
        <v>3000</v>
      </c>
      <c r="J31" s="33">
        <v>80445000</v>
      </c>
    </row>
    <row r="32" spans="1:10" hidden="1" x14ac:dyDescent="0.35">
      <c r="A32" s="28" t="s">
        <v>13</v>
      </c>
      <c r="B32" s="28"/>
      <c r="C32" s="11" t="s">
        <v>14</v>
      </c>
      <c r="D32" s="29" t="s">
        <v>78</v>
      </c>
      <c r="E32" s="30" t="s">
        <v>79</v>
      </c>
      <c r="F32" s="31" t="s">
        <v>366</v>
      </c>
      <c r="G32" s="29" t="s">
        <v>80</v>
      </c>
      <c r="H32" s="34" t="s">
        <v>81</v>
      </c>
      <c r="I32" s="33">
        <v>6000</v>
      </c>
      <c r="J32" s="33">
        <v>94444445</v>
      </c>
    </row>
    <row r="33" spans="1:10" hidden="1" x14ac:dyDescent="0.35">
      <c r="A33" s="28" t="s">
        <v>13</v>
      </c>
      <c r="B33" s="28"/>
      <c r="C33" s="11" t="s">
        <v>14</v>
      </c>
      <c r="D33" s="29" t="s">
        <v>78</v>
      </c>
      <c r="E33" s="34" t="s">
        <v>79</v>
      </c>
      <c r="F33" s="31" t="s">
        <v>366</v>
      </c>
      <c r="G33" s="29" t="s">
        <v>82</v>
      </c>
      <c r="H33" s="34" t="s">
        <v>83</v>
      </c>
      <c r="I33" s="33">
        <v>1500</v>
      </c>
      <c r="J33" s="33">
        <v>23611111</v>
      </c>
    </row>
    <row r="34" spans="1:10" hidden="1" x14ac:dyDescent="0.35">
      <c r="A34" s="28" t="s">
        <v>13</v>
      </c>
      <c r="B34" s="28"/>
      <c r="C34" s="11" t="s">
        <v>84</v>
      </c>
      <c r="D34" s="29" t="s">
        <v>85</v>
      </c>
      <c r="E34" s="34" t="s">
        <v>86</v>
      </c>
      <c r="F34" s="31" t="s">
        <v>363</v>
      </c>
      <c r="G34" s="29" t="s">
        <v>17</v>
      </c>
      <c r="H34" s="34" t="s">
        <v>18</v>
      </c>
      <c r="I34" s="33">
        <v>2376000</v>
      </c>
      <c r="J34" s="33">
        <v>72787646470</v>
      </c>
    </row>
    <row r="35" spans="1:10" hidden="1" x14ac:dyDescent="0.35">
      <c r="A35" s="28" t="s">
        <v>13</v>
      </c>
      <c r="B35" s="28"/>
      <c r="C35" s="11" t="s">
        <v>84</v>
      </c>
      <c r="D35" s="29" t="s">
        <v>87</v>
      </c>
      <c r="E35" s="34" t="s">
        <v>88</v>
      </c>
      <c r="F35" s="31" t="s">
        <v>363</v>
      </c>
      <c r="G35" s="29" t="s">
        <v>17</v>
      </c>
      <c r="H35" s="34" t="s">
        <v>18</v>
      </c>
      <c r="I35" s="33">
        <v>1100</v>
      </c>
      <c r="J35" s="33">
        <v>40071295</v>
      </c>
    </row>
    <row r="36" spans="1:10" hidden="1" x14ac:dyDescent="0.35">
      <c r="A36" s="28" t="s">
        <v>13</v>
      </c>
      <c r="B36" s="28"/>
      <c r="C36" s="11" t="s">
        <v>84</v>
      </c>
      <c r="D36" s="29" t="s">
        <v>89</v>
      </c>
      <c r="E36" s="34" t="s">
        <v>90</v>
      </c>
      <c r="F36" s="31" t="s">
        <v>363</v>
      </c>
      <c r="G36" s="29" t="s">
        <v>31</v>
      </c>
      <c r="H36" s="34" t="s">
        <v>32</v>
      </c>
      <c r="I36" s="33">
        <v>132000</v>
      </c>
      <c r="J36" s="33">
        <v>4710530000</v>
      </c>
    </row>
    <row r="37" spans="1:10" hidden="1" x14ac:dyDescent="0.35">
      <c r="A37" s="28" t="s">
        <v>13</v>
      </c>
      <c r="B37" s="28"/>
      <c r="C37" s="11" t="s">
        <v>84</v>
      </c>
      <c r="D37" s="29" t="s">
        <v>91</v>
      </c>
      <c r="E37" s="34" t="s">
        <v>92</v>
      </c>
      <c r="F37" s="31" t="s">
        <v>363</v>
      </c>
      <c r="G37" s="29" t="s">
        <v>21</v>
      </c>
      <c r="H37" s="34" t="s">
        <v>22</v>
      </c>
      <c r="I37" s="33">
        <v>44000</v>
      </c>
      <c r="J37" s="33">
        <v>1732366680</v>
      </c>
    </row>
    <row r="38" spans="1:10" hidden="1" x14ac:dyDescent="0.35">
      <c r="A38" s="15">
        <v>2</v>
      </c>
      <c r="B38" s="15"/>
      <c r="C38" s="11" t="s">
        <v>14</v>
      </c>
      <c r="D38" s="32" t="s">
        <v>15</v>
      </c>
      <c r="E38" s="13" t="s">
        <v>16</v>
      </c>
      <c r="F38" s="31" t="s">
        <v>363</v>
      </c>
      <c r="G38" s="32" t="s">
        <v>17</v>
      </c>
      <c r="H38" s="12" t="s">
        <v>18</v>
      </c>
      <c r="I38" s="14">
        <v>23100</v>
      </c>
      <c r="J38" s="14">
        <v>725857440</v>
      </c>
    </row>
    <row r="39" spans="1:10" hidden="1" x14ac:dyDescent="0.35">
      <c r="A39" s="15">
        <v>2</v>
      </c>
      <c r="B39" s="15"/>
      <c r="C39" s="11" t="s">
        <v>14</v>
      </c>
      <c r="D39" s="32" t="s">
        <v>15</v>
      </c>
      <c r="E39" s="13" t="s">
        <v>16</v>
      </c>
      <c r="F39" s="31" t="s">
        <v>366</v>
      </c>
      <c r="G39" s="32" t="s">
        <v>47</v>
      </c>
      <c r="H39" s="12" t="s">
        <v>48</v>
      </c>
      <c r="I39" s="14">
        <v>11000</v>
      </c>
      <c r="J39" s="14">
        <v>222361700</v>
      </c>
    </row>
    <row r="40" spans="1:10" hidden="1" x14ac:dyDescent="0.35">
      <c r="A40" s="15">
        <v>2</v>
      </c>
      <c r="B40" s="15"/>
      <c r="C40" s="11" t="s">
        <v>14</v>
      </c>
      <c r="D40" s="32" t="s">
        <v>15</v>
      </c>
      <c r="E40" s="13" t="s">
        <v>16</v>
      </c>
      <c r="F40" s="31" t="s">
        <v>366</v>
      </c>
      <c r="G40" s="32" t="s">
        <v>93</v>
      </c>
      <c r="H40" s="12" t="s">
        <v>94</v>
      </c>
      <c r="I40" s="14">
        <v>16500</v>
      </c>
      <c r="J40" s="14">
        <v>333542550</v>
      </c>
    </row>
    <row r="41" spans="1:10" hidden="1" x14ac:dyDescent="0.35">
      <c r="A41" s="15">
        <v>2</v>
      </c>
      <c r="B41" s="15"/>
      <c r="C41" s="11" t="s">
        <v>14</v>
      </c>
      <c r="D41" s="32" t="s">
        <v>15</v>
      </c>
      <c r="E41" s="13" t="s">
        <v>16</v>
      </c>
      <c r="F41" s="31" t="s">
        <v>366</v>
      </c>
      <c r="G41" s="32" t="s">
        <v>95</v>
      </c>
      <c r="H41" s="12" t="s">
        <v>96</v>
      </c>
      <c r="I41" s="14">
        <v>1000</v>
      </c>
      <c r="J41" s="14">
        <v>20214700</v>
      </c>
    </row>
    <row r="42" spans="1:10" hidden="1" x14ac:dyDescent="0.35">
      <c r="A42" s="15">
        <v>2</v>
      </c>
      <c r="B42" s="15"/>
      <c r="C42" s="11" t="s">
        <v>14</v>
      </c>
      <c r="D42" s="32" t="s">
        <v>15</v>
      </c>
      <c r="E42" s="13" t="s">
        <v>16</v>
      </c>
      <c r="F42" s="31" t="s">
        <v>366</v>
      </c>
      <c r="G42" s="32" t="s">
        <v>97</v>
      </c>
      <c r="H42" s="12" t="s">
        <v>98</v>
      </c>
      <c r="I42" s="14">
        <v>5500</v>
      </c>
      <c r="J42" s="14">
        <v>111180850</v>
      </c>
    </row>
    <row r="43" spans="1:10" x14ac:dyDescent="0.35">
      <c r="A43" s="15">
        <v>2</v>
      </c>
      <c r="B43" s="28" t="s">
        <v>2</v>
      </c>
      <c r="C43" s="11" t="s">
        <v>14</v>
      </c>
      <c r="D43" s="32" t="s">
        <v>99</v>
      </c>
      <c r="E43" s="13" t="s">
        <v>100</v>
      </c>
      <c r="F43" s="31" t="s">
        <v>366</v>
      </c>
      <c r="G43" s="32" t="s">
        <v>43</v>
      </c>
      <c r="H43" s="12" t="s">
        <v>44</v>
      </c>
      <c r="I43" s="14">
        <v>2750</v>
      </c>
      <c r="J43" s="14">
        <v>98362000</v>
      </c>
    </row>
    <row r="44" spans="1:10" hidden="1" x14ac:dyDescent="0.35">
      <c r="A44" s="15">
        <v>2</v>
      </c>
      <c r="B44" s="28" t="s">
        <v>2</v>
      </c>
      <c r="C44" s="11" t="s">
        <v>14</v>
      </c>
      <c r="D44" s="32" t="s">
        <v>23</v>
      </c>
      <c r="E44" s="13" t="s">
        <v>24</v>
      </c>
      <c r="F44" s="31" t="s">
        <v>363</v>
      </c>
      <c r="G44" s="32" t="s">
        <v>17</v>
      </c>
      <c r="H44" s="12" t="s">
        <v>18</v>
      </c>
      <c r="I44" s="14">
        <v>352000</v>
      </c>
      <c r="J44" s="14">
        <v>11623040000</v>
      </c>
    </row>
    <row r="45" spans="1:10" hidden="1" x14ac:dyDescent="0.35">
      <c r="A45" s="15">
        <v>2</v>
      </c>
      <c r="B45" s="15"/>
      <c r="C45" s="11" t="s">
        <v>14</v>
      </c>
      <c r="D45" s="32" t="s">
        <v>101</v>
      </c>
      <c r="E45" s="13" t="s">
        <v>102</v>
      </c>
      <c r="F45" s="31" t="s">
        <v>366</v>
      </c>
      <c r="G45" s="32" t="s">
        <v>80</v>
      </c>
      <c r="H45" s="12" t="s">
        <v>81</v>
      </c>
      <c r="I45" s="14">
        <v>750</v>
      </c>
      <c r="J45" s="14">
        <v>13541667</v>
      </c>
    </row>
    <row r="46" spans="1:10" hidden="1" x14ac:dyDescent="0.35">
      <c r="A46" s="15">
        <v>2</v>
      </c>
      <c r="B46" s="15"/>
      <c r="C46" s="11" t="s">
        <v>14</v>
      </c>
      <c r="D46" s="32" t="s">
        <v>101</v>
      </c>
      <c r="E46" s="13" t="s">
        <v>102</v>
      </c>
      <c r="F46" s="31" t="s">
        <v>366</v>
      </c>
      <c r="G46" s="32" t="s">
        <v>103</v>
      </c>
      <c r="H46" s="12" t="s">
        <v>104</v>
      </c>
      <c r="I46" s="14">
        <v>750</v>
      </c>
      <c r="J46" s="14">
        <v>13541667</v>
      </c>
    </row>
    <row r="47" spans="1:10" hidden="1" x14ac:dyDescent="0.35">
      <c r="A47" s="15">
        <v>2</v>
      </c>
      <c r="B47" s="15"/>
      <c r="C47" s="11" t="s">
        <v>14</v>
      </c>
      <c r="D47" s="32" t="s">
        <v>101</v>
      </c>
      <c r="E47" s="13" t="s">
        <v>102</v>
      </c>
      <c r="F47" s="31" t="s">
        <v>366</v>
      </c>
      <c r="G47" s="32" t="s">
        <v>105</v>
      </c>
      <c r="H47" s="12" t="s">
        <v>106</v>
      </c>
      <c r="I47" s="14">
        <v>750</v>
      </c>
      <c r="J47" s="14">
        <v>13541666</v>
      </c>
    </row>
    <row r="48" spans="1:10" hidden="1" x14ac:dyDescent="0.35">
      <c r="A48" s="15">
        <v>2</v>
      </c>
      <c r="B48" s="15"/>
      <c r="C48" s="11" t="s">
        <v>14</v>
      </c>
      <c r="D48" s="32" t="s">
        <v>33</v>
      </c>
      <c r="E48" s="13" t="s">
        <v>34</v>
      </c>
      <c r="F48" s="31" t="s">
        <v>363</v>
      </c>
      <c r="G48" s="32" t="s">
        <v>21</v>
      </c>
      <c r="H48" s="12" t="s">
        <v>22</v>
      </c>
      <c r="I48" s="14">
        <v>484000</v>
      </c>
      <c r="J48" s="14">
        <v>17469660560</v>
      </c>
    </row>
    <row r="49" spans="1:10" hidden="1" x14ac:dyDescent="0.35">
      <c r="A49" s="15">
        <v>2</v>
      </c>
      <c r="B49" s="15"/>
      <c r="C49" s="11" t="s">
        <v>14</v>
      </c>
      <c r="D49" s="32" t="s">
        <v>33</v>
      </c>
      <c r="E49" s="13" t="s">
        <v>34</v>
      </c>
      <c r="F49" s="31" t="s">
        <v>363</v>
      </c>
      <c r="G49" s="32" t="s">
        <v>31</v>
      </c>
      <c r="H49" s="12" t="s">
        <v>32</v>
      </c>
      <c r="I49" s="14">
        <v>154000</v>
      </c>
      <c r="J49" s="14">
        <v>5558528360</v>
      </c>
    </row>
    <row r="50" spans="1:10" hidden="1" x14ac:dyDescent="0.35">
      <c r="A50" s="15">
        <v>2</v>
      </c>
      <c r="B50" s="15"/>
      <c r="C50" s="11" t="s">
        <v>14</v>
      </c>
      <c r="D50" s="32" t="s">
        <v>35</v>
      </c>
      <c r="E50" s="13" t="s">
        <v>36</v>
      </c>
      <c r="F50" s="31" t="s">
        <v>363</v>
      </c>
      <c r="G50" s="32" t="s">
        <v>17</v>
      </c>
      <c r="H50" s="12" t="s">
        <v>18</v>
      </c>
      <c r="I50" s="14">
        <v>33000</v>
      </c>
      <c r="J50" s="14">
        <v>1026927000</v>
      </c>
    </row>
    <row r="51" spans="1:10" hidden="1" x14ac:dyDescent="0.35">
      <c r="A51" s="15">
        <v>2</v>
      </c>
      <c r="B51" s="15"/>
      <c r="C51" s="11" t="s">
        <v>14</v>
      </c>
      <c r="D51" s="32" t="s">
        <v>37</v>
      </c>
      <c r="E51" s="13" t="s">
        <v>348</v>
      </c>
      <c r="F51" s="31" t="s">
        <v>363</v>
      </c>
      <c r="G51" s="32" t="s">
        <v>21</v>
      </c>
      <c r="H51" s="12" t="s">
        <v>22</v>
      </c>
      <c r="I51" s="14">
        <v>22000</v>
      </c>
      <c r="J51" s="14">
        <v>784947968</v>
      </c>
    </row>
    <row r="52" spans="1:10" hidden="1" x14ac:dyDescent="0.35">
      <c r="A52" s="15">
        <v>2</v>
      </c>
      <c r="B52" s="15"/>
      <c r="C52" s="11" t="s">
        <v>14</v>
      </c>
      <c r="D52" s="32" t="s">
        <v>39</v>
      </c>
      <c r="E52" s="13" t="s">
        <v>40</v>
      </c>
      <c r="F52" s="31" t="s">
        <v>363</v>
      </c>
      <c r="G52" s="32" t="s">
        <v>21</v>
      </c>
      <c r="H52" s="12" t="s">
        <v>22</v>
      </c>
      <c r="I52" s="14">
        <v>88000</v>
      </c>
      <c r="J52" s="14">
        <v>3197744000</v>
      </c>
    </row>
    <row r="53" spans="1:10" x14ac:dyDescent="0.35">
      <c r="A53" s="15">
        <v>2</v>
      </c>
      <c r="B53" s="28" t="s">
        <v>2</v>
      </c>
      <c r="C53" s="11" t="s">
        <v>14</v>
      </c>
      <c r="D53" s="32" t="s">
        <v>41</v>
      </c>
      <c r="E53" s="13" t="s">
        <v>42</v>
      </c>
      <c r="F53" s="31" t="s">
        <v>366</v>
      </c>
      <c r="G53" s="32" t="s">
        <v>43</v>
      </c>
      <c r="H53" s="12" t="s">
        <v>44</v>
      </c>
      <c r="I53" s="14">
        <v>24750</v>
      </c>
      <c r="J53" s="14">
        <v>900108000</v>
      </c>
    </row>
    <row r="54" spans="1:10" x14ac:dyDescent="0.35">
      <c r="A54" s="15">
        <v>2</v>
      </c>
      <c r="B54" s="28" t="s">
        <v>2</v>
      </c>
      <c r="C54" s="11" t="s">
        <v>14</v>
      </c>
      <c r="D54" s="32" t="s">
        <v>45</v>
      </c>
      <c r="E54" s="13" t="s">
        <v>46</v>
      </c>
      <c r="F54" s="31" t="s">
        <v>366</v>
      </c>
      <c r="G54" s="32" t="s">
        <v>43</v>
      </c>
      <c r="H54" s="12" t="s">
        <v>44</v>
      </c>
      <c r="I54" s="14">
        <v>77000</v>
      </c>
      <c r="J54" s="14">
        <v>2738120000</v>
      </c>
    </row>
    <row r="55" spans="1:10" hidden="1" x14ac:dyDescent="0.35">
      <c r="A55" s="15">
        <v>2</v>
      </c>
      <c r="B55" s="28" t="s">
        <v>2</v>
      </c>
      <c r="C55" s="11" t="s">
        <v>14</v>
      </c>
      <c r="D55" s="32" t="s">
        <v>45</v>
      </c>
      <c r="E55" s="13" t="s">
        <v>46</v>
      </c>
      <c r="F55" s="31" t="s">
        <v>363</v>
      </c>
      <c r="G55" s="32" t="s">
        <v>17</v>
      </c>
      <c r="H55" s="12" t="s">
        <v>18</v>
      </c>
      <c r="I55" s="14">
        <v>11000</v>
      </c>
      <c r="J55" s="14">
        <v>363220000</v>
      </c>
    </row>
    <row r="56" spans="1:10" x14ac:dyDescent="0.35">
      <c r="A56" s="15">
        <v>2</v>
      </c>
      <c r="B56" s="28" t="s">
        <v>2</v>
      </c>
      <c r="C56" s="11" t="s">
        <v>14</v>
      </c>
      <c r="D56" s="32" t="s">
        <v>45</v>
      </c>
      <c r="E56" s="13" t="s">
        <v>46</v>
      </c>
      <c r="F56" s="31" t="s">
        <v>366</v>
      </c>
      <c r="G56" s="32" t="s">
        <v>49</v>
      </c>
      <c r="H56" s="12" t="s">
        <v>50</v>
      </c>
      <c r="I56" s="14">
        <v>5500</v>
      </c>
      <c r="J56" s="14">
        <v>188595000</v>
      </c>
    </row>
    <row r="57" spans="1:10" x14ac:dyDescent="0.35">
      <c r="A57" s="15">
        <v>2</v>
      </c>
      <c r="B57" s="28" t="s">
        <v>2</v>
      </c>
      <c r="C57" s="11" t="s">
        <v>14</v>
      </c>
      <c r="D57" s="32" t="s">
        <v>45</v>
      </c>
      <c r="E57" s="13" t="s">
        <v>46</v>
      </c>
      <c r="F57" s="31" t="s">
        <v>366</v>
      </c>
      <c r="G57" s="32" t="s">
        <v>51</v>
      </c>
      <c r="H57" s="12" t="s">
        <v>52</v>
      </c>
      <c r="I57" s="14">
        <v>44000</v>
      </c>
      <c r="J57" s="14">
        <v>1508760000</v>
      </c>
    </row>
    <row r="58" spans="1:10" x14ac:dyDescent="0.35">
      <c r="A58" s="15">
        <v>2</v>
      </c>
      <c r="B58" s="28" t="s">
        <v>2</v>
      </c>
      <c r="C58" s="11" t="s">
        <v>14</v>
      </c>
      <c r="D58" s="32" t="s">
        <v>45</v>
      </c>
      <c r="E58" s="13" t="s">
        <v>46</v>
      </c>
      <c r="F58" s="31" t="s">
        <v>366</v>
      </c>
      <c r="G58" s="32" t="s">
        <v>53</v>
      </c>
      <c r="H58" s="12" t="s">
        <v>54</v>
      </c>
      <c r="I58" s="14">
        <v>24000</v>
      </c>
      <c r="J58" s="14">
        <v>853440000</v>
      </c>
    </row>
    <row r="59" spans="1:10" hidden="1" x14ac:dyDescent="0.35">
      <c r="A59" s="15">
        <v>2</v>
      </c>
      <c r="B59" s="15"/>
      <c r="C59" s="11" t="s">
        <v>14</v>
      </c>
      <c r="D59" s="32" t="s">
        <v>55</v>
      </c>
      <c r="E59" s="13" t="s">
        <v>56</v>
      </c>
      <c r="F59" s="31" t="s">
        <v>363</v>
      </c>
      <c r="G59" s="32" t="s">
        <v>17</v>
      </c>
      <c r="H59" s="12" t="s">
        <v>18</v>
      </c>
      <c r="I59" s="14">
        <v>1100</v>
      </c>
      <c r="J59" s="14">
        <v>34230900</v>
      </c>
    </row>
    <row r="60" spans="1:10" hidden="1" x14ac:dyDescent="0.35">
      <c r="A60" s="15">
        <v>2</v>
      </c>
      <c r="B60" s="15"/>
      <c r="C60" s="11" t="s">
        <v>14</v>
      </c>
      <c r="D60" s="32" t="s">
        <v>58</v>
      </c>
      <c r="E60" s="13" t="s">
        <v>59</v>
      </c>
      <c r="F60" s="31" t="s">
        <v>364</v>
      </c>
      <c r="G60" s="32" t="s">
        <v>60</v>
      </c>
      <c r="H60" s="12" t="s">
        <v>61</v>
      </c>
      <c r="I60" s="14">
        <v>11000</v>
      </c>
      <c r="J60" s="14">
        <v>209000000</v>
      </c>
    </row>
    <row r="61" spans="1:10" hidden="1" x14ac:dyDescent="0.35">
      <c r="A61" s="15">
        <v>2</v>
      </c>
      <c r="B61" s="15"/>
      <c r="C61" s="11" t="s">
        <v>14</v>
      </c>
      <c r="D61" s="32" t="s">
        <v>62</v>
      </c>
      <c r="E61" s="13" t="s">
        <v>63</v>
      </c>
      <c r="F61" s="31" t="s">
        <v>363</v>
      </c>
      <c r="G61" s="32" t="s">
        <v>17</v>
      </c>
      <c r="H61" s="12" t="s">
        <v>18</v>
      </c>
      <c r="I61" s="14">
        <v>77000</v>
      </c>
      <c r="J61" s="14">
        <v>2410180080</v>
      </c>
    </row>
    <row r="62" spans="1:10" hidden="1" x14ac:dyDescent="0.35">
      <c r="A62" s="15">
        <v>2</v>
      </c>
      <c r="B62" s="15"/>
      <c r="C62" s="11" t="s">
        <v>14</v>
      </c>
      <c r="D62" s="32" t="s">
        <v>66</v>
      </c>
      <c r="E62" s="13" t="s">
        <v>67</v>
      </c>
      <c r="F62" s="31" t="s">
        <v>366</v>
      </c>
      <c r="G62" s="32" t="s">
        <v>68</v>
      </c>
      <c r="H62" s="12" t="s">
        <v>69</v>
      </c>
      <c r="I62" s="14">
        <v>22000</v>
      </c>
      <c r="J62" s="14">
        <v>759102300</v>
      </c>
    </row>
    <row r="63" spans="1:10" hidden="1" x14ac:dyDescent="0.35">
      <c r="A63" s="15">
        <v>2</v>
      </c>
      <c r="B63" s="15"/>
      <c r="C63" s="11" t="s">
        <v>14</v>
      </c>
      <c r="D63" s="32" t="s">
        <v>107</v>
      </c>
      <c r="E63" s="13" t="s">
        <v>108</v>
      </c>
      <c r="F63" s="31" t="s">
        <v>363</v>
      </c>
      <c r="G63" s="32" t="s">
        <v>31</v>
      </c>
      <c r="H63" s="12" t="s">
        <v>32</v>
      </c>
      <c r="I63" s="14">
        <v>4400</v>
      </c>
      <c r="J63" s="14">
        <v>145072928</v>
      </c>
    </row>
    <row r="64" spans="1:10" hidden="1" x14ac:dyDescent="0.35">
      <c r="A64" s="15">
        <v>2</v>
      </c>
      <c r="B64" s="15"/>
      <c r="C64" s="11" t="s">
        <v>14</v>
      </c>
      <c r="D64" s="32" t="s">
        <v>70</v>
      </c>
      <c r="E64" s="13" t="s">
        <v>71</v>
      </c>
      <c r="F64" s="31" t="s">
        <v>363</v>
      </c>
      <c r="G64" s="32" t="s">
        <v>17</v>
      </c>
      <c r="H64" s="12" t="s">
        <v>18</v>
      </c>
      <c r="I64" s="14">
        <v>3300</v>
      </c>
      <c r="J64" s="14">
        <v>103935678</v>
      </c>
    </row>
    <row r="65" spans="1:10" hidden="1" x14ac:dyDescent="0.35">
      <c r="A65" s="15">
        <v>2</v>
      </c>
      <c r="B65" s="15"/>
      <c r="C65" s="11" t="s">
        <v>14</v>
      </c>
      <c r="D65" s="32" t="s">
        <v>70</v>
      </c>
      <c r="E65" s="13" t="s">
        <v>71</v>
      </c>
      <c r="F65" s="31" t="s">
        <v>365</v>
      </c>
      <c r="G65" s="32" t="s">
        <v>109</v>
      </c>
      <c r="H65" s="12" t="s">
        <v>110</v>
      </c>
      <c r="I65" s="14">
        <v>500</v>
      </c>
      <c r="J65" s="14">
        <v>14601680</v>
      </c>
    </row>
    <row r="66" spans="1:10" hidden="1" x14ac:dyDescent="0.35">
      <c r="A66" s="15">
        <v>2</v>
      </c>
      <c r="B66" s="15"/>
      <c r="C66" s="11" t="s">
        <v>14</v>
      </c>
      <c r="D66" s="32" t="s">
        <v>111</v>
      </c>
      <c r="E66" s="13" t="s">
        <v>112</v>
      </c>
      <c r="F66" s="31" t="s">
        <v>366</v>
      </c>
      <c r="G66" s="32" t="s">
        <v>113</v>
      </c>
      <c r="H66" s="12" t="s">
        <v>114</v>
      </c>
      <c r="I66" s="14">
        <v>11000</v>
      </c>
      <c r="J66" s="14">
        <v>187000000</v>
      </c>
    </row>
    <row r="67" spans="1:10" hidden="1" x14ac:dyDescent="0.35">
      <c r="A67" s="15">
        <v>2</v>
      </c>
      <c r="B67" s="15"/>
      <c r="C67" s="11" t="s">
        <v>14</v>
      </c>
      <c r="D67" s="32" t="s">
        <v>115</v>
      </c>
      <c r="E67" s="13" t="s">
        <v>116</v>
      </c>
      <c r="F67" s="31" t="s">
        <v>364</v>
      </c>
      <c r="G67" s="32" t="s">
        <v>117</v>
      </c>
      <c r="H67" s="12" t="s">
        <v>118</v>
      </c>
      <c r="I67" s="14">
        <v>5500</v>
      </c>
      <c r="J67" s="14">
        <v>105050000</v>
      </c>
    </row>
    <row r="68" spans="1:10" hidden="1" x14ac:dyDescent="0.35">
      <c r="A68" s="15">
        <v>2</v>
      </c>
      <c r="B68" s="15"/>
      <c r="C68" s="11" t="s">
        <v>14</v>
      </c>
      <c r="D68" s="32" t="s">
        <v>78</v>
      </c>
      <c r="E68" s="13" t="s">
        <v>79</v>
      </c>
      <c r="F68" s="31" t="s">
        <v>366</v>
      </c>
      <c r="G68" s="32" t="s">
        <v>80</v>
      </c>
      <c r="H68" s="12" t="s">
        <v>81</v>
      </c>
      <c r="I68" s="14">
        <v>9750</v>
      </c>
      <c r="J68" s="14">
        <v>153472222</v>
      </c>
    </row>
    <row r="69" spans="1:10" hidden="1" x14ac:dyDescent="0.35">
      <c r="A69" s="15">
        <v>2</v>
      </c>
      <c r="B69" s="15"/>
      <c r="C69" s="11" t="s">
        <v>14</v>
      </c>
      <c r="D69" s="32" t="s">
        <v>78</v>
      </c>
      <c r="E69" s="13" t="s">
        <v>79</v>
      </c>
      <c r="F69" s="31" t="s">
        <v>366</v>
      </c>
      <c r="G69" s="32" t="s">
        <v>82</v>
      </c>
      <c r="H69" s="12" t="s">
        <v>83</v>
      </c>
      <c r="I69" s="14">
        <v>1500</v>
      </c>
      <c r="J69" s="14">
        <v>23611111</v>
      </c>
    </row>
    <row r="70" spans="1:10" hidden="1" x14ac:dyDescent="0.35">
      <c r="A70" s="15">
        <v>2</v>
      </c>
      <c r="B70" s="15"/>
      <c r="C70" s="11" t="s">
        <v>14</v>
      </c>
      <c r="D70" s="32" t="s">
        <v>78</v>
      </c>
      <c r="E70" s="13" t="s">
        <v>79</v>
      </c>
      <c r="F70" s="31" t="s">
        <v>366</v>
      </c>
      <c r="G70" s="32" t="s">
        <v>119</v>
      </c>
      <c r="H70" s="12" t="s">
        <v>120</v>
      </c>
      <c r="I70" s="14">
        <v>750</v>
      </c>
      <c r="J70" s="14">
        <v>11805556</v>
      </c>
    </row>
    <row r="71" spans="1:10" hidden="1" x14ac:dyDescent="0.35">
      <c r="A71" s="15">
        <v>2</v>
      </c>
      <c r="B71" s="15"/>
      <c r="C71" s="11" t="s">
        <v>14</v>
      </c>
      <c r="D71" s="32" t="s">
        <v>121</v>
      </c>
      <c r="E71" s="13" t="s">
        <v>122</v>
      </c>
      <c r="F71" s="31" t="s">
        <v>365</v>
      </c>
      <c r="G71" s="32" t="s">
        <v>123</v>
      </c>
      <c r="H71" s="12" t="s">
        <v>124</v>
      </c>
      <c r="I71" s="14">
        <v>5</v>
      </c>
      <c r="J71" s="14">
        <v>105000</v>
      </c>
    </row>
    <row r="72" spans="1:10" hidden="1" x14ac:dyDescent="0.35">
      <c r="A72" s="15">
        <v>2</v>
      </c>
      <c r="B72" s="15"/>
      <c r="C72" s="11" t="s">
        <v>14</v>
      </c>
      <c r="D72" s="32" t="s">
        <v>121</v>
      </c>
      <c r="E72" s="13" t="s">
        <v>122</v>
      </c>
      <c r="F72" s="31" t="s">
        <v>365</v>
      </c>
      <c r="G72" s="32" t="s">
        <v>109</v>
      </c>
      <c r="H72" s="12" t="s">
        <v>110</v>
      </c>
      <c r="I72" s="14">
        <v>5</v>
      </c>
      <c r="J72" s="14">
        <v>89250</v>
      </c>
    </row>
    <row r="73" spans="1:10" hidden="1" x14ac:dyDescent="0.35">
      <c r="A73" s="15">
        <v>2</v>
      </c>
      <c r="B73" s="15"/>
      <c r="C73" s="11" t="s">
        <v>14</v>
      </c>
      <c r="D73" s="32" t="s">
        <v>121</v>
      </c>
      <c r="E73" s="13" t="s">
        <v>122</v>
      </c>
      <c r="F73" s="31" t="s">
        <v>365</v>
      </c>
      <c r="G73" s="32" t="s">
        <v>125</v>
      </c>
      <c r="H73" s="12" t="s">
        <v>126</v>
      </c>
      <c r="I73" s="14">
        <v>5</v>
      </c>
      <c r="J73" s="14">
        <v>105000</v>
      </c>
    </row>
    <row r="74" spans="1:10" hidden="1" x14ac:dyDescent="0.35">
      <c r="A74" s="15">
        <v>2</v>
      </c>
      <c r="B74" s="15"/>
      <c r="C74" s="11" t="s">
        <v>14</v>
      </c>
      <c r="D74" s="32" t="s">
        <v>121</v>
      </c>
      <c r="E74" s="13" t="s">
        <v>122</v>
      </c>
      <c r="F74" s="31" t="s">
        <v>365</v>
      </c>
      <c r="G74" s="32" t="s">
        <v>127</v>
      </c>
      <c r="H74" s="12" t="s">
        <v>128</v>
      </c>
      <c r="I74" s="14">
        <v>5</v>
      </c>
      <c r="J74" s="14">
        <v>105000</v>
      </c>
    </row>
    <row r="75" spans="1:10" hidden="1" x14ac:dyDescent="0.35">
      <c r="A75" s="15">
        <v>2</v>
      </c>
      <c r="B75" s="15"/>
      <c r="C75" s="11" t="s">
        <v>14</v>
      </c>
      <c r="D75" s="32" t="s">
        <v>121</v>
      </c>
      <c r="E75" s="13" t="s">
        <v>122</v>
      </c>
      <c r="F75" s="31" t="s">
        <v>365</v>
      </c>
      <c r="G75" s="32" t="s">
        <v>129</v>
      </c>
      <c r="H75" s="12" t="s">
        <v>130</v>
      </c>
      <c r="I75" s="14">
        <v>5</v>
      </c>
      <c r="J75" s="14">
        <v>105000</v>
      </c>
    </row>
    <row r="76" spans="1:10" hidden="1" x14ac:dyDescent="0.35">
      <c r="A76" s="15">
        <v>2</v>
      </c>
      <c r="B76" s="15"/>
      <c r="C76" s="11" t="s">
        <v>14</v>
      </c>
      <c r="D76" s="32" t="s">
        <v>131</v>
      </c>
      <c r="E76" s="13" t="s">
        <v>132</v>
      </c>
      <c r="F76" s="31" t="s">
        <v>365</v>
      </c>
      <c r="G76" s="32" t="s">
        <v>109</v>
      </c>
      <c r="H76" s="12" t="s">
        <v>110</v>
      </c>
      <c r="I76" s="14">
        <v>100</v>
      </c>
      <c r="J76" s="14">
        <v>1955000</v>
      </c>
    </row>
    <row r="77" spans="1:10" hidden="1" x14ac:dyDescent="0.35">
      <c r="A77" s="15">
        <v>2</v>
      </c>
      <c r="B77" s="15"/>
      <c r="C77" s="11" t="s">
        <v>14</v>
      </c>
      <c r="D77" s="32" t="s">
        <v>133</v>
      </c>
      <c r="E77" s="13" t="s">
        <v>134</v>
      </c>
      <c r="F77" s="31" t="s">
        <v>363</v>
      </c>
      <c r="G77" s="32" t="s">
        <v>135</v>
      </c>
      <c r="H77" s="12" t="s">
        <v>136</v>
      </c>
      <c r="I77" s="14">
        <v>1100</v>
      </c>
      <c r="J77" s="14">
        <v>31680000</v>
      </c>
    </row>
    <row r="78" spans="1:10" hidden="1" x14ac:dyDescent="0.35">
      <c r="A78" s="15">
        <v>2</v>
      </c>
      <c r="B78" s="15"/>
      <c r="C78" s="11" t="s">
        <v>14</v>
      </c>
      <c r="D78" s="32" t="s">
        <v>137</v>
      </c>
      <c r="E78" s="13" t="s">
        <v>138</v>
      </c>
      <c r="F78" s="31" t="s">
        <v>366</v>
      </c>
      <c r="G78" s="32" t="s">
        <v>103</v>
      </c>
      <c r="H78" s="12" t="s">
        <v>104</v>
      </c>
      <c r="I78" s="14">
        <v>750</v>
      </c>
      <c r="J78" s="14">
        <v>11250000</v>
      </c>
    </row>
    <row r="79" spans="1:10" hidden="1" x14ac:dyDescent="0.35">
      <c r="A79" s="15">
        <v>2</v>
      </c>
      <c r="B79" s="15"/>
      <c r="C79" s="11" t="s">
        <v>14</v>
      </c>
      <c r="D79" s="32" t="s">
        <v>137</v>
      </c>
      <c r="E79" s="13" t="s">
        <v>138</v>
      </c>
      <c r="F79" s="31" t="s">
        <v>366</v>
      </c>
      <c r="G79" s="32" t="s">
        <v>105</v>
      </c>
      <c r="H79" s="12" t="s">
        <v>106</v>
      </c>
      <c r="I79" s="14">
        <v>750</v>
      </c>
      <c r="J79" s="14">
        <v>11250000</v>
      </c>
    </row>
    <row r="80" spans="1:10" hidden="1" x14ac:dyDescent="0.35">
      <c r="A80" s="15">
        <v>2</v>
      </c>
      <c r="B80" s="15"/>
      <c r="C80" s="11" t="s">
        <v>14</v>
      </c>
      <c r="D80" s="32" t="s">
        <v>137</v>
      </c>
      <c r="E80" s="13" t="s">
        <v>138</v>
      </c>
      <c r="F80" s="31" t="s">
        <v>366</v>
      </c>
      <c r="G80" s="32" t="s">
        <v>119</v>
      </c>
      <c r="H80" s="12" t="s">
        <v>120</v>
      </c>
      <c r="I80" s="14">
        <v>750</v>
      </c>
      <c r="J80" s="14">
        <v>11250000</v>
      </c>
    </row>
    <row r="81" spans="1:10" hidden="1" x14ac:dyDescent="0.35">
      <c r="A81" s="15">
        <v>2</v>
      </c>
      <c r="B81" s="15"/>
      <c r="C81" s="11" t="s">
        <v>14</v>
      </c>
      <c r="D81" s="32" t="s">
        <v>139</v>
      </c>
      <c r="E81" s="13" t="s">
        <v>140</v>
      </c>
      <c r="F81" s="31" t="s">
        <v>365</v>
      </c>
      <c r="G81" s="32" t="s">
        <v>127</v>
      </c>
      <c r="H81" s="12" t="s">
        <v>128</v>
      </c>
      <c r="I81" s="14">
        <v>50</v>
      </c>
      <c r="J81" s="14">
        <v>1347700</v>
      </c>
    </row>
    <row r="82" spans="1:10" hidden="1" x14ac:dyDescent="0.35">
      <c r="A82" s="15">
        <v>2</v>
      </c>
      <c r="B82" s="15"/>
      <c r="C82" s="11" t="s">
        <v>84</v>
      </c>
      <c r="D82" s="32" t="s">
        <v>85</v>
      </c>
      <c r="E82" s="13" t="s">
        <v>86</v>
      </c>
      <c r="F82" s="31" t="s">
        <v>363</v>
      </c>
      <c r="G82" s="32" t="s">
        <v>17</v>
      </c>
      <c r="H82" s="12" t="s">
        <v>18</v>
      </c>
      <c r="I82" s="14">
        <v>1672000</v>
      </c>
      <c r="J82" s="14">
        <v>53916439509</v>
      </c>
    </row>
    <row r="83" spans="1:10" hidden="1" x14ac:dyDescent="0.35">
      <c r="A83" s="15">
        <v>2</v>
      </c>
      <c r="B83" s="15"/>
      <c r="C83" s="11" t="s">
        <v>84</v>
      </c>
      <c r="D83" s="32" t="s">
        <v>141</v>
      </c>
      <c r="E83" s="13" t="s">
        <v>142</v>
      </c>
      <c r="F83" s="31" t="s">
        <v>363</v>
      </c>
      <c r="G83" s="32" t="s">
        <v>21</v>
      </c>
      <c r="H83" s="12" t="s">
        <v>22</v>
      </c>
      <c r="I83" s="14">
        <v>66000</v>
      </c>
      <c r="J83" s="14">
        <v>2392533000</v>
      </c>
    </row>
    <row r="84" spans="1:10" hidden="1" x14ac:dyDescent="0.35">
      <c r="A84" s="15">
        <v>2</v>
      </c>
      <c r="B84" s="15"/>
      <c r="C84" s="11" t="s">
        <v>84</v>
      </c>
      <c r="D84" s="32" t="s">
        <v>143</v>
      </c>
      <c r="E84" s="13" t="s">
        <v>144</v>
      </c>
      <c r="F84" s="31" t="s">
        <v>366</v>
      </c>
      <c r="G84" s="32" t="s">
        <v>93</v>
      </c>
      <c r="H84" s="12" t="s">
        <v>94</v>
      </c>
      <c r="I84" s="14">
        <v>25000</v>
      </c>
      <c r="J84" s="14">
        <v>602062500</v>
      </c>
    </row>
    <row r="85" spans="1:10" hidden="1" x14ac:dyDescent="0.35">
      <c r="A85" s="15">
        <v>2</v>
      </c>
      <c r="B85" s="15"/>
      <c r="C85" s="11" t="s">
        <v>84</v>
      </c>
      <c r="D85" s="32" t="s">
        <v>145</v>
      </c>
      <c r="E85" s="13" t="s">
        <v>146</v>
      </c>
      <c r="F85" s="31" t="s">
        <v>363</v>
      </c>
      <c r="G85" s="32" t="s">
        <v>135</v>
      </c>
      <c r="H85" s="12" t="s">
        <v>136</v>
      </c>
      <c r="I85" s="14">
        <v>22000</v>
      </c>
      <c r="J85" s="14">
        <v>613470000</v>
      </c>
    </row>
    <row r="86" spans="1:10" hidden="1" x14ac:dyDescent="0.35">
      <c r="A86" s="15">
        <v>2</v>
      </c>
      <c r="B86" s="15"/>
      <c r="C86" s="11" t="s">
        <v>84</v>
      </c>
      <c r="D86" s="32" t="s">
        <v>147</v>
      </c>
      <c r="E86" s="13" t="s">
        <v>148</v>
      </c>
      <c r="F86" s="31" t="s">
        <v>363</v>
      </c>
      <c r="G86" s="32" t="s">
        <v>31</v>
      </c>
      <c r="H86" s="12" t="s">
        <v>32</v>
      </c>
      <c r="I86" s="14">
        <v>880000</v>
      </c>
      <c r="J86" s="14">
        <v>27867125000</v>
      </c>
    </row>
    <row r="87" spans="1:10" hidden="1" x14ac:dyDescent="0.35">
      <c r="A87" s="15">
        <v>2</v>
      </c>
      <c r="B87" s="15"/>
      <c r="C87" s="11" t="s">
        <v>84</v>
      </c>
      <c r="D87" s="32" t="s">
        <v>147</v>
      </c>
      <c r="E87" s="13" t="s">
        <v>148</v>
      </c>
      <c r="F87" s="31" t="s">
        <v>366</v>
      </c>
      <c r="G87" s="32" t="s">
        <v>149</v>
      </c>
      <c r="H87" s="12" t="s">
        <v>150</v>
      </c>
      <c r="I87" s="14">
        <v>25000</v>
      </c>
      <c r="J87" s="14">
        <v>760500000</v>
      </c>
    </row>
    <row r="88" spans="1:10" hidden="1" x14ac:dyDescent="0.35">
      <c r="A88" s="15">
        <v>2</v>
      </c>
      <c r="B88" s="15"/>
      <c r="C88" s="11" t="s">
        <v>84</v>
      </c>
      <c r="D88" s="32" t="s">
        <v>151</v>
      </c>
      <c r="E88" s="13" t="s">
        <v>152</v>
      </c>
      <c r="F88" s="31" t="s">
        <v>363</v>
      </c>
      <c r="G88" s="32" t="s">
        <v>31</v>
      </c>
      <c r="H88" s="12" t="s">
        <v>32</v>
      </c>
      <c r="I88" s="14">
        <v>22000</v>
      </c>
      <c r="J88" s="14">
        <v>782012000</v>
      </c>
    </row>
    <row r="89" spans="1:10" hidden="1" x14ac:dyDescent="0.35">
      <c r="A89" s="15">
        <v>2</v>
      </c>
      <c r="B89" s="15"/>
      <c r="C89" s="11" t="s">
        <v>84</v>
      </c>
      <c r="D89" s="32" t="s">
        <v>153</v>
      </c>
      <c r="E89" s="13" t="s">
        <v>154</v>
      </c>
      <c r="F89" s="31" t="s">
        <v>363</v>
      </c>
      <c r="G89" s="32" t="s">
        <v>31</v>
      </c>
      <c r="H89" s="12" t="s">
        <v>32</v>
      </c>
      <c r="I89" s="14">
        <v>110000</v>
      </c>
      <c r="J89" s="14">
        <v>3783384000</v>
      </c>
    </row>
    <row r="90" spans="1:10" hidden="1" x14ac:dyDescent="0.35">
      <c r="A90" s="15">
        <v>2</v>
      </c>
      <c r="B90" s="15"/>
      <c r="C90" s="11" t="s">
        <v>84</v>
      </c>
      <c r="D90" s="32" t="s">
        <v>155</v>
      </c>
      <c r="E90" s="13" t="s">
        <v>156</v>
      </c>
      <c r="F90" s="31" t="s">
        <v>363</v>
      </c>
      <c r="G90" s="32" t="s">
        <v>31</v>
      </c>
      <c r="H90" s="12" t="s">
        <v>32</v>
      </c>
      <c r="I90" s="14">
        <v>22000</v>
      </c>
      <c r="J90" s="14">
        <v>708279000</v>
      </c>
    </row>
    <row r="91" spans="1:10" hidden="1" x14ac:dyDescent="0.35">
      <c r="A91" s="15">
        <v>2</v>
      </c>
      <c r="B91" s="15"/>
      <c r="C91" s="11" t="s">
        <v>84</v>
      </c>
      <c r="D91" s="32" t="s">
        <v>155</v>
      </c>
      <c r="E91" s="13" t="s">
        <v>156</v>
      </c>
      <c r="F91" s="31" t="s">
        <v>363</v>
      </c>
      <c r="G91" s="32" t="s">
        <v>135</v>
      </c>
      <c r="H91" s="12" t="s">
        <v>136</v>
      </c>
      <c r="I91" s="14">
        <v>22000</v>
      </c>
      <c r="J91" s="14">
        <v>613470000</v>
      </c>
    </row>
    <row r="92" spans="1:10" hidden="1" x14ac:dyDescent="0.35">
      <c r="A92" s="15">
        <v>2</v>
      </c>
      <c r="B92" s="15"/>
      <c r="C92" s="11" t="s">
        <v>84</v>
      </c>
      <c r="D92" s="32" t="s">
        <v>157</v>
      </c>
      <c r="E92" s="13" t="s">
        <v>158</v>
      </c>
      <c r="F92" s="31" t="s">
        <v>363</v>
      </c>
      <c r="G92" s="32" t="s">
        <v>31</v>
      </c>
      <c r="H92" s="12" t="s">
        <v>32</v>
      </c>
      <c r="I92" s="14">
        <v>330000</v>
      </c>
      <c r="J92" s="14">
        <v>10423413000</v>
      </c>
    </row>
    <row r="93" spans="1:10" hidden="1" x14ac:dyDescent="0.35">
      <c r="A93" s="15">
        <v>2</v>
      </c>
      <c r="B93" s="15"/>
      <c r="C93" s="11" t="s">
        <v>84</v>
      </c>
      <c r="D93" s="32" t="s">
        <v>159</v>
      </c>
      <c r="E93" s="13" t="s">
        <v>160</v>
      </c>
      <c r="F93" s="31" t="s">
        <v>363</v>
      </c>
      <c r="G93" s="32" t="s">
        <v>31</v>
      </c>
      <c r="H93" s="12" t="s">
        <v>32</v>
      </c>
      <c r="I93" s="14">
        <v>22000</v>
      </c>
      <c r="J93" s="14">
        <v>800371000</v>
      </c>
    </row>
    <row r="94" spans="1:10" hidden="1" x14ac:dyDescent="0.35">
      <c r="A94" s="15">
        <v>2</v>
      </c>
      <c r="B94" s="15"/>
      <c r="C94" s="11" t="s">
        <v>84</v>
      </c>
      <c r="D94" s="32" t="s">
        <v>161</v>
      </c>
      <c r="E94" s="13" t="s">
        <v>162</v>
      </c>
      <c r="F94" s="31" t="s">
        <v>363</v>
      </c>
      <c r="G94" s="32" t="s">
        <v>31</v>
      </c>
      <c r="H94" s="12" t="s">
        <v>32</v>
      </c>
      <c r="I94" s="14">
        <v>440000</v>
      </c>
      <c r="J94" s="14">
        <v>15166438320</v>
      </c>
    </row>
    <row r="95" spans="1:10" hidden="1" x14ac:dyDescent="0.35">
      <c r="A95" s="15">
        <v>2</v>
      </c>
      <c r="B95" s="15"/>
      <c r="C95" s="11" t="s">
        <v>84</v>
      </c>
      <c r="D95" s="32" t="s">
        <v>163</v>
      </c>
      <c r="E95" s="13" t="s">
        <v>164</v>
      </c>
      <c r="F95" s="31" t="s">
        <v>363</v>
      </c>
      <c r="G95" s="32" t="s">
        <v>31</v>
      </c>
      <c r="H95" s="12" t="s">
        <v>32</v>
      </c>
      <c r="I95" s="14">
        <v>220000</v>
      </c>
      <c r="J95" s="14">
        <v>6907758000</v>
      </c>
    </row>
    <row r="96" spans="1:10" hidden="1" x14ac:dyDescent="0.35">
      <c r="A96" s="15">
        <v>2</v>
      </c>
      <c r="B96" s="15"/>
      <c r="C96" s="11" t="s">
        <v>84</v>
      </c>
      <c r="D96" s="32" t="s">
        <v>165</v>
      </c>
      <c r="E96" s="13" t="s">
        <v>166</v>
      </c>
      <c r="F96" s="31" t="s">
        <v>363</v>
      </c>
      <c r="G96" s="32" t="s">
        <v>31</v>
      </c>
      <c r="H96" s="12" t="s">
        <v>32</v>
      </c>
      <c r="I96" s="14">
        <v>66000</v>
      </c>
      <c r="J96" s="14">
        <v>2417629500</v>
      </c>
    </row>
    <row r="97" spans="1:10" hidden="1" x14ac:dyDescent="0.35">
      <c r="A97" s="15">
        <v>3</v>
      </c>
      <c r="B97" s="15"/>
      <c r="C97" s="11" t="s">
        <v>14</v>
      </c>
      <c r="D97" s="32" t="s">
        <v>167</v>
      </c>
      <c r="E97" s="13" t="s">
        <v>168</v>
      </c>
      <c r="F97" s="31" t="s">
        <v>363</v>
      </c>
      <c r="G97" s="32" t="s">
        <v>21</v>
      </c>
      <c r="H97" s="12" t="s">
        <v>22</v>
      </c>
      <c r="I97" s="14">
        <v>88000</v>
      </c>
      <c r="J97" s="14">
        <f>3183576000-94442040</f>
        <v>3089133960</v>
      </c>
    </row>
    <row r="98" spans="1:10" hidden="1" x14ac:dyDescent="0.35">
      <c r="A98" s="15">
        <v>3</v>
      </c>
      <c r="B98" s="15"/>
      <c r="C98" s="11" t="s">
        <v>14</v>
      </c>
      <c r="D98" s="32" t="s">
        <v>39</v>
      </c>
      <c r="E98" s="13" t="s">
        <v>40</v>
      </c>
      <c r="F98" s="31" t="s">
        <v>363</v>
      </c>
      <c r="G98" s="32" t="s">
        <v>21</v>
      </c>
      <c r="H98" s="12" t="s">
        <v>22</v>
      </c>
      <c r="I98" s="14">
        <v>66000</v>
      </c>
      <c r="J98" s="14">
        <f>2418042000-165516120</f>
        <v>2252525880</v>
      </c>
    </row>
    <row r="99" spans="1:10" hidden="1" x14ac:dyDescent="0.35">
      <c r="A99" s="15">
        <v>3</v>
      </c>
      <c r="B99" s="15"/>
      <c r="C99" s="11" t="s">
        <v>84</v>
      </c>
      <c r="D99" s="32" t="s">
        <v>169</v>
      </c>
      <c r="E99" s="13" t="s">
        <v>170</v>
      </c>
      <c r="F99" s="31" t="s">
        <v>363</v>
      </c>
      <c r="G99" s="32" t="s">
        <v>171</v>
      </c>
      <c r="H99" s="12" t="s">
        <v>172</v>
      </c>
      <c r="I99" s="14">
        <v>1100</v>
      </c>
      <c r="J99" s="14">
        <v>33047080</v>
      </c>
    </row>
    <row r="100" spans="1:10" hidden="1" x14ac:dyDescent="0.35">
      <c r="A100" s="15">
        <v>3</v>
      </c>
      <c r="B100" s="15"/>
      <c r="C100" s="11" t="s">
        <v>84</v>
      </c>
      <c r="D100" s="32" t="s">
        <v>173</v>
      </c>
      <c r="E100" s="13" t="s">
        <v>174</v>
      </c>
      <c r="F100" s="31" t="s">
        <v>363</v>
      </c>
      <c r="G100" s="32" t="s">
        <v>21</v>
      </c>
      <c r="H100" s="12" t="s">
        <v>22</v>
      </c>
      <c r="I100" s="14">
        <v>1100</v>
      </c>
      <c r="J100" s="14">
        <v>37528040</v>
      </c>
    </row>
    <row r="101" spans="1:10" hidden="1" x14ac:dyDescent="0.35">
      <c r="A101" s="15">
        <v>3</v>
      </c>
      <c r="B101" s="15"/>
      <c r="C101" s="11" t="s">
        <v>84</v>
      </c>
      <c r="D101" s="32" t="s">
        <v>173</v>
      </c>
      <c r="E101" s="13" t="s">
        <v>174</v>
      </c>
      <c r="F101" s="31" t="s">
        <v>363</v>
      </c>
      <c r="G101" s="32" t="s">
        <v>17</v>
      </c>
      <c r="H101" s="12" t="s">
        <v>18</v>
      </c>
      <c r="I101" s="14">
        <v>11000</v>
      </c>
      <c r="J101" s="14">
        <v>350075000</v>
      </c>
    </row>
    <row r="102" spans="1:10" hidden="1" x14ac:dyDescent="0.35">
      <c r="A102" s="15">
        <v>3</v>
      </c>
      <c r="B102" s="15"/>
      <c r="C102" s="11" t="s">
        <v>84</v>
      </c>
      <c r="D102" s="32" t="s">
        <v>173</v>
      </c>
      <c r="E102" s="13" t="s">
        <v>174</v>
      </c>
      <c r="F102" s="31" t="s">
        <v>363</v>
      </c>
      <c r="G102" s="32" t="s">
        <v>31</v>
      </c>
      <c r="H102" s="12" t="s">
        <v>32</v>
      </c>
      <c r="I102" s="14">
        <v>9900</v>
      </c>
      <c r="J102" s="14">
        <v>325149660</v>
      </c>
    </row>
    <row r="103" spans="1:10" hidden="1" x14ac:dyDescent="0.35">
      <c r="A103" s="15">
        <v>3</v>
      </c>
      <c r="B103" s="15"/>
      <c r="C103" s="11" t="s">
        <v>14</v>
      </c>
      <c r="D103" s="32" t="s">
        <v>15</v>
      </c>
      <c r="E103" s="13" t="s">
        <v>16</v>
      </c>
      <c r="F103" s="31" t="s">
        <v>363</v>
      </c>
      <c r="G103" s="32" t="s">
        <v>17</v>
      </c>
      <c r="H103" s="12" t="s">
        <v>18</v>
      </c>
      <c r="I103" s="14">
        <v>11000</v>
      </c>
      <c r="J103" s="14">
        <v>342309000</v>
      </c>
    </row>
    <row r="104" spans="1:10" hidden="1" x14ac:dyDescent="0.35">
      <c r="A104" s="15">
        <v>3</v>
      </c>
      <c r="B104" s="15"/>
      <c r="C104" s="11" t="s">
        <v>14</v>
      </c>
      <c r="D104" s="32" t="s">
        <v>15</v>
      </c>
      <c r="E104" s="13" t="s">
        <v>16</v>
      </c>
      <c r="F104" s="31" t="s">
        <v>366</v>
      </c>
      <c r="G104" s="32" t="s">
        <v>47</v>
      </c>
      <c r="H104" s="12" t="s">
        <v>48</v>
      </c>
      <c r="I104" s="14">
        <v>16500</v>
      </c>
      <c r="J104" s="14">
        <v>341758725</v>
      </c>
    </row>
    <row r="105" spans="1:10" hidden="1" x14ac:dyDescent="0.35">
      <c r="A105" s="15">
        <v>3</v>
      </c>
      <c r="B105" s="15"/>
      <c r="C105" s="11" t="s">
        <v>14</v>
      </c>
      <c r="D105" s="32" t="s">
        <v>15</v>
      </c>
      <c r="E105" s="13" t="s">
        <v>16</v>
      </c>
      <c r="F105" s="31" t="s">
        <v>366</v>
      </c>
      <c r="G105" s="32" t="s">
        <v>97</v>
      </c>
      <c r="H105" s="12" t="s">
        <v>98</v>
      </c>
      <c r="I105" s="14">
        <v>11000</v>
      </c>
      <c r="J105" s="14">
        <v>227839150</v>
      </c>
    </row>
    <row r="106" spans="1:10" hidden="1" x14ac:dyDescent="0.35">
      <c r="A106" s="15">
        <v>3</v>
      </c>
      <c r="B106" s="15"/>
      <c r="C106" s="11" t="s">
        <v>14</v>
      </c>
      <c r="D106" s="32" t="s">
        <v>15</v>
      </c>
      <c r="E106" s="13" t="s">
        <v>16</v>
      </c>
      <c r="F106" s="31" t="s">
        <v>366</v>
      </c>
      <c r="G106" s="32" t="s">
        <v>175</v>
      </c>
      <c r="H106" s="12" t="s">
        <v>176</v>
      </c>
      <c r="I106" s="14">
        <v>500</v>
      </c>
      <c r="J106" s="14">
        <v>17077500</v>
      </c>
    </row>
    <row r="107" spans="1:10" hidden="1" x14ac:dyDescent="0.35">
      <c r="A107" s="15">
        <v>3</v>
      </c>
      <c r="B107" s="15"/>
      <c r="C107" s="11" t="s">
        <v>14</v>
      </c>
      <c r="D107" s="32" t="s">
        <v>35</v>
      </c>
      <c r="E107" s="13" t="s">
        <v>36</v>
      </c>
      <c r="F107" s="31" t="s">
        <v>363</v>
      </c>
      <c r="G107" s="32" t="s">
        <v>17</v>
      </c>
      <c r="H107" s="12" t="s">
        <v>18</v>
      </c>
      <c r="I107" s="14">
        <v>17600</v>
      </c>
      <c r="J107" s="14">
        <v>577614400</v>
      </c>
    </row>
    <row r="108" spans="1:10" hidden="1" x14ac:dyDescent="0.35">
      <c r="A108" s="15">
        <v>3</v>
      </c>
      <c r="B108" s="15"/>
      <c r="C108" s="11" t="s">
        <v>14</v>
      </c>
      <c r="D108" s="32" t="s">
        <v>35</v>
      </c>
      <c r="E108" s="13" t="s">
        <v>36</v>
      </c>
      <c r="F108" s="31" t="s">
        <v>363</v>
      </c>
      <c r="G108" s="32" t="s">
        <v>17</v>
      </c>
      <c r="H108" s="12" t="s">
        <v>18</v>
      </c>
      <c r="I108" s="14">
        <v>27400</v>
      </c>
      <c r="J108" s="14">
        <v>899240600</v>
      </c>
    </row>
    <row r="109" spans="1:10" hidden="1" x14ac:dyDescent="0.35">
      <c r="A109" s="15">
        <v>3</v>
      </c>
      <c r="B109" s="15"/>
      <c r="C109" s="11" t="s">
        <v>14</v>
      </c>
      <c r="D109" s="32" t="s">
        <v>177</v>
      </c>
      <c r="E109" s="13" t="s">
        <v>178</v>
      </c>
      <c r="F109" s="31" t="s">
        <v>366</v>
      </c>
      <c r="G109" s="32" t="s">
        <v>68</v>
      </c>
      <c r="H109" s="12" t="s">
        <v>69</v>
      </c>
      <c r="I109" s="14">
        <v>300</v>
      </c>
      <c r="J109" s="14">
        <v>10019100</v>
      </c>
    </row>
    <row r="110" spans="1:10" x14ac:dyDescent="0.35">
      <c r="A110" s="15">
        <v>3</v>
      </c>
      <c r="B110" s="28" t="s">
        <v>2</v>
      </c>
      <c r="C110" s="11" t="s">
        <v>14</v>
      </c>
      <c r="D110" s="32" t="s">
        <v>41</v>
      </c>
      <c r="E110" s="13" t="s">
        <v>42</v>
      </c>
      <c r="F110" s="31" t="s">
        <v>366</v>
      </c>
      <c r="G110" s="32" t="s">
        <v>43</v>
      </c>
      <c r="H110" s="12" t="s">
        <v>44</v>
      </c>
      <c r="I110" s="14">
        <v>24750</v>
      </c>
      <c r="J110" s="14">
        <v>900108000</v>
      </c>
    </row>
    <row r="111" spans="1:10" x14ac:dyDescent="0.35">
      <c r="A111" s="15">
        <v>3</v>
      </c>
      <c r="B111" s="28" t="s">
        <v>2</v>
      </c>
      <c r="C111" s="11" t="s">
        <v>14</v>
      </c>
      <c r="D111" s="32" t="s">
        <v>99</v>
      </c>
      <c r="E111" s="13" t="s">
        <v>100</v>
      </c>
      <c r="F111" s="31" t="s">
        <v>366</v>
      </c>
      <c r="G111" s="32" t="s">
        <v>43</v>
      </c>
      <c r="H111" s="12" t="s">
        <v>44</v>
      </c>
      <c r="I111" s="14">
        <v>9625</v>
      </c>
      <c r="J111" s="14">
        <v>344267000</v>
      </c>
    </row>
    <row r="112" spans="1:10" hidden="1" x14ac:dyDescent="0.35">
      <c r="A112" s="15">
        <v>3</v>
      </c>
      <c r="B112" s="15"/>
      <c r="C112" s="11" t="s">
        <v>14</v>
      </c>
      <c r="D112" s="32" t="s">
        <v>179</v>
      </c>
      <c r="E112" s="13" t="s">
        <v>180</v>
      </c>
      <c r="F112" s="31" t="s">
        <v>365</v>
      </c>
      <c r="G112" s="32" t="s">
        <v>123</v>
      </c>
      <c r="H112" s="12" t="s">
        <v>124</v>
      </c>
      <c r="I112" s="14">
        <v>23625</v>
      </c>
      <c r="J112" s="14">
        <v>459374999</v>
      </c>
    </row>
    <row r="113" spans="1:10" hidden="1" x14ac:dyDescent="0.35">
      <c r="A113" s="15">
        <v>3</v>
      </c>
      <c r="B113" s="15"/>
      <c r="C113" s="11" t="s">
        <v>14</v>
      </c>
      <c r="D113" s="32" t="s">
        <v>179</v>
      </c>
      <c r="E113" s="13" t="s">
        <v>180</v>
      </c>
      <c r="F113" s="31" t="s">
        <v>365</v>
      </c>
      <c r="G113" s="32" t="s">
        <v>181</v>
      </c>
      <c r="H113" s="12" t="s">
        <v>182</v>
      </c>
      <c r="I113" s="14">
        <v>5250</v>
      </c>
      <c r="J113" s="14">
        <v>97222222</v>
      </c>
    </row>
    <row r="114" spans="1:10" hidden="1" x14ac:dyDescent="0.35">
      <c r="A114" s="15">
        <v>3</v>
      </c>
      <c r="B114" s="15"/>
      <c r="C114" s="11" t="s">
        <v>14</v>
      </c>
      <c r="D114" s="32" t="s">
        <v>183</v>
      </c>
      <c r="E114" s="13" t="s">
        <v>184</v>
      </c>
      <c r="F114" s="31" t="s">
        <v>366</v>
      </c>
      <c r="G114" s="32" t="s">
        <v>113</v>
      </c>
      <c r="H114" s="12" t="s">
        <v>114</v>
      </c>
      <c r="I114" s="14">
        <v>100</v>
      </c>
      <c r="J114" s="14">
        <v>1700000</v>
      </c>
    </row>
    <row r="115" spans="1:10" hidden="1" x14ac:dyDescent="0.35">
      <c r="A115" s="15">
        <v>3</v>
      </c>
      <c r="B115" s="15"/>
      <c r="C115" s="11" t="s">
        <v>14</v>
      </c>
      <c r="D115" s="32" t="s">
        <v>185</v>
      </c>
      <c r="E115" s="13" t="s">
        <v>186</v>
      </c>
      <c r="F115" s="31" t="s">
        <v>366</v>
      </c>
      <c r="G115" s="32" t="s">
        <v>80</v>
      </c>
      <c r="H115" s="12" t="s">
        <v>81</v>
      </c>
      <c r="I115" s="14">
        <v>50</v>
      </c>
      <c r="J115" s="14">
        <v>856482</v>
      </c>
    </row>
    <row r="116" spans="1:10" hidden="1" x14ac:dyDescent="0.35">
      <c r="A116" s="15">
        <v>3</v>
      </c>
      <c r="B116" s="15"/>
      <c r="C116" s="11" t="s">
        <v>14</v>
      </c>
      <c r="D116" s="32" t="s">
        <v>185</v>
      </c>
      <c r="E116" s="13" t="s">
        <v>186</v>
      </c>
      <c r="F116" s="31" t="s">
        <v>366</v>
      </c>
      <c r="G116" s="32" t="s">
        <v>103</v>
      </c>
      <c r="H116" s="12" t="s">
        <v>104</v>
      </c>
      <c r="I116" s="14">
        <v>50</v>
      </c>
      <c r="J116" s="14">
        <v>856482</v>
      </c>
    </row>
    <row r="117" spans="1:10" hidden="1" x14ac:dyDescent="0.35">
      <c r="A117" s="15">
        <v>3</v>
      </c>
      <c r="B117" s="15"/>
      <c r="C117" s="11" t="s">
        <v>14</v>
      </c>
      <c r="D117" s="32" t="s">
        <v>185</v>
      </c>
      <c r="E117" s="13" t="s">
        <v>186</v>
      </c>
      <c r="F117" s="31" t="s">
        <v>366</v>
      </c>
      <c r="G117" s="32" t="s">
        <v>82</v>
      </c>
      <c r="H117" s="12" t="s">
        <v>83</v>
      </c>
      <c r="I117" s="14">
        <v>50</v>
      </c>
      <c r="J117" s="14">
        <v>856482</v>
      </c>
    </row>
    <row r="118" spans="1:10" hidden="1" x14ac:dyDescent="0.35">
      <c r="A118" s="15">
        <v>3</v>
      </c>
      <c r="B118" s="15"/>
      <c r="C118" s="11" t="s">
        <v>14</v>
      </c>
      <c r="D118" s="32" t="s">
        <v>185</v>
      </c>
      <c r="E118" s="13" t="s">
        <v>186</v>
      </c>
      <c r="F118" s="31" t="s">
        <v>366</v>
      </c>
      <c r="G118" s="32" t="s">
        <v>105</v>
      </c>
      <c r="H118" s="12" t="s">
        <v>106</v>
      </c>
      <c r="I118" s="14">
        <v>50</v>
      </c>
      <c r="J118" s="14">
        <v>856482</v>
      </c>
    </row>
    <row r="119" spans="1:10" hidden="1" x14ac:dyDescent="0.35">
      <c r="A119" s="15">
        <v>3</v>
      </c>
      <c r="B119" s="15"/>
      <c r="C119" s="11" t="s">
        <v>14</v>
      </c>
      <c r="D119" s="32" t="s">
        <v>185</v>
      </c>
      <c r="E119" s="13" t="s">
        <v>186</v>
      </c>
      <c r="F119" s="31" t="s">
        <v>366</v>
      </c>
      <c r="G119" s="32" t="s">
        <v>119</v>
      </c>
      <c r="H119" s="12" t="s">
        <v>120</v>
      </c>
      <c r="I119" s="14">
        <v>50</v>
      </c>
      <c r="J119" s="14">
        <v>856482</v>
      </c>
    </row>
    <row r="120" spans="1:10" hidden="1" x14ac:dyDescent="0.35">
      <c r="A120" s="15">
        <v>3</v>
      </c>
      <c r="B120" s="15"/>
      <c r="C120" s="11" t="s">
        <v>14</v>
      </c>
      <c r="D120" s="32" t="s">
        <v>185</v>
      </c>
      <c r="E120" s="13" t="s">
        <v>186</v>
      </c>
      <c r="F120" s="31" t="s">
        <v>366</v>
      </c>
      <c r="G120" s="32" t="s">
        <v>119</v>
      </c>
      <c r="H120" s="12" t="s">
        <v>120</v>
      </c>
      <c r="I120" s="14">
        <v>10500</v>
      </c>
      <c r="J120" s="14">
        <v>179861111</v>
      </c>
    </row>
    <row r="121" spans="1:10" hidden="1" x14ac:dyDescent="0.35">
      <c r="A121" s="15">
        <v>3</v>
      </c>
      <c r="B121" s="15"/>
      <c r="C121" s="11" t="s">
        <v>14</v>
      </c>
      <c r="D121" s="32" t="s">
        <v>185</v>
      </c>
      <c r="E121" s="13" t="s">
        <v>186</v>
      </c>
      <c r="F121" s="31" t="s">
        <v>366</v>
      </c>
      <c r="G121" s="32" t="s">
        <v>187</v>
      </c>
      <c r="H121" s="12" t="s">
        <v>188</v>
      </c>
      <c r="I121" s="14">
        <v>50</v>
      </c>
      <c r="J121" s="14">
        <v>833331</v>
      </c>
    </row>
    <row r="122" spans="1:10" hidden="1" x14ac:dyDescent="0.35">
      <c r="A122" s="15">
        <v>3</v>
      </c>
      <c r="B122" s="15"/>
      <c r="C122" s="11" t="s">
        <v>84</v>
      </c>
      <c r="D122" s="32" t="s">
        <v>161</v>
      </c>
      <c r="E122" s="13" t="s">
        <v>162</v>
      </c>
      <c r="F122" s="31" t="s">
        <v>363</v>
      </c>
      <c r="G122" s="32" t="s">
        <v>31</v>
      </c>
      <c r="H122" s="12" t="s">
        <v>32</v>
      </c>
      <c r="I122" s="14">
        <v>66000</v>
      </c>
      <c r="J122" s="14">
        <v>2429103600</v>
      </c>
    </row>
    <row r="123" spans="1:10" hidden="1" x14ac:dyDescent="0.35">
      <c r="A123" s="15">
        <v>3</v>
      </c>
      <c r="B123" s="15"/>
      <c r="C123" s="11" t="s">
        <v>84</v>
      </c>
      <c r="D123" s="32" t="s">
        <v>161</v>
      </c>
      <c r="E123" s="13" t="s">
        <v>162</v>
      </c>
      <c r="F123" s="31" t="s">
        <v>366</v>
      </c>
      <c r="G123" s="32" t="s">
        <v>189</v>
      </c>
      <c r="H123" s="12" t="s">
        <v>190</v>
      </c>
      <c r="I123" s="14">
        <v>99000</v>
      </c>
      <c r="J123" s="14">
        <v>3734181000</v>
      </c>
    </row>
    <row r="124" spans="1:10" hidden="1" x14ac:dyDescent="0.35">
      <c r="A124" s="15">
        <v>3</v>
      </c>
      <c r="B124" s="15"/>
      <c r="C124" s="11" t="s">
        <v>14</v>
      </c>
      <c r="D124" s="32" t="s">
        <v>58</v>
      </c>
      <c r="E124" s="13" t="s">
        <v>59</v>
      </c>
      <c r="F124" s="31" t="s">
        <v>364</v>
      </c>
      <c r="G124" s="32" t="s">
        <v>60</v>
      </c>
      <c r="H124" s="12" t="s">
        <v>191</v>
      </c>
      <c r="I124" s="14">
        <v>33000</v>
      </c>
      <c r="J124" s="14">
        <v>627000000</v>
      </c>
    </row>
    <row r="125" spans="1:10" hidden="1" x14ac:dyDescent="0.35">
      <c r="A125" s="15">
        <v>3</v>
      </c>
      <c r="B125" s="15"/>
      <c r="C125" s="11" t="s">
        <v>14</v>
      </c>
      <c r="D125" s="32" t="s">
        <v>137</v>
      </c>
      <c r="E125" s="13" t="s">
        <v>138</v>
      </c>
      <c r="F125" s="31" t="s">
        <v>366</v>
      </c>
      <c r="G125" s="32" t="s">
        <v>105</v>
      </c>
      <c r="H125" s="12" t="s">
        <v>106</v>
      </c>
      <c r="I125" s="14">
        <v>24000</v>
      </c>
      <c r="J125" s="14">
        <v>360000000</v>
      </c>
    </row>
    <row r="126" spans="1:10" hidden="1" x14ac:dyDescent="0.35">
      <c r="A126" s="15">
        <v>3</v>
      </c>
      <c r="B126" s="15"/>
      <c r="C126" s="11" t="s">
        <v>84</v>
      </c>
      <c r="D126" s="32" t="s">
        <v>89</v>
      </c>
      <c r="E126" s="13" t="s">
        <v>90</v>
      </c>
      <c r="F126" s="31" t="s">
        <v>363</v>
      </c>
      <c r="G126" s="32" t="s">
        <v>31</v>
      </c>
      <c r="H126" s="12" t="s">
        <v>32</v>
      </c>
      <c r="I126" s="14">
        <v>44000</v>
      </c>
      <c r="J126" s="14">
        <v>1592580000</v>
      </c>
    </row>
    <row r="127" spans="1:10" hidden="1" x14ac:dyDescent="0.35">
      <c r="A127" s="15">
        <v>3</v>
      </c>
      <c r="B127" s="15"/>
      <c r="C127" s="11" t="s">
        <v>84</v>
      </c>
      <c r="D127" s="32" t="s">
        <v>192</v>
      </c>
      <c r="E127" s="13" t="s">
        <v>193</v>
      </c>
      <c r="F127" s="31" t="s">
        <v>363</v>
      </c>
      <c r="G127" s="32" t="s">
        <v>135</v>
      </c>
      <c r="H127" s="12" t="s">
        <v>136</v>
      </c>
      <c r="I127" s="14">
        <v>220000</v>
      </c>
      <c r="J127" s="14">
        <v>6312552400</v>
      </c>
    </row>
    <row r="128" spans="1:10" hidden="1" x14ac:dyDescent="0.35">
      <c r="A128" s="15">
        <v>3</v>
      </c>
      <c r="B128" s="15"/>
      <c r="C128" s="11" t="s">
        <v>14</v>
      </c>
      <c r="D128" s="32" t="s">
        <v>107</v>
      </c>
      <c r="E128" s="13" t="s">
        <v>108</v>
      </c>
      <c r="F128" s="31" t="s">
        <v>363</v>
      </c>
      <c r="G128" s="32" t="s">
        <v>31</v>
      </c>
      <c r="H128" s="12" t="s">
        <v>32</v>
      </c>
      <c r="I128" s="14">
        <v>12100</v>
      </c>
      <c r="J128" s="14">
        <v>398950552</v>
      </c>
    </row>
    <row r="129" spans="1:10" hidden="1" x14ac:dyDescent="0.35">
      <c r="A129" s="15">
        <v>3</v>
      </c>
      <c r="B129" s="15"/>
      <c r="C129" s="11" t="s">
        <v>14</v>
      </c>
      <c r="D129" s="32" t="s">
        <v>66</v>
      </c>
      <c r="E129" s="13" t="s">
        <v>67</v>
      </c>
      <c r="F129" s="31" t="s">
        <v>366</v>
      </c>
      <c r="G129" s="32" t="s">
        <v>68</v>
      </c>
      <c r="H129" s="12" t="s">
        <v>69</v>
      </c>
      <c r="I129" s="14">
        <v>33000</v>
      </c>
      <c r="J129" s="14">
        <v>1127115000</v>
      </c>
    </row>
    <row r="130" spans="1:10" hidden="1" x14ac:dyDescent="0.35">
      <c r="A130" s="15">
        <v>3</v>
      </c>
      <c r="B130" s="15"/>
      <c r="C130" s="11" t="s">
        <v>14</v>
      </c>
      <c r="D130" s="32" t="s">
        <v>72</v>
      </c>
      <c r="E130" s="13" t="s">
        <v>73</v>
      </c>
      <c r="F130" s="31" t="s">
        <v>363</v>
      </c>
      <c r="G130" s="32" t="s">
        <v>17</v>
      </c>
      <c r="H130" s="12" t="s">
        <v>18</v>
      </c>
      <c r="I130" s="14">
        <v>22000</v>
      </c>
      <c r="J130" s="14">
        <v>714225600</v>
      </c>
    </row>
    <row r="131" spans="1:10" hidden="1" x14ac:dyDescent="0.35">
      <c r="A131" s="15">
        <v>3</v>
      </c>
      <c r="B131" s="15"/>
      <c r="C131" s="11" t="s">
        <v>84</v>
      </c>
      <c r="D131" s="32" t="s">
        <v>85</v>
      </c>
      <c r="E131" s="13" t="s">
        <v>86</v>
      </c>
      <c r="F131" s="31" t="s">
        <v>363</v>
      </c>
      <c r="G131" s="32" t="s">
        <v>17</v>
      </c>
      <c r="H131" s="12" t="s">
        <v>18</v>
      </c>
      <c r="I131" s="14">
        <v>1012000</v>
      </c>
      <c r="J131" s="14">
        <v>32185238223</v>
      </c>
    </row>
    <row r="132" spans="1:10" hidden="1" x14ac:dyDescent="0.35">
      <c r="A132" s="15">
        <v>3</v>
      </c>
      <c r="B132" s="15"/>
      <c r="C132" s="11" t="s">
        <v>84</v>
      </c>
      <c r="D132" s="32" t="s">
        <v>85</v>
      </c>
      <c r="E132" s="13" t="s">
        <v>86</v>
      </c>
      <c r="F132" s="31" t="s">
        <v>363</v>
      </c>
      <c r="G132" s="32" t="s">
        <v>17</v>
      </c>
      <c r="H132" s="12" t="s">
        <v>18</v>
      </c>
      <c r="I132" s="14">
        <v>66000</v>
      </c>
      <c r="J132" s="14">
        <v>2045006832</v>
      </c>
    </row>
    <row r="133" spans="1:10" hidden="1" x14ac:dyDescent="0.35">
      <c r="A133" s="15">
        <v>3</v>
      </c>
      <c r="B133" s="15"/>
      <c r="C133" s="11" t="s">
        <v>84</v>
      </c>
      <c r="D133" s="32" t="s">
        <v>194</v>
      </c>
      <c r="E133" s="13" t="s">
        <v>195</v>
      </c>
      <c r="F133" s="31" t="s">
        <v>363</v>
      </c>
      <c r="G133" s="32" t="s">
        <v>17</v>
      </c>
      <c r="H133" s="12" t="s">
        <v>18</v>
      </c>
      <c r="I133" s="14">
        <v>11000</v>
      </c>
      <c r="J133" s="14">
        <v>364284800</v>
      </c>
    </row>
    <row r="134" spans="1:10" hidden="1" x14ac:dyDescent="0.35">
      <c r="A134" s="15">
        <v>3</v>
      </c>
      <c r="B134" s="15"/>
      <c r="C134" s="11" t="s">
        <v>14</v>
      </c>
      <c r="D134" s="32" t="s">
        <v>111</v>
      </c>
      <c r="E134" s="13" t="s">
        <v>112</v>
      </c>
      <c r="F134" s="31" t="s">
        <v>366</v>
      </c>
      <c r="G134" s="32" t="s">
        <v>113</v>
      </c>
      <c r="H134" s="12" t="s">
        <v>114</v>
      </c>
      <c r="I134" s="14">
        <v>11000</v>
      </c>
      <c r="J134" s="14">
        <v>187000000</v>
      </c>
    </row>
    <row r="135" spans="1:10" hidden="1" x14ac:dyDescent="0.35">
      <c r="A135" s="15">
        <v>3</v>
      </c>
      <c r="B135" s="15"/>
      <c r="C135" s="11" t="s">
        <v>14</v>
      </c>
      <c r="D135" s="32" t="s">
        <v>78</v>
      </c>
      <c r="E135" s="13" t="s">
        <v>79</v>
      </c>
      <c r="F135" s="31" t="s">
        <v>366</v>
      </c>
      <c r="G135" s="32" t="s">
        <v>80</v>
      </c>
      <c r="H135" s="12" t="s">
        <v>81</v>
      </c>
      <c r="I135" s="14">
        <v>14250</v>
      </c>
      <c r="J135" s="14">
        <v>224305555</v>
      </c>
    </row>
    <row r="136" spans="1:10" hidden="1" x14ac:dyDescent="0.35">
      <c r="A136" s="15">
        <v>3</v>
      </c>
      <c r="B136" s="15"/>
      <c r="C136" s="11" t="s">
        <v>14</v>
      </c>
      <c r="D136" s="32" t="s">
        <v>78</v>
      </c>
      <c r="E136" s="13" t="s">
        <v>79</v>
      </c>
      <c r="F136" s="31" t="s">
        <v>366</v>
      </c>
      <c r="G136" s="32" t="s">
        <v>82</v>
      </c>
      <c r="H136" s="12" t="s">
        <v>83</v>
      </c>
      <c r="I136" s="14">
        <v>7500</v>
      </c>
      <c r="J136" s="14">
        <v>118055556</v>
      </c>
    </row>
    <row r="137" spans="1:10" hidden="1" x14ac:dyDescent="0.35">
      <c r="A137" s="15">
        <v>3</v>
      </c>
      <c r="B137" s="15"/>
      <c r="C137" s="11" t="s">
        <v>14</v>
      </c>
      <c r="D137" s="32" t="s">
        <v>78</v>
      </c>
      <c r="E137" s="13" t="s">
        <v>79</v>
      </c>
      <c r="F137" s="31" t="s">
        <v>366</v>
      </c>
      <c r="G137" s="32" t="s">
        <v>196</v>
      </c>
      <c r="H137" s="12" t="s">
        <v>197</v>
      </c>
      <c r="I137" s="14">
        <v>6000</v>
      </c>
      <c r="J137" s="14">
        <v>72222222</v>
      </c>
    </row>
    <row r="138" spans="1:10" hidden="1" x14ac:dyDescent="0.35">
      <c r="A138" s="15">
        <v>3</v>
      </c>
      <c r="B138" s="15"/>
      <c r="C138" s="11" t="s">
        <v>84</v>
      </c>
      <c r="D138" s="32" t="s">
        <v>147</v>
      </c>
      <c r="E138" s="13" t="s">
        <v>148</v>
      </c>
      <c r="F138" s="31" t="s">
        <v>363</v>
      </c>
      <c r="G138" s="32" t="s">
        <v>31</v>
      </c>
      <c r="H138" s="12" t="s">
        <v>32</v>
      </c>
      <c r="I138" s="14">
        <v>880000</v>
      </c>
      <c r="J138" s="14">
        <v>27864650000</v>
      </c>
    </row>
    <row r="139" spans="1:10" hidden="1" x14ac:dyDescent="0.35">
      <c r="A139" s="15">
        <v>3</v>
      </c>
      <c r="B139" s="15"/>
      <c r="C139" s="11" t="s">
        <v>14</v>
      </c>
      <c r="D139" s="32" t="s">
        <v>62</v>
      </c>
      <c r="E139" s="13" t="s">
        <v>63</v>
      </c>
      <c r="F139" s="31" t="s">
        <v>363</v>
      </c>
      <c r="G139" s="32" t="s">
        <v>17</v>
      </c>
      <c r="H139" s="12" t="s">
        <v>18</v>
      </c>
      <c r="I139" s="14">
        <v>110000</v>
      </c>
      <c r="J139" s="14">
        <v>3434725800</v>
      </c>
    </row>
    <row r="140" spans="1:10" hidden="1" x14ac:dyDescent="0.35">
      <c r="A140" s="15">
        <v>3</v>
      </c>
      <c r="B140" s="15"/>
      <c r="C140" s="11" t="s">
        <v>84</v>
      </c>
      <c r="D140" s="32" t="s">
        <v>198</v>
      </c>
      <c r="E140" s="13" t="s">
        <v>199</v>
      </c>
      <c r="F140" s="31" t="s">
        <v>363</v>
      </c>
      <c r="G140" s="32" t="s">
        <v>17</v>
      </c>
      <c r="H140" s="12" t="s">
        <v>18</v>
      </c>
      <c r="I140" s="14">
        <v>44000</v>
      </c>
      <c r="J140" s="14">
        <v>1399346960</v>
      </c>
    </row>
    <row r="141" spans="1:10" hidden="1" x14ac:dyDescent="0.35">
      <c r="A141" s="15">
        <v>3</v>
      </c>
      <c r="B141" s="15"/>
      <c r="C141" s="11" t="s">
        <v>14</v>
      </c>
      <c r="D141" s="32" t="s">
        <v>74</v>
      </c>
      <c r="E141" s="13" t="s">
        <v>75</v>
      </c>
      <c r="F141" s="31" t="s">
        <v>366</v>
      </c>
      <c r="G141" s="32" t="s">
        <v>76</v>
      </c>
      <c r="H141" s="12" t="s">
        <v>77</v>
      </c>
      <c r="I141" s="14">
        <v>5000</v>
      </c>
      <c r="J141" s="14">
        <v>134875000</v>
      </c>
    </row>
    <row r="142" spans="1:10" hidden="1" x14ac:dyDescent="0.35">
      <c r="A142" s="15">
        <v>3</v>
      </c>
      <c r="B142" s="15"/>
      <c r="C142" s="11" t="s">
        <v>84</v>
      </c>
      <c r="D142" s="32" t="s">
        <v>200</v>
      </c>
      <c r="E142" s="13" t="s">
        <v>201</v>
      </c>
      <c r="F142" s="31" t="s">
        <v>365</v>
      </c>
      <c r="G142" s="32" t="s">
        <v>202</v>
      </c>
      <c r="H142" s="12" t="s">
        <v>203</v>
      </c>
      <c r="I142" s="14">
        <v>50</v>
      </c>
      <c r="J142" s="14">
        <v>1372680</v>
      </c>
    </row>
    <row r="143" spans="1:10" hidden="1" x14ac:dyDescent="0.35">
      <c r="A143" s="15">
        <v>3</v>
      </c>
      <c r="B143" s="15"/>
      <c r="C143" s="11" t="s">
        <v>84</v>
      </c>
      <c r="D143" s="32" t="s">
        <v>200</v>
      </c>
      <c r="E143" s="13" t="s">
        <v>201</v>
      </c>
      <c r="F143" s="31" t="s">
        <v>365</v>
      </c>
      <c r="G143" s="32" t="s">
        <v>204</v>
      </c>
      <c r="H143" s="12" t="s">
        <v>205</v>
      </c>
      <c r="I143" s="14">
        <v>19000</v>
      </c>
      <c r="J143" s="14">
        <v>520797600</v>
      </c>
    </row>
    <row r="144" spans="1:10" hidden="1" x14ac:dyDescent="0.35">
      <c r="A144" s="15">
        <v>3</v>
      </c>
      <c r="B144" s="15"/>
      <c r="C144" s="11" t="s">
        <v>84</v>
      </c>
      <c r="D144" s="32" t="s">
        <v>200</v>
      </c>
      <c r="E144" s="13" t="s">
        <v>201</v>
      </c>
      <c r="F144" s="31" t="s">
        <v>365</v>
      </c>
      <c r="G144" s="32" t="s">
        <v>127</v>
      </c>
      <c r="H144" s="12" t="s">
        <v>128</v>
      </c>
      <c r="I144" s="14">
        <v>5000</v>
      </c>
      <c r="J144" s="14">
        <v>137052000</v>
      </c>
    </row>
    <row r="145" spans="1:10" hidden="1" x14ac:dyDescent="0.35">
      <c r="A145" s="15">
        <v>3</v>
      </c>
      <c r="B145" s="15"/>
      <c r="C145" s="11" t="s">
        <v>14</v>
      </c>
      <c r="D145" s="32" t="s">
        <v>57</v>
      </c>
      <c r="E145" s="13" t="s">
        <v>349</v>
      </c>
      <c r="F145" s="31" t="s">
        <v>363</v>
      </c>
      <c r="G145" s="32" t="s">
        <v>21</v>
      </c>
      <c r="H145" s="12" t="s">
        <v>22</v>
      </c>
      <c r="I145" s="14">
        <v>22000</v>
      </c>
      <c r="J145" s="14">
        <f>776600000-11564718</f>
        <v>765035282</v>
      </c>
    </row>
    <row r="146" spans="1:10" hidden="1" x14ac:dyDescent="0.35">
      <c r="A146" s="15">
        <v>3</v>
      </c>
      <c r="B146" s="15"/>
      <c r="C146" s="11" t="s">
        <v>14</v>
      </c>
      <c r="D146" s="32" t="s">
        <v>37</v>
      </c>
      <c r="E146" s="13" t="s">
        <v>348</v>
      </c>
      <c r="F146" s="31" t="s">
        <v>363</v>
      </c>
      <c r="G146" s="32" t="s">
        <v>21</v>
      </c>
      <c r="H146" s="12" t="s">
        <v>22</v>
      </c>
      <c r="I146" s="14">
        <v>88000</v>
      </c>
      <c r="J146" s="14">
        <f>3106435200-46258872</f>
        <v>3060176328</v>
      </c>
    </row>
    <row r="147" spans="1:10" hidden="1" x14ac:dyDescent="0.35">
      <c r="A147" s="15">
        <v>3</v>
      </c>
      <c r="B147" s="15"/>
      <c r="C147" s="11" t="s">
        <v>14</v>
      </c>
      <c r="D147" s="32" t="s">
        <v>33</v>
      </c>
      <c r="E147" s="13" t="s">
        <v>34</v>
      </c>
      <c r="F147" s="31" t="s">
        <v>363</v>
      </c>
      <c r="G147" s="32" t="s">
        <v>21</v>
      </c>
      <c r="H147" s="12" t="s">
        <v>22</v>
      </c>
      <c r="I147" s="14">
        <v>154000</v>
      </c>
      <c r="J147" s="14">
        <f>5521472000-81257502</f>
        <v>5440214498</v>
      </c>
    </row>
    <row r="148" spans="1:10" s="49" customFormat="1" hidden="1" x14ac:dyDescent="0.35">
      <c r="A148" s="42">
        <v>3</v>
      </c>
      <c r="B148" s="42"/>
      <c r="C148" s="43" t="s">
        <v>14</v>
      </c>
      <c r="D148" s="44" t="s">
        <v>33</v>
      </c>
      <c r="E148" s="45" t="s">
        <v>34</v>
      </c>
      <c r="F148" s="46" t="s">
        <v>363</v>
      </c>
      <c r="G148" s="44" t="s">
        <v>31</v>
      </c>
      <c r="H148" s="47" t="s">
        <v>32</v>
      </c>
      <c r="I148" s="48">
        <v>-1100</v>
      </c>
      <c r="J148" s="48">
        <v>-40308400</v>
      </c>
    </row>
    <row r="149" spans="1:10" hidden="1" x14ac:dyDescent="0.35">
      <c r="A149" s="15">
        <v>3</v>
      </c>
      <c r="B149" s="15"/>
      <c r="C149" s="11" t="s">
        <v>14</v>
      </c>
      <c r="D149" s="32" t="s">
        <v>206</v>
      </c>
      <c r="E149" s="13" t="s">
        <v>207</v>
      </c>
      <c r="F149" s="31" t="s">
        <v>366</v>
      </c>
      <c r="G149" s="32" t="s">
        <v>82</v>
      </c>
      <c r="H149" s="12" t="s">
        <v>83</v>
      </c>
      <c r="I149" s="14">
        <v>10000</v>
      </c>
      <c r="J149" s="14">
        <v>146000000</v>
      </c>
    </row>
    <row r="150" spans="1:10" hidden="1" x14ac:dyDescent="0.35">
      <c r="A150" s="15">
        <v>3</v>
      </c>
      <c r="B150" s="15"/>
      <c r="C150" s="11" t="s">
        <v>14</v>
      </c>
      <c r="D150" s="32" t="s">
        <v>206</v>
      </c>
      <c r="E150" s="13" t="s">
        <v>207</v>
      </c>
      <c r="F150" s="31" t="s">
        <v>366</v>
      </c>
      <c r="G150" s="32" t="s">
        <v>119</v>
      </c>
      <c r="H150" s="12" t="s">
        <v>120</v>
      </c>
      <c r="I150" s="14">
        <v>10000</v>
      </c>
      <c r="J150" s="14">
        <v>146000000</v>
      </c>
    </row>
    <row r="151" spans="1:10" hidden="1" x14ac:dyDescent="0.35">
      <c r="A151" s="15">
        <v>3</v>
      </c>
      <c r="B151" s="15"/>
      <c r="C151" s="11" t="s">
        <v>14</v>
      </c>
      <c r="D151" s="32" t="s">
        <v>208</v>
      </c>
      <c r="E151" s="13" t="s">
        <v>209</v>
      </c>
      <c r="F151" s="31" t="s">
        <v>363</v>
      </c>
      <c r="G151" s="32" t="s">
        <v>135</v>
      </c>
      <c r="H151" s="12" t="s">
        <v>136</v>
      </c>
      <c r="I151" s="14">
        <v>11000</v>
      </c>
      <c r="J151" s="14">
        <v>310486000</v>
      </c>
    </row>
    <row r="152" spans="1:10" x14ac:dyDescent="0.35">
      <c r="A152" s="15">
        <v>3</v>
      </c>
      <c r="B152" s="28" t="s">
        <v>2</v>
      </c>
      <c r="C152" s="11" t="s">
        <v>14</v>
      </c>
      <c r="D152" s="32" t="s">
        <v>45</v>
      </c>
      <c r="E152" s="13" t="s">
        <v>46</v>
      </c>
      <c r="F152" s="31" t="s">
        <v>366</v>
      </c>
      <c r="G152" s="32" t="s">
        <v>43</v>
      </c>
      <c r="H152" s="12" t="s">
        <v>44</v>
      </c>
      <c r="I152" s="14">
        <v>88000</v>
      </c>
      <c r="J152" s="14">
        <v>3129280000</v>
      </c>
    </row>
    <row r="153" spans="1:10" hidden="1" x14ac:dyDescent="0.35">
      <c r="A153" s="15">
        <v>3</v>
      </c>
      <c r="B153" s="28" t="s">
        <v>2</v>
      </c>
      <c r="C153" s="11" t="s">
        <v>14</v>
      </c>
      <c r="D153" s="32" t="s">
        <v>45</v>
      </c>
      <c r="E153" s="13" t="s">
        <v>46</v>
      </c>
      <c r="F153" s="31" t="s">
        <v>363</v>
      </c>
      <c r="G153" s="32" t="s">
        <v>17</v>
      </c>
      <c r="H153" s="12" t="s">
        <v>18</v>
      </c>
      <c r="I153" s="14">
        <v>22000</v>
      </c>
      <c r="J153" s="14">
        <v>726440000</v>
      </c>
    </row>
    <row r="154" spans="1:10" x14ac:dyDescent="0.35">
      <c r="A154" s="15">
        <v>3</v>
      </c>
      <c r="B154" s="28" t="s">
        <v>2</v>
      </c>
      <c r="C154" s="11" t="s">
        <v>14</v>
      </c>
      <c r="D154" s="32" t="s">
        <v>45</v>
      </c>
      <c r="E154" s="13" t="s">
        <v>46</v>
      </c>
      <c r="F154" s="31" t="s">
        <v>366</v>
      </c>
      <c r="G154" s="32" t="s">
        <v>49</v>
      </c>
      <c r="H154" s="12" t="s">
        <v>50</v>
      </c>
      <c r="I154" s="14">
        <v>5500</v>
      </c>
      <c r="J154" s="14">
        <v>188595000</v>
      </c>
    </row>
    <row r="155" spans="1:10" x14ac:dyDescent="0.35">
      <c r="A155" s="15">
        <v>3</v>
      </c>
      <c r="B155" s="28" t="s">
        <v>2</v>
      </c>
      <c r="C155" s="11" t="s">
        <v>14</v>
      </c>
      <c r="D155" s="32" t="s">
        <v>45</v>
      </c>
      <c r="E155" s="13" t="s">
        <v>46</v>
      </c>
      <c r="F155" s="31" t="s">
        <v>366</v>
      </c>
      <c r="G155" s="32" t="s">
        <v>51</v>
      </c>
      <c r="H155" s="12" t="s">
        <v>52</v>
      </c>
      <c r="I155" s="14">
        <v>44000</v>
      </c>
      <c r="J155" s="14">
        <v>1508760000</v>
      </c>
    </row>
    <row r="156" spans="1:10" x14ac:dyDescent="0.35">
      <c r="A156" s="15">
        <v>3</v>
      </c>
      <c r="B156" s="28" t="s">
        <v>2</v>
      </c>
      <c r="C156" s="11" t="s">
        <v>14</v>
      </c>
      <c r="D156" s="32" t="s">
        <v>45</v>
      </c>
      <c r="E156" s="13" t="s">
        <v>46</v>
      </c>
      <c r="F156" s="31" t="s">
        <v>366</v>
      </c>
      <c r="G156" s="32" t="s">
        <v>53</v>
      </c>
      <c r="H156" s="12" t="s">
        <v>54</v>
      </c>
      <c r="I156" s="14">
        <v>44000</v>
      </c>
      <c r="J156" s="14">
        <v>1564640000</v>
      </c>
    </row>
    <row r="157" spans="1:10" hidden="1" x14ac:dyDescent="0.35">
      <c r="A157" s="15">
        <v>3</v>
      </c>
      <c r="B157" s="28" t="s">
        <v>2</v>
      </c>
      <c r="C157" s="11" t="s">
        <v>14</v>
      </c>
      <c r="D157" s="32" t="s">
        <v>23</v>
      </c>
      <c r="E157" s="13" t="s">
        <v>24</v>
      </c>
      <c r="F157" s="31" t="s">
        <v>363</v>
      </c>
      <c r="G157" s="32" t="s">
        <v>17</v>
      </c>
      <c r="H157" s="12" t="s">
        <v>18</v>
      </c>
      <c r="I157" s="14">
        <v>227700</v>
      </c>
      <c r="J157" s="14">
        <v>7504016300</v>
      </c>
    </row>
    <row r="158" spans="1:10" hidden="1" x14ac:dyDescent="0.35">
      <c r="A158" s="15">
        <v>3</v>
      </c>
      <c r="B158" s="15"/>
      <c r="C158" s="11" t="s">
        <v>14</v>
      </c>
      <c r="D158" s="32" t="s">
        <v>133</v>
      </c>
      <c r="E158" s="13" t="s">
        <v>134</v>
      </c>
      <c r="F158" s="31" t="s">
        <v>363</v>
      </c>
      <c r="G158" s="32" t="s">
        <v>31</v>
      </c>
      <c r="H158" s="12" t="s">
        <v>32</v>
      </c>
      <c r="I158" s="14">
        <v>5500</v>
      </c>
      <c r="J158" s="14">
        <v>181341160</v>
      </c>
    </row>
    <row r="159" spans="1:10" hidden="1" x14ac:dyDescent="0.35">
      <c r="A159" s="15">
        <v>3</v>
      </c>
      <c r="B159" s="15"/>
      <c r="C159" s="11" t="s">
        <v>84</v>
      </c>
      <c r="D159" s="32" t="s">
        <v>157</v>
      </c>
      <c r="E159" s="13" t="s">
        <v>158</v>
      </c>
      <c r="F159" s="31" t="s">
        <v>363</v>
      </c>
      <c r="G159" s="32" t="s">
        <v>31</v>
      </c>
      <c r="H159" s="12" t="s">
        <v>32</v>
      </c>
      <c r="I159" s="14">
        <v>770000</v>
      </c>
      <c r="J159" s="14">
        <v>24336015000</v>
      </c>
    </row>
    <row r="160" spans="1:10" hidden="1" x14ac:dyDescent="0.35">
      <c r="A160" s="15">
        <v>4</v>
      </c>
      <c r="B160" s="15"/>
      <c r="C160" s="11" t="s">
        <v>14</v>
      </c>
      <c r="D160" s="32" t="s">
        <v>15</v>
      </c>
      <c r="E160" s="13" t="s">
        <v>16</v>
      </c>
      <c r="F160" s="31" t="s">
        <v>366</v>
      </c>
      <c r="G160" s="32" t="s">
        <v>47</v>
      </c>
      <c r="H160" s="12" t="s">
        <v>48</v>
      </c>
      <c r="I160" s="14">
        <v>16500</v>
      </c>
      <c r="J160" s="14">
        <v>330000000</v>
      </c>
    </row>
    <row r="161" spans="1:10" hidden="1" x14ac:dyDescent="0.35">
      <c r="A161" s="15">
        <v>4</v>
      </c>
      <c r="B161" s="15"/>
      <c r="C161" s="11" t="s">
        <v>14</v>
      </c>
      <c r="D161" s="32" t="s">
        <v>15</v>
      </c>
      <c r="E161" s="13" t="s">
        <v>16</v>
      </c>
      <c r="F161" s="31" t="s">
        <v>366</v>
      </c>
      <c r="G161" s="32" t="s">
        <v>93</v>
      </c>
      <c r="H161" s="12" t="s">
        <v>94</v>
      </c>
      <c r="I161" s="14">
        <v>11000</v>
      </c>
      <c r="J161" s="14">
        <v>220000000</v>
      </c>
    </row>
    <row r="162" spans="1:10" hidden="1" x14ac:dyDescent="0.35">
      <c r="A162" s="15">
        <v>4</v>
      </c>
      <c r="B162" s="28" t="s">
        <v>2</v>
      </c>
      <c r="C162" s="11" t="s">
        <v>14</v>
      </c>
      <c r="D162" s="32" t="s">
        <v>23</v>
      </c>
      <c r="E162" s="13" t="s">
        <v>24</v>
      </c>
      <c r="F162" s="31" t="s">
        <v>363</v>
      </c>
      <c r="G162" s="32" t="s">
        <v>17</v>
      </c>
      <c r="H162" s="12" t="s">
        <v>18</v>
      </c>
      <c r="I162" s="14">
        <v>176000</v>
      </c>
      <c r="J162" s="14">
        <v>5643088000</v>
      </c>
    </row>
    <row r="163" spans="1:10" hidden="1" x14ac:dyDescent="0.35">
      <c r="A163" s="15">
        <v>4</v>
      </c>
      <c r="B163" s="15"/>
      <c r="C163" s="11" t="s">
        <v>14</v>
      </c>
      <c r="D163" s="32" t="s">
        <v>33</v>
      </c>
      <c r="E163" s="13" t="s">
        <v>34</v>
      </c>
      <c r="F163" s="31" t="s">
        <v>363</v>
      </c>
      <c r="G163" s="32" t="s">
        <v>21</v>
      </c>
      <c r="H163" s="12" t="s">
        <v>22</v>
      </c>
      <c r="I163" s="14">
        <v>374000</v>
      </c>
      <c r="J163" s="14">
        <v>13163427794</v>
      </c>
    </row>
    <row r="164" spans="1:10" hidden="1" x14ac:dyDescent="0.35">
      <c r="A164" s="15">
        <v>4</v>
      </c>
      <c r="B164" s="15"/>
      <c r="C164" s="11" t="s">
        <v>14</v>
      </c>
      <c r="D164" s="32" t="s">
        <v>35</v>
      </c>
      <c r="E164" s="13" t="s">
        <v>36</v>
      </c>
      <c r="F164" s="31" t="s">
        <v>363</v>
      </c>
      <c r="G164" s="32" t="s">
        <v>17</v>
      </c>
      <c r="H164" s="12" t="s">
        <v>18</v>
      </c>
      <c r="I164" s="14">
        <v>11000</v>
      </c>
      <c r="J164" s="14">
        <v>352693000</v>
      </c>
    </row>
    <row r="165" spans="1:10" hidden="1" x14ac:dyDescent="0.35">
      <c r="A165" s="15">
        <v>4</v>
      </c>
      <c r="B165" s="15"/>
      <c r="C165" s="11" t="s">
        <v>14</v>
      </c>
      <c r="D165" s="32" t="s">
        <v>37</v>
      </c>
      <c r="E165" s="13" t="s">
        <v>348</v>
      </c>
      <c r="F165" s="31" t="s">
        <v>363</v>
      </c>
      <c r="G165" s="32" t="s">
        <v>21</v>
      </c>
      <c r="H165" s="12" t="s">
        <v>22</v>
      </c>
      <c r="I165" s="14">
        <v>44000</v>
      </c>
      <c r="J165" s="14">
        <v>1543435575</v>
      </c>
    </row>
    <row r="166" spans="1:10" hidden="1" x14ac:dyDescent="0.35">
      <c r="A166" s="15">
        <v>4</v>
      </c>
      <c r="B166" s="15"/>
      <c r="C166" s="11" t="s">
        <v>14</v>
      </c>
      <c r="D166" s="32" t="s">
        <v>210</v>
      </c>
      <c r="E166" s="13" t="s">
        <v>211</v>
      </c>
      <c r="F166" s="31" t="s">
        <v>366</v>
      </c>
      <c r="G166" s="32" t="s">
        <v>80</v>
      </c>
      <c r="H166" s="12" t="s">
        <v>81</v>
      </c>
      <c r="I166" s="14">
        <v>25</v>
      </c>
      <c r="J166" s="14">
        <v>375000</v>
      </c>
    </row>
    <row r="167" spans="1:10" hidden="1" x14ac:dyDescent="0.35">
      <c r="A167" s="15">
        <v>4</v>
      </c>
      <c r="B167" s="15"/>
      <c r="C167" s="11" t="s">
        <v>14</v>
      </c>
      <c r="D167" s="32" t="s">
        <v>210</v>
      </c>
      <c r="E167" s="13" t="s">
        <v>211</v>
      </c>
      <c r="F167" s="31" t="s">
        <v>366</v>
      </c>
      <c r="G167" s="32" t="s">
        <v>103</v>
      </c>
      <c r="H167" s="12" t="s">
        <v>104</v>
      </c>
      <c r="I167" s="14">
        <v>25</v>
      </c>
      <c r="J167" s="14">
        <v>375000</v>
      </c>
    </row>
    <row r="168" spans="1:10" hidden="1" x14ac:dyDescent="0.35">
      <c r="A168" s="15">
        <v>4</v>
      </c>
      <c r="B168" s="15"/>
      <c r="C168" s="11" t="s">
        <v>14</v>
      </c>
      <c r="D168" s="32" t="s">
        <v>210</v>
      </c>
      <c r="E168" s="13" t="s">
        <v>211</v>
      </c>
      <c r="F168" s="31" t="s">
        <v>366</v>
      </c>
      <c r="G168" s="32" t="s">
        <v>82</v>
      </c>
      <c r="H168" s="12" t="s">
        <v>83</v>
      </c>
      <c r="I168" s="14">
        <v>25</v>
      </c>
      <c r="J168" s="14">
        <v>375000</v>
      </c>
    </row>
    <row r="169" spans="1:10" hidden="1" x14ac:dyDescent="0.35">
      <c r="A169" s="15">
        <v>4</v>
      </c>
      <c r="B169" s="15"/>
      <c r="C169" s="11" t="s">
        <v>14</v>
      </c>
      <c r="D169" s="32" t="s">
        <v>210</v>
      </c>
      <c r="E169" s="13" t="s">
        <v>211</v>
      </c>
      <c r="F169" s="31" t="s">
        <v>366</v>
      </c>
      <c r="G169" s="32" t="s">
        <v>105</v>
      </c>
      <c r="H169" s="12" t="s">
        <v>106</v>
      </c>
      <c r="I169" s="14">
        <v>25</v>
      </c>
      <c r="J169" s="14">
        <v>375000</v>
      </c>
    </row>
    <row r="170" spans="1:10" hidden="1" x14ac:dyDescent="0.35">
      <c r="A170" s="15">
        <v>4</v>
      </c>
      <c r="B170" s="15"/>
      <c r="C170" s="11" t="s">
        <v>14</v>
      </c>
      <c r="D170" s="32" t="s">
        <v>210</v>
      </c>
      <c r="E170" s="13" t="s">
        <v>211</v>
      </c>
      <c r="F170" s="31" t="s">
        <v>366</v>
      </c>
      <c r="G170" s="32" t="s">
        <v>119</v>
      </c>
      <c r="H170" s="12" t="s">
        <v>120</v>
      </c>
      <c r="I170" s="14">
        <v>25</v>
      </c>
      <c r="J170" s="14">
        <v>375000</v>
      </c>
    </row>
    <row r="171" spans="1:10" hidden="1" x14ac:dyDescent="0.35">
      <c r="A171" s="15">
        <v>4</v>
      </c>
      <c r="B171" s="15"/>
      <c r="C171" s="11" t="s">
        <v>14</v>
      </c>
      <c r="D171" s="32" t="s">
        <v>210</v>
      </c>
      <c r="E171" s="13" t="s">
        <v>211</v>
      </c>
      <c r="F171" s="31" t="s">
        <v>366</v>
      </c>
      <c r="G171" s="32" t="s">
        <v>196</v>
      </c>
      <c r="H171" s="12" t="s">
        <v>197</v>
      </c>
      <c r="I171" s="14">
        <v>25</v>
      </c>
      <c r="J171" s="14">
        <v>375000</v>
      </c>
    </row>
    <row r="172" spans="1:10" hidden="1" x14ac:dyDescent="0.35">
      <c r="A172" s="15">
        <v>4</v>
      </c>
      <c r="B172" s="15"/>
      <c r="C172" s="11" t="s">
        <v>14</v>
      </c>
      <c r="D172" s="32" t="s">
        <v>210</v>
      </c>
      <c r="E172" s="13" t="s">
        <v>211</v>
      </c>
      <c r="F172" s="31" t="s">
        <v>366</v>
      </c>
      <c r="G172" s="32" t="s">
        <v>187</v>
      </c>
      <c r="H172" s="12" t="s">
        <v>188</v>
      </c>
      <c r="I172" s="14">
        <v>25</v>
      </c>
      <c r="J172" s="14">
        <v>375000</v>
      </c>
    </row>
    <row r="173" spans="1:10" x14ac:dyDescent="0.35">
      <c r="A173" s="15">
        <v>4</v>
      </c>
      <c r="B173" s="28" t="s">
        <v>2</v>
      </c>
      <c r="C173" s="11" t="s">
        <v>14</v>
      </c>
      <c r="D173" s="32" t="s">
        <v>41</v>
      </c>
      <c r="E173" s="13" t="s">
        <v>42</v>
      </c>
      <c r="F173" s="31" t="s">
        <v>366</v>
      </c>
      <c r="G173" s="32" t="s">
        <v>43</v>
      </c>
      <c r="H173" s="12" t="s">
        <v>44</v>
      </c>
      <c r="I173" s="14">
        <v>24750</v>
      </c>
      <c r="J173" s="14">
        <v>900108000</v>
      </c>
    </row>
    <row r="174" spans="1:10" hidden="1" x14ac:dyDescent="0.35">
      <c r="A174" s="15">
        <v>4</v>
      </c>
      <c r="B174" s="15"/>
      <c r="C174" s="11" t="s">
        <v>14</v>
      </c>
      <c r="D174" s="32" t="s">
        <v>179</v>
      </c>
      <c r="E174" s="13" t="s">
        <v>180</v>
      </c>
      <c r="F174" s="31" t="s">
        <v>365</v>
      </c>
      <c r="G174" s="32" t="s">
        <v>123</v>
      </c>
      <c r="H174" s="12" t="s">
        <v>124</v>
      </c>
      <c r="I174" s="14">
        <v>6375</v>
      </c>
      <c r="J174" s="14">
        <v>123958333</v>
      </c>
    </row>
    <row r="175" spans="1:10" x14ac:dyDescent="0.35">
      <c r="A175" s="15">
        <v>4</v>
      </c>
      <c r="B175" s="28" t="s">
        <v>2</v>
      </c>
      <c r="C175" s="11" t="s">
        <v>14</v>
      </c>
      <c r="D175" s="32" t="s">
        <v>45</v>
      </c>
      <c r="E175" s="13" t="s">
        <v>46</v>
      </c>
      <c r="F175" s="31" t="s">
        <v>366</v>
      </c>
      <c r="G175" s="32" t="s">
        <v>43</v>
      </c>
      <c r="H175" s="12" t="s">
        <v>44</v>
      </c>
      <c r="I175" s="14">
        <v>22000</v>
      </c>
      <c r="J175" s="14">
        <v>761805000</v>
      </c>
    </row>
    <row r="176" spans="1:10" x14ac:dyDescent="0.35">
      <c r="A176" s="15">
        <v>4</v>
      </c>
      <c r="B176" s="28" t="s">
        <v>2</v>
      </c>
      <c r="C176" s="11" t="s">
        <v>14</v>
      </c>
      <c r="D176" s="32" t="s">
        <v>45</v>
      </c>
      <c r="E176" s="13" t="s">
        <v>46</v>
      </c>
      <c r="F176" s="31" t="s">
        <v>366</v>
      </c>
      <c r="G176" s="32" t="s">
        <v>51</v>
      </c>
      <c r="H176" s="12" t="s">
        <v>52</v>
      </c>
      <c r="I176" s="14">
        <v>22000</v>
      </c>
      <c r="J176" s="14">
        <v>733590000</v>
      </c>
    </row>
    <row r="177" spans="1:10" x14ac:dyDescent="0.35">
      <c r="A177" s="15">
        <v>4</v>
      </c>
      <c r="B177" s="28" t="s">
        <v>2</v>
      </c>
      <c r="C177" s="11" t="s">
        <v>14</v>
      </c>
      <c r="D177" s="32" t="s">
        <v>45</v>
      </c>
      <c r="E177" s="13" t="s">
        <v>46</v>
      </c>
      <c r="F177" s="31" t="s">
        <v>366</v>
      </c>
      <c r="G177" s="32" t="s">
        <v>53</v>
      </c>
      <c r="H177" s="12" t="s">
        <v>54</v>
      </c>
      <c r="I177" s="14">
        <v>22000</v>
      </c>
      <c r="J177" s="14">
        <v>761805000</v>
      </c>
    </row>
    <row r="178" spans="1:10" hidden="1" x14ac:dyDescent="0.35">
      <c r="A178" s="15">
        <v>4</v>
      </c>
      <c r="B178" s="15"/>
      <c r="C178" s="11" t="s">
        <v>14</v>
      </c>
      <c r="D178" s="32" t="s">
        <v>57</v>
      </c>
      <c r="E178" s="13" t="s">
        <v>349</v>
      </c>
      <c r="F178" s="31" t="s">
        <v>363</v>
      </c>
      <c r="G178" s="32" t="s">
        <v>21</v>
      </c>
      <c r="H178" s="12" t="s">
        <v>22</v>
      </c>
      <c r="I178" s="14">
        <v>22000</v>
      </c>
      <c r="J178" s="14">
        <v>771710087</v>
      </c>
    </row>
    <row r="179" spans="1:10" hidden="1" x14ac:dyDescent="0.35">
      <c r="A179" s="15">
        <v>4</v>
      </c>
      <c r="B179" s="15"/>
      <c r="C179" s="11" t="s">
        <v>14</v>
      </c>
      <c r="D179" s="32" t="s">
        <v>62</v>
      </c>
      <c r="E179" s="13" t="s">
        <v>63</v>
      </c>
      <c r="F179" s="31" t="s">
        <v>363</v>
      </c>
      <c r="G179" s="32" t="s">
        <v>17</v>
      </c>
      <c r="H179" s="12" t="s">
        <v>18</v>
      </c>
      <c r="I179" s="14">
        <v>56100</v>
      </c>
      <c r="J179" s="14">
        <v>1806420000</v>
      </c>
    </row>
    <row r="180" spans="1:10" hidden="1" x14ac:dyDescent="0.35">
      <c r="A180" s="15">
        <v>4</v>
      </c>
      <c r="B180" s="15"/>
      <c r="C180" s="11" t="s">
        <v>14</v>
      </c>
      <c r="D180" s="32" t="s">
        <v>66</v>
      </c>
      <c r="E180" s="13" t="s">
        <v>67</v>
      </c>
      <c r="F180" s="31" t="s">
        <v>366</v>
      </c>
      <c r="G180" s="32" t="s">
        <v>68</v>
      </c>
      <c r="H180" s="12" t="s">
        <v>69</v>
      </c>
      <c r="I180" s="14">
        <v>11000</v>
      </c>
      <c r="J180" s="14">
        <v>353787500</v>
      </c>
    </row>
    <row r="181" spans="1:10" hidden="1" x14ac:dyDescent="0.35">
      <c r="A181" s="15">
        <v>4</v>
      </c>
      <c r="B181" s="15"/>
      <c r="C181" s="11" t="s">
        <v>14</v>
      </c>
      <c r="D181" s="32" t="s">
        <v>66</v>
      </c>
      <c r="E181" s="13" t="s">
        <v>67</v>
      </c>
      <c r="F181" s="31" t="s">
        <v>366</v>
      </c>
      <c r="G181" s="32" t="s">
        <v>68</v>
      </c>
      <c r="H181" s="12" t="s">
        <v>69</v>
      </c>
      <c r="I181" s="14">
        <v>22000</v>
      </c>
      <c r="J181" s="14">
        <v>708400000</v>
      </c>
    </row>
    <row r="182" spans="1:10" hidden="1" x14ac:dyDescent="0.35">
      <c r="A182" s="15">
        <v>4</v>
      </c>
      <c r="B182" s="15"/>
      <c r="C182" s="11" t="s">
        <v>14</v>
      </c>
      <c r="D182" s="32" t="s">
        <v>107</v>
      </c>
      <c r="E182" s="13" t="s">
        <v>108</v>
      </c>
      <c r="F182" s="31" t="s">
        <v>363</v>
      </c>
      <c r="G182" s="32" t="s">
        <v>31</v>
      </c>
      <c r="H182" s="12" t="s">
        <v>32</v>
      </c>
      <c r="I182" s="14">
        <v>1100</v>
      </c>
      <c r="J182" s="14">
        <v>36268232</v>
      </c>
    </row>
    <row r="183" spans="1:10" hidden="1" x14ac:dyDescent="0.35">
      <c r="A183" s="15">
        <v>4</v>
      </c>
      <c r="B183" s="15"/>
      <c r="C183" s="11" t="s">
        <v>14</v>
      </c>
      <c r="D183" s="32" t="s">
        <v>107</v>
      </c>
      <c r="E183" s="13" t="s">
        <v>108</v>
      </c>
      <c r="F183" s="31" t="s">
        <v>363</v>
      </c>
      <c r="G183" s="32" t="s">
        <v>31</v>
      </c>
      <c r="H183" s="12" t="s">
        <v>32</v>
      </c>
      <c r="I183" s="14">
        <v>5500</v>
      </c>
      <c r="J183" s="14">
        <v>184614540</v>
      </c>
    </row>
    <row r="184" spans="1:10" hidden="1" x14ac:dyDescent="0.35">
      <c r="A184" s="15">
        <v>4</v>
      </c>
      <c r="B184" s="15"/>
      <c r="C184" s="11" t="s">
        <v>14</v>
      </c>
      <c r="D184" s="32" t="s">
        <v>70</v>
      </c>
      <c r="E184" s="13" t="s">
        <v>71</v>
      </c>
      <c r="F184" s="31" t="s">
        <v>363</v>
      </c>
      <c r="G184" s="32" t="s">
        <v>17</v>
      </c>
      <c r="H184" s="12" t="s">
        <v>18</v>
      </c>
      <c r="I184" s="14">
        <v>4400</v>
      </c>
      <c r="J184" s="14">
        <v>142805320</v>
      </c>
    </row>
    <row r="185" spans="1:10" hidden="1" x14ac:dyDescent="0.35">
      <c r="A185" s="15">
        <v>4</v>
      </c>
      <c r="B185" s="15"/>
      <c r="C185" s="11" t="s">
        <v>14</v>
      </c>
      <c r="D185" s="32" t="s">
        <v>111</v>
      </c>
      <c r="E185" s="13" t="s">
        <v>112</v>
      </c>
      <c r="F185" s="31" t="s">
        <v>366</v>
      </c>
      <c r="G185" s="32" t="s">
        <v>113</v>
      </c>
      <c r="H185" s="12" t="s">
        <v>114</v>
      </c>
      <c r="I185" s="14">
        <v>28000</v>
      </c>
      <c r="J185" s="14">
        <v>476000000</v>
      </c>
    </row>
    <row r="186" spans="1:10" hidden="1" x14ac:dyDescent="0.35">
      <c r="A186" s="15">
        <v>4</v>
      </c>
      <c r="B186" s="15"/>
      <c r="C186" s="11" t="s">
        <v>14</v>
      </c>
      <c r="D186" s="32" t="s">
        <v>78</v>
      </c>
      <c r="E186" s="13" t="s">
        <v>79</v>
      </c>
      <c r="F186" s="31" t="s">
        <v>366</v>
      </c>
      <c r="G186" s="32" t="s">
        <v>80</v>
      </c>
      <c r="H186" s="12" t="s">
        <v>81</v>
      </c>
      <c r="I186" s="14">
        <v>3000</v>
      </c>
      <c r="J186" s="14">
        <v>47222222</v>
      </c>
    </row>
    <row r="187" spans="1:10" hidden="1" x14ac:dyDescent="0.35">
      <c r="A187" s="15">
        <v>4</v>
      </c>
      <c r="B187" s="15"/>
      <c r="C187" s="11" t="s">
        <v>14</v>
      </c>
      <c r="D187" s="32" t="s">
        <v>78</v>
      </c>
      <c r="E187" s="13" t="s">
        <v>79</v>
      </c>
      <c r="F187" s="31" t="s">
        <v>366</v>
      </c>
      <c r="G187" s="32" t="s">
        <v>80</v>
      </c>
      <c r="H187" s="12" t="s">
        <v>81</v>
      </c>
      <c r="I187" s="14">
        <v>20250</v>
      </c>
      <c r="J187" s="14">
        <v>315555557</v>
      </c>
    </row>
    <row r="188" spans="1:10" hidden="1" x14ac:dyDescent="0.35">
      <c r="A188" s="15">
        <v>4</v>
      </c>
      <c r="B188" s="15"/>
      <c r="C188" s="11" t="s">
        <v>14</v>
      </c>
      <c r="D188" s="32" t="s">
        <v>78</v>
      </c>
      <c r="E188" s="13" t="s">
        <v>79</v>
      </c>
      <c r="F188" s="31" t="s">
        <v>366</v>
      </c>
      <c r="G188" s="32" t="s">
        <v>103</v>
      </c>
      <c r="H188" s="12" t="s">
        <v>104</v>
      </c>
      <c r="I188" s="14">
        <v>4500</v>
      </c>
      <c r="J188" s="14">
        <v>69166668</v>
      </c>
    </row>
    <row r="189" spans="1:10" hidden="1" x14ac:dyDescent="0.35">
      <c r="A189" s="15">
        <v>4</v>
      </c>
      <c r="B189" s="15"/>
      <c r="C189" s="11" t="s">
        <v>14</v>
      </c>
      <c r="D189" s="32" t="s">
        <v>78</v>
      </c>
      <c r="E189" s="13" t="s">
        <v>79</v>
      </c>
      <c r="F189" s="31" t="s">
        <v>366</v>
      </c>
      <c r="G189" s="32" t="s">
        <v>82</v>
      </c>
      <c r="H189" s="12" t="s">
        <v>83</v>
      </c>
      <c r="I189" s="14">
        <v>9750</v>
      </c>
      <c r="J189" s="14">
        <v>149598148</v>
      </c>
    </row>
    <row r="190" spans="1:10" hidden="1" x14ac:dyDescent="0.35">
      <c r="A190" s="15">
        <v>4</v>
      </c>
      <c r="B190" s="15"/>
      <c r="C190" s="11" t="s">
        <v>14</v>
      </c>
      <c r="D190" s="32" t="s">
        <v>167</v>
      </c>
      <c r="E190" s="13" t="s">
        <v>168</v>
      </c>
      <c r="F190" s="31" t="s">
        <v>363</v>
      </c>
      <c r="G190" s="32" t="s">
        <v>21</v>
      </c>
      <c r="H190" s="12" t="s">
        <v>22</v>
      </c>
      <c r="I190" s="14">
        <v>66000</v>
      </c>
      <c r="J190" s="14">
        <v>2321297880</v>
      </c>
    </row>
    <row r="191" spans="1:10" hidden="1" x14ac:dyDescent="0.35">
      <c r="A191" s="15">
        <v>4</v>
      </c>
      <c r="B191" s="15"/>
      <c r="C191" s="11" t="s">
        <v>14</v>
      </c>
      <c r="D191" s="32" t="s">
        <v>137</v>
      </c>
      <c r="E191" s="13" t="s">
        <v>138</v>
      </c>
      <c r="F191" s="31" t="s">
        <v>366</v>
      </c>
      <c r="G191" s="32" t="s">
        <v>105</v>
      </c>
      <c r="H191" s="12" t="s">
        <v>106</v>
      </c>
      <c r="I191" s="14">
        <v>9000</v>
      </c>
      <c r="J191" s="14">
        <v>139500000</v>
      </c>
    </row>
    <row r="192" spans="1:10" hidden="1" x14ac:dyDescent="0.35">
      <c r="A192" s="15">
        <v>4</v>
      </c>
      <c r="B192" s="15"/>
      <c r="C192" s="11" t="s">
        <v>14</v>
      </c>
      <c r="D192" s="32" t="s">
        <v>137</v>
      </c>
      <c r="E192" s="13" t="s">
        <v>138</v>
      </c>
      <c r="F192" s="31" t="s">
        <v>366</v>
      </c>
      <c r="G192" s="32" t="s">
        <v>119</v>
      </c>
      <c r="H192" s="12" t="s">
        <v>120</v>
      </c>
      <c r="I192" s="14">
        <v>3000</v>
      </c>
      <c r="J192" s="14">
        <v>46500000</v>
      </c>
    </row>
    <row r="193" spans="1:10" hidden="1" x14ac:dyDescent="0.35">
      <c r="A193" s="15">
        <v>4</v>
      </c>
      <c r="B193" s="15"/>
      <c r="C193" s="11" t="s">
        <v>14</v>
      </c>
      <c r="D193" s="32" t="s">
        <v>183</v>
      </c>
      <c r="E193" s="13" t="s">
        <v>184</v>
      </c>
      <c r="F193" s="31" t="s">
        <v>366</v>
      </c>
      <c r="G193" s="32" t="s">
        <v>113</v>
      </c>
      <c r="H193" s="12" t="s">
        <v>114</v>
      </c>
      <c r="I193" s="14">
        <v>1000</v>
      </c>
      <c r="J193" s="14">
        <v>17000000</v>
      </c>
    </row>
    <row r="194" spans="1:10" hidden="1" x14ac:dyDescent="0.35">
      <c r="A194" s="15">
        <v>4</v>
      </c>
      <c r="B194" s="15"/>
      <c r="C194" s="11" t="s">
        <v>14</v>
      </c>
      <c r="D194" s="32" t="s">
        <v>212</v>
      </c>
      <c r="E194" s="13" t="s">
        <v>213</v>
      </c>
      <c r="F194" s="31" t="s">
        <v>364</v>
      </c>
      <c r="G194" s="32" t="s">
        <v>214</v>
      </c>
      <c r="H194" s="12" t="s">
        <v>215</v>
      </c>
      <c r="I194" s="14">
        <v>1000</v>
      </c>
      <c r="J194" s="14">
        <v>29187900</v>
      </c>
    </row>
    <row r="195" spans="1:10" hidden="1" x14ac:dyDescent="0.35">
      <c r="A195" s="15">
        <v>4</v>
      </c>
      <c r="B195" s="15"/>
      <c r="C195" s="11" t="s">
        <v>14</v>
      </c>
      <c r="D195" s="32" t="s">
        <v>185</v>
      </c>
      <c r="E195" s="13" t="s">
        <v>186</v>
      </c>
      <c r="F195" s="31" t="s">
        <v>366</v>
      </c>
      <c r="G195" s="32" t="s">
        <v>93</v>
      </c>
      <c r="H195" s="12" t="s">
        <v>94</v>
      </c>
      <c r="I195" s="14">
        <v>1500</v>
      </c>
      <c r="J195" s="14">
        <v>28472222</v>
      </c>
    </row>
    <row r="196" spans="1:10" hidden="1" x14ac:dyDescent="0.35">
      <c r="A196" s="15">
        <v>4</v>
      </c>
      <c r="B196" s="15"/>
      <c r="C196" s="11" t="s">
        <v>14</v>
      </c>
      <c r="D196" s="32" t="s">
        <v>185</v>
      </c>
      <c r="E196" s="13" t="s">
        <v>186</v>
      </c>
      <c r="F196" s="31" t="s">
        <v>366</v>
      </c>
      <c r="G196" s="32" t="s">
        <v>97</v>
      </c>
      <c r="H196" s="12" t="s">
        <v>98</v>
      </c>
      <c r="I196" s="14">
        <v>1500</v>
      </c>
      <c r="J196" s="14">
        <v>28472222</v>
      </c>
    </row>
    <row r="197" spans="1:10" hidden="1" x14ac:dyDescent="0.35">
      <c r="A197" s="15">
        <v>4</v>
      </c>
      <c r="B197" s="15"/>
      <c r="C197" s="11" t="s">
        <v>14</v>
      </c>
      <c r="D197" s="32" t="s">
        <v>185</v>
      </c>
      <c r="E197" s="13" t="s">
        <v>186</v>
      </c>
      <c r="F197" s="31" t="s">
        <v>366</v>
      </c>
      <c r="G197" s="32" t="s">
        <v>216</v>
      </c>
      <c r="H197" s="12" t="s">
        <v>217</v>
      </c>
      <c r="I197" s="14">
        <v>26875</v>
      </c>
      <c r="J197" s="14">
        <v>512118055</v>
      </c>
    </row>
    <row r="198" spans="1:10" hidden="1" x14ac:dyDescent="0.35">
      <c r="A198" s="15">
        <v>4</v>
      </c>
      <c r="B198" s="15"/>
      <c r="C198" s="11" t="s">
        <v>14</v>
      </c>
      <c r="D198" s="32" t="s">
        <v>185</v>
      </c>
      <c r="E198" s="13" t="s">
        <v>186</v>
      </c>
      <c r="F198" s="31" t="s">
        <v>366</v>
      </c>
      <c r="G198" s="32" t="s">
        <v>80</v>
      </c>
      <c r="H198" s="12" t="s">
        <v>81</v>
      </c>
      <c r="I198" s="14">
        <v>6000</v>
      </c>
      <c r="J198" s="14">
        <v>103822222</v>
      </c>
    </row>
    <row r="199" spans="1:10" hidden="1" x14ac:dyDescent="0.35">
      <c r="A199" s="15">
        <v>4</v>
      </c>
      <c r="B199" s="15"/>
      <c r="C199" s="11" t="s">
        <v>14</v>
      </c>
      <c r="D199" s="32" t="s">
        <v>218</v>
      </c>
      <c r="E199" s="13" t="s">
        <v>219</v>
      </c>
      <c r="F199" s="31" t="s">
        <v>366</v>
      </c>
      <c r="G199" s="32" t="s">
        <v>82</v>
      </c>
      <c r="H199" s="12" t="s">
        <v>83</v>
      </c>
      <c r="I199" s="14">
        <v>750</v>
      </c>
      <c r="J199" s="14">
        <v>11805556</v>
      </c>
    </row>
    <row r="200" spans="1:10" hidden="1" x14ac:dyDescent="0.35">
      <c r="A200" s="15">
        <v>4</v>
      </c>
      <c r="B200" s="15"/>
      <c r="C200" s="11" t="s">
        <v>14</v>
      </c>
      <c r="D200" s="32" t="s">
        <v>218</v>
      </c>
      <c r="E200" s="13" t="s">
        <v>219</v>
      </c>
      <c r="F200" s="31" t="s">
        <v>366</v>
      </c>
      <c r="G200" s="32" t="s">
        <v>105</v>
      </c>
      <c r="H200" s="12" t="s">
        <v>106</v>
      </c>
      <c r="I200" s="14">
        <v>750</v>
      </c>
      <c r="J200" s="14">
        <v>11805556</v>
      </c>
    </row>
    <row r="201" spans="1:10" hidden="1" x14ac:dyDescent="0.35">
      <c r="A201" s="15">
        <v>4</v>
      </c>
      <c r="B201" s="15"/>
      <c r="C201" s="11" t="s">
        <v>14</v>
      </c>
      <c r="D201" s="32" t="s">
        <v>220</v>
      </c>
      <c r="E201" s="13" t="s">
        <v>221</v>
      </c>
      <c r="F201" s="31" t="s">
        <v>365</v>
      </c>
      <c r="G201" s="32" t="s">
        <v>109</v>
      </c>
      <c r="H201" s="12" t="s">
        <v>110</v>
      </c>
      <c r="I201" s="14">
        <v>100</v>
      </c>
      <c r="J201" s="14">
        <v>1906240</v>
      </c>
    </row>
    <row r="202" spans="1:10" hidden="1" x14ac:dyDescent="0.35">
      <c r="A202" s="15">
        <v>4</v>
      </c>
      <c r="B202" s="15"/>
      <c r="C202" s="11" t="s">
        <v>14</v>
      </c>
      <c r="D202" s="32" t="s">
        <v>220</v>
      </c>
      <c r="E202" s="13" t="s">
        <v>221</v>
      </c>
      <c r="F202" s="31" t="s">
        <v>365</v>
      </c>
      <c r="G202" s="32" t="s">
        <v>181</v>
      </c>
      <c r="H202" s="12" t="s">
        <v>182</v>
      </c>
      <c r="I202" s="14">
        <v>100</v>
      </c>
      <c r="J202" s="14">
        <v>2022160</v>
      </c>
    </row>
    <row r="203" spans="1:10" hidden="1" x14ac:dyDescent="0.35">
      <c r="A203" s="15">
        <v>4</v>
      </c>
      <c r="B203" s="15"/>
      <c r="C203" s="11" t="s">
        <v>14</v>
      </c>
      <c r="D203" s="32" t="s">
        <v>220</v>
      </c>
      <c r="E203" s="13" t="s">
        <v>221</v>
      </c>
      <c r="F203" s="31" t="s">
        <v>365</v>
      </c>
      <c r="G203" s="32" t="s">
        <v>222</v>
      </c>
      <c r="H203" s="12" t="s">
        <v>223</v>
      </c>
      <c r="I203" s="14">
        <v>100</v>
      </c>
      <c r="J203" s="14">
        <v>2022160</v>
      </c>
    </row>
    <row r="204" spans="1:10" hidden="1" x14ac:dyDescent="0.35">
      <c r="A204" s="15">
        <v>4</v>
      </c>
      <c r="B204" s="15"/>
      <c r="C204" s="11" t="s">
        <v>14</v>
      </c>
      <c r="D204" s="32" t="s">
        <v>224</v>
      </c>
      <c r="E204" s="13" t="s">
        <v>225</v>
      </c>
      <c r="F204" s="31" t="s">
        <v>366</v>
      </c>
      <c r="G204" s="32" t="s">
        <v>105</v>
      </c>
      <c r="H204" s="12" t="s">
        <v>106</v>
      </c>
      <c r="I204" s="14">
        <v>50</v>
      </c>
      <c r="J204" s="14">
        <v>750000</v>
      </c>
    </row>
    <row r="205" spans="1:10" hidden="1" x14ac:dyDescent="0.35">
      <c r="A205" s="15">
        <v>4</v>
      </c>
      <c r="B205" s="15"/>
      <c r="C205" s="11" t="s">
        <v>14</v>
      </c>
      <c r="D205" s="32" t="s">
        <v>226</v>
      </c>
      <c r="E205" s="13" t="s">
        <v>227</v>
      </c>
      <c r="F205" s="31" t="s">
        <v>366</v>
      </c>
      <c r="G205" s="32" t="s">
        <v>189</v>
      </c>
      <c r="H205" s="12" t="s">
        <v>190</v>
      </c>
      <c r="I205" s="14">
        <v>500</v>
      </c>
      <c r="J205" s="14">
        <v>17303300</v>
      </c>
    </row>
    <row r="206" spans="1:10" hidden="1" x14ac:dyDescent="0.35">
      <c r="A206" s="15">
        <v>4</v>
      </c>
      <c r="B206" s="15"/>
      <c r="C206" s="11" t="s">
        <v>14</v>
      </c>
      <c r="D206" s="32" t="s">
        <v>228</v>
      </c>
      <c r="E206" s="13" t="s">
        <v>229</v>
      </c>
      <c r="F206" s="31" t="s">
        <v>366</v>
      </c>
      <c r="G206" s="32" t="s">
        <v>113</v>
      </c>
      <c r="H206" s="12" t="s">
        <v>114</v>
      </c>
      <c r="I206" s="14">
        <v>1000</v>
      </c>
      <c r="J206" s="14">
        <v>16700000</v>
      </c>
    </row>
    <row r="207" spans="1:10" hidden="1" x14ac:dyDescent="0.35">
      <c r="A207" s="15">
        <v>4</v>
      </c>
      <c r="B207" s="15"/>
      <c r="C207" s="11" t="s">
        <v>14</v>
      </c>
      <c r="D207" s="32" t="s">
        <v>230</v>
      </c>
      <c r="E207" s="13" t="s">
        <v>231</v>
      </c>
      <c r="F207" s="31" t="s">
        <v>363</v>
      </c>
      <c r="G207" s="32" t="s">
        <v>21</v>
      </c>
      <c r="H207" s="12" t="s">
        <v>22</v>
      </c>
      <c r="I207" s="14">
        <v>3300</v>
      </c>
      <c r="J207" s="14">
        <v>141924566</v>
      </c>
    </row>
    <row r="208" spans="1:10" hidden="1" x14ac:dyDescent="0.35">
      <c r="A208" s="15">
        <v>4</v>
      </c>
      <c r="B208" s="15"/>
      <c r="C208" s="11" t="s">
        <v>84</v>
      </c>
      <c r="D208" s="32" t="s">
        <v>198</v>
      </c>
      <c r="E208" s="13" t="s">
        <v>199</v>
      </c>
      <c r="F208" s="31" t="s">
        <v>363</v>
      </c>
      <c r="G208" s="32" t="s">
        <v>17</v>
      </c>
      <c r="H208" s="12" t="s">
        <v>18</v>
      </c>
      <c r="I208" s="14">
        <v>44000</v>
      </c>
      <c r="J208" s="14">
        <v>1430034672</v>
      </c>
    </row>
    <row r="209" spans="1:10" hidden="1" x14ac:dyDescent="0.35">
      <c r="A209" s="15">
        <v>4</v>
      </c>
      <c r="B209" s="15"/>
      <c r="C209" s="11" t="s">
        <v>84</v>
      </c>
      <c r="D209" s="32" t="s">
        <v>85</v>
      </c>
      <c r="E209" s="13" t="s">
        <v>86</v>
      </c>
      <c r="F209" s="31" t="s">
        <v>363</v>
      </c>
      <c r="G209" s="32" t="s">
        <v>17</v>
      </c>
      <c r="H209" s="12" t="s">
        <v>18</v>
      </c>
      <c r="I209" s="14">
        <v>374000</v>
      </c>
      <c r="J209" s="14">
        <v>11787670645</v>
      </c>
    </row>
    <row r="210" spans="1:10" hidden="1" x14ac:dyDescent="0.35">
      <c r="A210" s="15">
        <v>4</v>
      </c>
      <c r="B210" s="15"/>
      <c r="C210" s="11" t="s">
        <v>84</v>
      </c>
      <c r="D210" s="32" t="s">
        <v>85</v>
      </c>
      <c r="E210" s="13" t="s">
        <v>86</v>
      </c>
      <c r="F210" s="31" t="s">
        <v>363</v>
      </c>
      <c r="G210" s="32" t="s">
        <v>17</v>
      </c>
      <c r="H210" s="12" t="s">
        <v>18</v>
      </c>
      <c r="I210" s="14">
        <v>1034000</v>
      </c>
      <c r="J210" s="14">
        <v>32435364928</v>
      </c>
    </row>
    <row r="211" spans="1:10" hidden="1" x14ac:dyDescent="0.35">
      <c r="A211" s="15">
        <v>4</v>
      </c>
      <c r="B211" s="15"/>
      <c r="C211" s="11" t="s">
        <v>84</v>
      </c>
      <c r="D211" s="32" t="s">
        <v>147</v>
      </c>
      <c r="E211" s="13" t="s">
        <v>148</v>
      </c>
      <c r="F211" s="31" t="s">
        <v>363</v>
      </c>
      <c r="G211" s="32" t="s">
        <v>31</v>
      </c>
      <c r="H211" s="12" t="s">
        <v>32</v>
      </c>
      <c r="I211" s="14">
        <v>880000</v>
      </c>
      <c r="J211" s="14">
        <v>28283750000</v>
      </c>
    </row>
    <row r="212" spans="1:10" hidden="1" x14ac:dyDescent="0.35">
      <c r="A212" s="15">
        <v>4</v>
      </c>
      <c r="B212" s="15"/>
      <c r="C212" s="11" t="s">
        <v>84</v>
      </c>
      <c r="D212" s="32" t="s">
        <v>153</v>
      </c>
      <c r="E212" s="13" t="s">
        <v>154</v>
      </c>
      <c r="F212" s="31" t="s">
        <v>363</v>
      </c>
      <c r="G212" s="32" t="s">
        <v>31</v>
      </c>
      <c r="H212" s="12" t="s">
        <v>32</v>
      </c>
      <c r="I212" s="14">
        <v>22000</v>
      </c>
      <c r="J212" s="14">
        <v>720852000</v>
      </c>
    </row>
    <row r="213" spans="1:10" hidden="1" x14ac:dyDescent="0.35">
      <c r="A213" s="15">
        <v>4</v>
      </c>
      <c r="B213" s="15"/>
      <c r="C213" s="11" t="s">
        <v>84</v>
      </c>
      <c r="D213" s="32" t="s">
        <v>155</v>
      </c>
      <c r="E213" s="13" t="s">
        <v>156</v>
      </c>
      <c r="F213" s="31" t="s">
        <v>363</v>
      </c>
      <c r="G213" s="32" t="s">
        <v>135</v>
      </c>
      <c r="H213" s="12" t="s">
        <v>136</v>
      </c>
      <c r="I213" s="14">
        <v>44000</v>
      </c>
      <c r="J213" s="14">
        <v>1290806000</v>
      </c>
    </row>
    <row r="214" spans="1:10" hidden="1" x14ac:dyDescent="0.35">
      <c r="A214" s="15">
        <v>4</v>
      </c>
      <c r="B214" s="15"/>
      <c r="C214" s="11" t="s">
        <v>84</v>
      </c>
      <c r="D214" s="32" t="s">
        <v>89</v>
      </c>
      <c r="E214" s="13" t="s">
        <v>90</v>
      </c>
      <c r="F214" s="31" t="s">
        <v>363</v>
      </c>
      <c r="G214" s="32" t="s">
        <v>31</v>
      </c>
      <c r="H214" s="12" t="s">
        <v>32</v>
      </c>
      <c r="I214" s="14">
        <v>88000</v>
      </c>
      <c r="J214" s="14">
        <v>2970765600</v>
      </c>
    </row>
    <row r="215" spans="1:10" hidden="1" x14ac:dyDescent="0.35">
      <c r="A215" s="15">
        <v>4</v>
      </c>
      <c r="B215" s="15"/>
      <c r="C215" s="11" t="s">
        <v>84</v>
      </c>
      <c r="D215" s="32" t="s">
        <v>161</v>
      </c>
      <c r="E215" s="13" t="s">
        <v>162</v>
      </c>
      <c r="F215" s="31" t="s">
        <v>363</v>
      </c>
      <c r="G215" s="32" t="s">
        <v>21</v>
      </c>
      <c r="H215" s="12" t="s">
        <v>22</v>
      </c>
      <c r="I215" s="14">
        <v>22000</v>
      </c>
      <c r="J215" s="14">
        <v>818819980</v>
      </c>
    </row>
    <row r="216" spans="1:10" hidden="1" x14ac:dyDescent="0.35">
      <c r="A216" s="15">
        <v>4</v>
      </c>
      <c r="B216" s="15"/>
      <c r="C216" s="11" t="s">
        <v>84</v>
      </c>
      <c r="D216" s="32" t="s">
        <v>161</v>
      </c>
      <c r="E216" s="13" t="s">
        <v>162</v>
      </c>
      <c r="F216" s="31" t="s">
        <v>363</v>
      </c>
      <c r="G216" s="32" t="s">
        <v>31</v>
      </c>
      <c r="H216" s="12" t="s">
        <v>32</v>
      </c>
      <c r="I216" s="14">
        <v>88000</v>
      </c>
      <c r="J216" s="14">
        <v>3207933520</v>
      </c>
    </row>
    <row r="217" spans="1:10" hidden="1" x14ac:dyDescent="0.35">
      <c r="A217" s="15">
        <v>4</v>
      </c>
      <c r="B217" s="15"/>
      <c r="C217" s="11" t="s">
        <v>84</v>
      </c>
      <c r="D217" s="32" t="s">
        <v>232</v>
      </c>
      <c r="E217" s="13" t="s">
        <v>233</v>
      </c>
      <c r="F217" s="31" t="s">
        <v>363</v>
      </c>
      <c r="G217" s="32" t="s">
        <v>31</v>
      </c>
      <c r="H217" s="12" t="s">
        <v>32</v>
      </c>
      <c r="I217" s="14">
        <v>105000</v>
      </c>
      <c r="J217" s="14">
        <v>3471552000</v>
      </c>
    </row>
    <row r="218" spans="1:10" hidden="1" x14ac:dyDescent="0.35">
      <c r="A218" s="15">
        <v>4</v>
      </c>
      <c r="B218" s="15"/>
      <c r="C218" s="11" t="s">
        <v>84</v>
      </c>
      <c r="D218" s="32" t="s">
        <v>234</v>
      </c>
      <c r="E218" s="13" t="s">
        <v>235</v>
      </c>
      <c r="F218" s="31" t="s">
        <v>363</v>
      </c>
      <c r="G218" s="32" t="s">
        <v>135</v>
      </c>
      <c r="H218" s="12" t="s">
        <v>136</v>
      </c>
      <c r="I218" s="14">
        <v>110000</v>
      </c>
      <c r="J218" s="14">
        <v>3252315000</v>
      </c>
    </row>
    <row r="219" spans="1:10" hidden="1" x14ac:dyDescent="0.35">
      <c r="A219" s="15">
        <v>5</v>
      </c>
      <c r="B219" s="15"/>
      <c r="C219" s="11" t="s">
        <v>14</v>
      </c>
      <c r="D219" s="32" t="s">
        <v>70</v>
      </c>
      <c r="E219" s="13" t="s">
        <v>71</v>
      </c>
      <c r="F219" s="35" t="s">
        <v>363</v>
      </c>
      <c r="G219" s="32" t="s">
        <v>17</v>
      </c>
      <c r="H219" s="12" t="s">
        <v>18</v>
      </c>
      <c r="I219" s="14">
        <v>5500</v>
      </c>
      <c r="J219" s="14">
        <v>183159717</v>
      </c>
    </row>
    <row r="220" spans="1:10" hidden="1" x14ac:dyDescent="0.35">
      <c r="A220" s="15">
        <v>5</v>
      </c>
      <c r="B220" s="15"/>
      <c r="C220" s="11" t="s">
        <v>14</v>
      </c>
      <c r="D220" s="32" t="s">
        <v>25</v>
      </c>
      <c r="E220" s="13" t="s">
        <v>26</v>
      </c>
      <c r="F220" s="35" t="s">
        <v>363</v>
      </c>
      <c r="G220" s="32" t="s">
        <v>27</v>
      </c>
      <c r="H220" s="34" t="s">
        <v>28</v>
      </c>
      <c r="I220" s="14">
        <v>550</v>
      </c>
      <c r="J220" s="14">
        <v>19289600</v>
      </c>
    </row>
    <row r="221" spans="1:10" hidden="1" x14ac:dyDescent="0.35">
      <c r="A221" s="15">
        <v>5</v>
      </c>
      <c r="B221" s="15"/>
      <c r="C221" s="11" t="s">
        <v>14</v>
      </c>
      <c r="D221" s="32" t="s">
        <v>15</v>
      </c>
      <c r="E221" s="13" t="s">
        <v>16</v>
      </c>
      <c r="F221" s="35" t="s">
        <v>363</v>
      </c>
      <c r="G221" s="32" t="s">
        <v>17</v>
      </c>
      <c r="H221" s="12" t="s">
        <v>18</v>
      </c>
      <c r="I221" s="14">
        <v>11000</v>
      </c>
      <c r="J221" s="14">
        <v>354200000</v>
      </c>
    </row>
    <row r="222" spans="1:10" hidden="1" x14ac:dyDescent="0.35">
      <c r="A222" s="15">
        <v>5</v>
      </c>
      <c r="B222" s="15"/>
      <c r="C222" s="11" t="s">
        <v>14</v>
      </c>
      <c r="D222" s="32" t="s">
        <v>15</v>
      </c>
      <c r="E222" s="13" t="s">
        <v>16</v>
      </c>
      <c r="F222" s="31" t="s">
        <v>366</v>
      </c>
      <c r="G222" s="32" t="s">
        <v>47</v>
      </c>
      <c r="H222" s="12" t="s">
        <v>48</v>
      </c>
      <c r="I222" s="14">
        <v>16500</v>
      </c>
      <c r="J222" s="14">
        <v>330000000</v>
      </c>
    </row>
    <row r="223" spans="1:10" hidden="1" x14ac:dyDescent="0.35">
      <c r="A223" s="15">
        <v>5</v>
      </c>
      <c r="B223" s="15"/>
      <c r="C223" s="11" t="s">
        <v>14</v>
      </c>
      <c r="D223" s="32" t="s">
        <v>15</v>
      </c>
      <c r="E223" s="13" t="s">
        <v>16</v>
      </c>
      <c r="F223" s="31" t="s">
        <v>366</v>
      </c>
      <c r="G223" s="32" t="s">
        <v>93</v>
      </c>
      <c r="H223" s="12" t="s">
        <v>94</v>
      </c>
      <c r="I223" s="14">
        <v>5500</v>
      </c>
      <c r="J223" s="14">
        <v>110000000</v>
      </c>
    </row>
    <row r="224" spans="1:10" hidden="1" x14ac:dyDescent="0.35">
      <c r="A224" s="15">
        <v>5</v>
      </c>
      <c r="B224" s="15"/>
      <c r="C224" s="11" t="s">
        <v>14</v>
      </c>
      <c r="D224" s="32" t="s">
        <v>15</v>
      </c>
      <c r="E224" s="13" t="s">
        <v>16</v>
      </c>
      <c r="F224" s="31" t="s">
        <v>366</v>
      </c>
      <c r="G224" s="32" t="s">
        <v>97</v>
      </c>
      <c r="H224" s="12" t="s">
        <v>98</v>
      </c>
      <c r="I224" s="14">
        <v>5500</v>
      </c>
      <c r="J224" s="14">
        <v>110000000</v>
      </c>
    </row>
    <row r="225" spans="1:10" hidden="1" x14ac:dyDescent="0.35">
      <c r="A225" s="15">
        <v>5</v>
      </c>
      <c r="B225" s="15"/>
      <c r="C225" s="11" t="s">
        <v>14</v>
      </c>
      <c r="D225" s="32" t="s">
        <v>15</v>
      </c>
      <c r="E225" s="13" t="s">
        <v>16</v>
      </c>
      <c r="F225" s="31" t="s">
        <v>366</v>
      </c>
      <c r="G225" s="32" t="s">
        <v>49</v>
      </c>
      <c r="H225" s="12" t="s">
        <v>50</v>
      </c>
      <c r="I225" s="14">
        <v>25</v>
      </c>
      <c r="J225" s="14">
        <v>833625</v>
      </c>
    </row>
    <row r="226" spans="1:10" hidden="1" x14ac:dyDescent="0.35">
      <c r="A226" s="15">
        <v>5</v>
      </c>
      <c r="B226" s="15"/>
      <c r="C226" s="11" t="s">
        <v>14</v>
      </c>
      <c r="D226" s="32" t="s">
        <v>35</v>
      </c>
      <c r="E226" s="13" t="s">
        <v>36</v>
      </c>
      <c r="F226" s="35" t="s">
        <v>363</v>
      </c>
      <c r="G226" s="32" t="s">
        <v>21</v>
      </c>
      <c r="H226" s="12" t="s">
        <v>22</v>
      </c>
      <c r="I226" s="14">
        <v>2200</v>
      </c>
      <c r="J226" s="14">
        <v>76626000</v>
      </c>
    </row>
    <row r="227" spans="1:10" hidden="1" x14ac:dyDescent="0.35">
      <c r="A227" s="15">
        <v>5</v>
      </c>
      <c r="B227" s="15"/>
      <c r="C227" s="11" t="s">
        <v>14</v>
      </c>
      <c r="D227" s="32" t="s">
        <v>35</v>
      </c>
      <c r="E227" s="13" t="s">
        <v>36</v>
      </c>
      <c r="F227" s="35" t="s">
        <v>363</v>
      </c>
      <c r="G227" s="32" t="s">
        <v>17</v>
      </c>
      <c r="H227" s="12" t="s">
        <v>18</v>
      </c>
      <c r="I227" s="14">
        <v>28600</v>
      </c>
      <c r="J227" s="14">
        <v>974001600</v>
      </c>
    </row>
    <row r="228" spans="1:10" x14ac:dyDescent="0.35">
      <c r="A228" s="15">
        <v>5</v>
      </c>
      <c r="B228" s="28" t="s">
        <v>2</v>
      </c>
      <c r="C228" s="11" t="s">
        <v>14</v>
      </c>
      <c r="D228" s="32" t="s">
        <v>41</v>
      </c>
      <c r="E228" s="13" t="s">
        <v>42</v>
      </c>
      <c r="F228" s="31" t="s">
        <v>366</v>
      </c>
      <c r="G228" s="32" t="s">
        <v>43</v>
      </c>
      <c r="H228" s="12" t="s">
        <v>44</v>
      </c>
      <c r="I228" s="14">
        <v>24750</v>
      </c>
      <c r="J228" s="14">
        <v>877041000</v>
      </c>
    </row>
    <row r="229" spans="1:10" x14ac:dyDescent="0.35">
      <c r="A229" s="15">
        <v>5</v>
      </c>
      <c r="B229" s="28" t="s">
        <v>2</v>
      </c>
      <c r="C229" s="11" t="s">
        <v>14</v>
      </c>
      <c r="D229" s="32" t="s">
        <v>99</v>
      </c>
      <c r="E229" s="13" t="s">
        <v>100</v>
      </c>
      <c r="F229" s="31" t="s">
        <v>366</v>
      </c>
      <c r="G229" s="32" t="s">
        <v>43</v>
      </c>
      <c r="H229" s="12" t="s">
        <v>44</v>
      </c>
      <c r="I229" s="14">
        <v>-25</v>
      </c>
      <c r="J229" s="14">
        <v>-870875</v>
      </c>
    </row>
    <row r="230" spans="1:10" x14ac:dyDescent="0.35">
      <c r="A230" s="15">
        <v>5</v>
      </c>
      <c r="B230" s="28" t="s">
        <v>2</v>
      </c>
      <c r="C230" s="11" t="s">
        <v>14</v>
      </c>
      <c r="D230" s="32" t="s">
        <v>99</v>
      </c>
      <c r="E230" s="13" t="s">
        <v>100</v>
      </c>
      <c r="F230" s="31" t="s">
        <v>366</v>
      </c>
      <c r="G230" s="32" t="s">
        <v>43</v>
      </c>
      <c r="H230" s="12" t="s">
        <v>44</v>
      </c>
      <c r="I230" s="14">
        <v>9625</v>
      </c>
      <c r="J230" s="14">
        <v>335286875</v>
      </c>
    </row>
    <row r="231" spans="1:10" hidden="1" x14ac:dyDescent="0.35">
      <c r="A231" s="15">
        <v>5</v>
      </c>
      <c r="B231" s="15"/>
      <c r="C231" s="11" t="s">
        <v>14</v>
      </c>
      <c r="D231" s="32" t="s">
        <v>179</v>
      </c>
      <c r="E231" s="13" t="s">
        <v>180</v>
      </c>
      <c r="F231" s="31" t="s">
        <v>366</v>
      </c>
      <c r="G231" s="32" t="s">
        <v>80</v>
      </c>
      <c r="H231" s="12" t="s">
        <v>81</v>
      </c>
      <c r="I231" s="14">
        <v>5250</v>
      </c>
      <c r="J231" s="14">
        <v>87500000</v>
      </c>
    </row>
    <row r="232" spans="1:10" hidden="1" x14ac:dyDescent="0.35">
      <c r="A232" s="15">
        <v>5</v>
      </c>
      <c r="B232" s="15"/>
      <c r="C232" s="11" t="s">
        <v>14</v>
      </c>
      <c r="D232" s="32" t="s">
        <v>179</v>
      </c>
      <c r="E232" s="13" t="s">
        <v>180</v>
      </c>
      <c r="F232" s="35" t="s">
        <v>365</v>
      </c>
      <c r="G232" s="32" t="s">
        <v>181</v>
      </c>
      <c r="H232" s="12" t="s">
        <v>182</v>
      </c>
      <c r="I232" s="14">
        <v>20250</v>
      </c>
      <c r="J232" s="14">
        <v>365625000</v>
      </c>
    </row>
    <row r="233" spans="1:10" hidden="1" x14ac:dyDescent="0.35">
      <c r="A233" s="15">
        <v>5</v>
      </c>
      <c r="B233" s="15"/>
      <c r="C233" s="11" t="s">
        <v>14</v>
      </c>
      <c r="D233" s="32" t="s">
        <v>236</v>
      </c>
      <c r="E233" s="13" t="s">
        <v>237</v>
      </c>
      <c r="F233" s="35" t="s">
        <v>363</v>
      </c>
      <c r="G233" s="32" t="s">
        <v>17</v>
      </c>
      <c r="H233" s="12" t="s">
        <v>18</v>
      </c>
      <c r="I233" s="14">
        <v>3300</v>
      </c>
      <c r="J233" s="14">
        <v>111222222</v>
      </c>
    </row>
    <row r="234" spans="1:10" hidden="1" x14ac:dyDescent="0.35">
      <c r="A234" s="15">
        <v>5</v>
      </c>
      <c r="B234" s="15"/>
      <c r="C234" s="11" t="s">
        <v>84</v>
      </c>
      <c r="D234" s="32" t="s">
        <v>238</v>
      </c>
      <c r="E234" s="36" t="s">
        <v>239</v>
      </c>
      <c r="F234" s="35" t="s">
        <v>363</v>
      </c>
      <c r="G234" s="32" t="s">
        <v>21</v>
      </c>
      <c r="H234" s="12" t="s">
        <v>22</v>
      </c>
      <c r="I234" s="14">
        <v>220000</v>
      </c>
      <c r="J234" s="14">
        <v>8101579200</v>
      </c>
    </row>
    <row r="235" spans="1:10" hidden="1" x14ac:dyDescent="0.35">
      <c r="A235" s="15">
        <v>5</v>
      </c>
      <c r="B235" s="15"/>
      <c r="C235" s="11" t="s">
        <v>84</v>
      </c>
      <c r="D235" s="32" t="s">
        <v>238</v>
      </c>
      <c r="E235" s="36" t="s">
        <v>239</v>
      </c>
      <c r="F235" s="35" t="s">
        <v>363</v>
      </c>
      <c r="G235" s="32" t="s">
        <v>31</v>
      </c>
      <c r="H235" s="12" t="s">
        <v>32</v>
      </c>
      <c r="I235" s="14">
        <v>22000</v>
      </c>
      <c r="J235" s="14">
        <v>782680800</v>
      </c>
    </row>
    <row r="236" spans="1:10" hidden="1" x14ac:dyDescent="0.35">
      <c r="A236" s="15">
        <v>5</v>
      </c>
      <c r="B236" s="15"/>
      <c r="C236" s="11" t="s">
        <v>14</v>
      </c>
      <c r="D236" s="32" t="s">
        <v>185</v>
      </c>
      <c r="E236" s="13" t="s">
        <v>186</v>
      </c>
      <c r="F236" s="31" t="s">
        <v>366</v>
      </c>
      <c r="G236" s="32" t="s">
        <v>216</v>
      </c>
      <c r="H236" s="12" t="s">
        <v>217</v>
      </c>
      <c r="I236" s="14">
        <v>35750</v>
      </c>
      <c r="J236" s="14">
        <v>681236110</v>
      </c>
    </row>
    <row r="237" spans="1:10" hidden="1" x14ac:dyDescent="0.35">
      <c r="A237" s="15">
        <v>5</v>
      </c>
      <c r="B237" s="15"/>
      <c r="C237" s="11" t="s">
        <v>14</v>
      </c>
      <c r="D237" s="32" t="s">
        <v>185</v>
      </c>
      <c r="E237" s="13" t="s">
        <v>186</v>
      </c>
      <c r="F237" s="31" t="s">
        <v>366</v>
      </c>
      <c r="G237" s="32" t="s">
        <v>80</v>
      </c>
      <c r="H237" s="12" t="s">
        <v>81</v>
      </c>
      <c r="I237" s="14">
        <v>15000</v>
      </c>
      <c r="J237" s="14">
        <v>256944444</v>
      </c>
    </row>
    <row r="238" spans="1:10" hidden="1" x14ac:dyDescent="0.35">
      <c r="A238" s="15">
        <v>5</v>
      </c>
      <c r="B238" s="15"/>
      <c r="C238" s="11" t="s">
        <v>14</v>
      </c>
      <c r="D238" s="32" t="s">
        <v>185</v>
      </c>
      <c r="E238" s="13" t="s">
        <v>186</v>
      </c>
      <c r="F238" s="31" t="s">
        <v>366</v>
      </c>
      <c r="G238" s="32" t="s">
        <v>82</v>
      </c>
      <c r="H238" s="12" t="s">
        <v>83</v>
      </c>
      <c r="I238" s="14">
        <v>25500</v>
      </c>
      <c r="J238" s="14">
        <v>438633332</v>
      </c>
    </row>
    <row r="239" spans="1:10" hidden="1" x14ac:dyDescent="0.35">
      <c r="A239" s="15">
        <v>5</v>
      </c>
      <c r="B239" s="15"/>
      <c r="C239" s="11" t="s">
        <v>14</v>
      </c>
      <c r="D239" s="32" t="s">
        <v>185</v>
      </c>
      <c r="E239" s="13" t="s">
        <v>186</v>
      </c>
      <c r="F239" s="31" t="s">
        <v>366</v>
      </c>
      <c r="G239" s="32" t="s">
        <v>119</v>
      </c>
      <c r="H239" s="12" t="s">
        <v>120</v>
      </c>
      <c r="I239" s="14">
        <v>5250</v>
      </c>
      <c r="J239" s="14">
        <v>89930556</v>
      </c>
    </row>
    <row r="240" spans="1:10" hidden="1" x14ac:dyDescent="0.35">
      <c r="A240" s="15">
        <v>5</v>
      </c>
      <c r="B240" s="15"/>
      <c r="C240" s="11" t="s">
        <v>84</v>
      </c>
      <c r="D240" s="32" t="s">
        <v>161</v>
      </c>
      <c r="E240" s="36" t="s">
        <v>162</v>
      </c>
      <c r="F240" s="35" t="s">
        <v>363</v>
      </c>
      <c r="G240" s="32" t="s">
        <v>31</v>
      </c>
      <c r="H240" s="12" t="s">
        <v>32</v>
      </c>
      <c r="I240" s="14">
        <v>374000</v>
      </c>
      <c r="J240" s="14">
        <v>13432074700</v>
      </c>
    </row>
    <row r="241" spans="1:10" hidden="1" x14ac:dyDescent="0.35">
      <c r="A241" s="15">
        <v>5</v>
      </c>
      <c r="B241" s="15"/>
      <c r="C241" s="11" t="s">
        <v>84</v>
      </c>
      <c r="D241" s="32" t="s">
        <v>232</v>
      </c>
      <c r="E241" s="36" t="s">
        <v>233</v>
      </c>
      <c r="F241" s="35" t="s">
        <v>363</v>
      </c>
      <c r="G241" s="32" t="s">
        <v>31</v>
      </c>
      <c r="H241" s="12" t="s">
        <v>32</v>
      </c>
      <c r="I241" s="14">
        <v>105000</v>
      </c>
      <c r="J241" s="14">
        <v>3466176000</v>
      </c>
    </row>
    <row r="242" spans="1:10" hidden="1" x14ac:dyDescent="0.35">
      <c r="A242" s="15">
        <v>5</v>
      </c>
      <c r="B242" s="15"/>
      <c r="C242" s="11" t="s">
        <v>14</v>
      </c>
      <c r="D242" s="32" t="s">
        <v>137</v>
      </c>
      <c r="E242" s="13" t="s">
        <v>138</v>
      </c>
      <c r="F242" s="31" t="s">
        <v>366</v>
      </c>
      <c r="G242" s="32" t="s">
        <v>105</v>
      </c>
      <c r="H242" s="12" t="s">
        <v>106</v>
      </c>
      <c r="I242" s="14">
        <v>15750</v>
      </c>
      <c r="J242" s="14">
        <v>244125000</v>
      </c>
    </row>
    <row r="243" spans="1:10" hidden="1" x14ac:dyDescent="0.35">
      <c r="A243" s="15">
        <v>5</v>
      </c>
      <c r="B243" s="15"/>
      <c r="C243" s="11" t="s">
        <v>14</v>
      </c>
      <c r="D243" s="32" t="s">
        <v>137</v>
      </c>
      <c r="E243" s="13" t="s">
        <v>138</v>
      </c>
      <c r="F243" s="31" t="s">
        <v>366</v>
      </c>
      <c r="G243" s="32" t="s">
        <v>119</v>
      </c>
      <c r="H243" s="12" t="s">
        <v>120</v>
      </c>
      <c r="I243" s="14">
        <v>10500</v>
      </c>
      <c r="J243" s="14">
        <v>162750000</v>
      </c>
    </row>
    <row r="244" spans="1:10" hidden="1" x14ac:dyDescent="0.35">
      <c r="A244" s="15">
        <v>5</v>
      </c>
      <c r="B244" s="15"/>
      <c r="C244" s="11" t="s">
        <v>14</v>
      </c>
      <c r="D244" s="32" t="s">
        <v>107</v>
      </c>
      <c r="E244" s="13" t="s">
        <v>108</v>
      </c>
      <c r="F244" s="35" t="s">
        <v>363</v>
      </c>
      <c r="G244" s="32" t="s">
        <v>31</v>
      </c>
      <c r="H244" s="12" t="s">
        <v>32</v>
      </c>
      <c r="I244" s="14">
        <v>11000</v>
      </c>
      <c r="J244" s="14">
        <v>373786600</v>
      </c>
    </row>
    <row r="245" spans="1:10" hidden="1" x14ac:dyDescent="0.35">
      <c r="A245" s="15">
        <v>5</v>
      </c>
      <c r="B245" s="15"/>
      <c r="C245" s="11" t="s">
        <v>84</v>
      </c>
      <c r="D245" s="32" t="s">
        <v>240</v>
      </c>
      <c r="E245" s="36" t="s">
        <v>241</v>
      </c>
      <c r="F245" s="35" t="s">
        <v>363</v>
      </c>
      <c r="G245" s="32" t="s">
        <v>31</v>
      </c>
      <c r="H245" s="12" t="s">
        <v>32</v>
      </c>
      <c r="I245" s="14">
        <v>22000</v>
      </c>
      <c r="J245" s="14">
        <v>779845000</v>
      </c>
    </row>
    <row r="246" spans="1:10" hidden="1" x14ac:dyDescent="0.35">
      <c r="A246" s="15">
        <v>5</v>
      </c>
      <c r="B246" s="15"/>
      <c r="C246" s="11" t="s">
        <v>14</v>
      </c>
      <c r="D246" s="32" t="s">
        <v>66</v>
      </c>
      <c r="E246" s="13" t="s">
        <v>67</v>
      </c>
      <c r="F246" s="31" t="s">
        <v>366</v>
      </c>
      <c r="G246" s="32" t="s">
        <v>68</v>
      </c>
      <c r="H246" s="12" t="s">
        <v>69</v>
      </c>
      <c r="I246" s="14">
        <v>33000</v>
      </c>
      <c r="J246" s="14">
        <v>1068237500</v>
      </c>
    </row>
    <row r="247" spans="1:10" hidden="1" x14ac:dyDescent="0.35">
      <c r="A247" s="15">
        <v>5</v>
      </c>
      <c r="B247" s="15"/>
      <c r="C247" s="11" t="s">
        <v>84</v>
      </c>
      <c r="D247" s="32" t="s">
        <v>242</v>
      </c>
      <c r="E247" s="36" t="s">
        <v>243</v>
      </c>
      <c r="F247" s="35" t="s">
        <v>363</v>
      </c>
      <c r="G247" s="32" t="s">
        <v>17</v>
      </c>
      <c r="H247" s="12" t="s">
        <v>18</v>
      </c>
      <c r="I247" s="14">
        <v>22000</v>
      </c>
      <c r="J247" s="14">
        <v>737880000</v>
      </c>
    </row>
    <row r="248" spans="1:10" hidden="1" x14ac:dyDescent="0.35">
      <c r="A248" s="15">
        <v>5</v>
      </c>
      <c r="B248" s="15"/>
      <c r="C248" s="11" t="s">
        <v>84</v>
      </c>
      <c r="D248" s="32" t="s">
        <v>85</v>
      </c>
      <c r="E248" s="36" t="s">
        <v>86</v>
      </c>
      <c r="F248" s="35" t="s">
        <v>363</v>
      </c>
      <c r="G248" s="32" t="s">
        <v>17</v>
      </c>
      <c r="H248" s="12" t="s">
        <v>18</v>
      </c>
      <c r="I248" s="14">
        <v>1320000</v>
      </c>
      <c r="J248" s="14">
        <v>41547236590</v>
      </c>
    </row>
    <row r="249" spans="1:10" hidden="1" x14ac:dyDescent="0.35">
      <c r="A249" s="15">
        <v>5</v>
      </c>
      <c r="B249" s="15"/>
      <c r="C249" s="11" t="s">
        <v>14</v>
      </c>
      <c r="D249" s="32" t="s">
        <v>210</v>
      </c>
      <c r="E249" s="13" t="s">
        <v>211</v>
      </c>
      <c r="F249" s="35" t="s">
        <v>244</v>
      </c>
      <c r="G249" s="32" t="s">
        <v>245</v>
      </c>
      <c r="H249" s="12" t="s">
        <v>246</v>
      </c>
      <c r="I249" s="14">
        <v>3839</v>
      </c>
      <c r="J249" s="14">
        <v>56874074</v>
      </c>
    </row>
    <row r="250" spans="1:10" hidden="1" x14ac:dyDescent="0.35">
      <c r="A250" s="15">
        <v>5</v>
      </c>
      <c r="B250" s="15"/>
      <c r="C250" s="11" t="s">
        <v>14</v>
      </c>
      <c r="D250" s="32" t="s">
        <v>78</v>
      </c>
      <c r="E250" s="13" t="s">
        <v>79</v>
      </c>
      <c r="F250" s="31" t="s">
        <v>366</v>
      </c>
      <c r="G250" s="32" t="s">
        <v>80</v>
      </c>
      <c r="H250" s="12" t="s">
        <v>81</v>
      </c>
      <c r="I250" s="14">
        <v>14250</v>
      </c>
      <c r="J250" s="14">
        <v>221944445</v>
      </c>
    </row>
    <row r="251" spans="1:10" hidden="1" x14ac:dyDescent="0.35">
      <c r="A251" s="15">
        <v>5</v>
      </c>
      <c r="B251" s="15"/>
      <c r="C251" s="11" t="s">
        <v>14</v>
      </c>
      <c r="D251" s="32" t="s">
        <v>78</v>
      </c>
      <c r="E251" s="13" t="s">
        <v>79</v>
      </c>
      <c r="F251" s="31" t="s">
        <v>366</v>
      </c>
      <c r="G251" s="32" t="s">
        <v>82</v>
      </c>
      <c r="H251" s="12" t="s">
        <v>83</v>
      </c>
      <c r="I251" s="14">
        <v>3000</v>
      </c>
      <c r="J251" s="14">
        <v>45000000</v>
      </c>
    </row>
    <row r="252" spans="1:10" hidden="1" x14ac:dyDescent="0.35">
      <c r="A252" s="15">
        <v>5</v>
      </c>
      <c r="B252" s="15"/>
      <c r="C252" s="11" t="s">
        <v>84</v>
      </c>
      <c r="D252" s="32" t="s">
        <v>147</v>
      </c>
      <c r="E252" s="36" t="s">
        <v>148</v>
      </c>
      <c r="F252" s="35" t="s">
        <v>363</v>
      </c>
      <c r="G252" s="32" t="s">
        <v>31</v>
      </c>
      <c r="H252" s="12" t="s">
        <v>32</v>
      </c>
      <c r="I252" s="14">
        <v>880000</v>
      </c>
      <c r="J252" s="14">
        <v>28355250000</v>
      </c>
    </row>
    <row r="253" spans="1:10" hidden="1" x14ac:dyDescent="0.35">
      <c r="A253" s="15">
        <v>5</v>
      </c>
      <c r="B253" s="15"/>
      <c r="C253" s="11" t="s">
        <v>14</v>
      </c>
      <c r="D253" s="32" t="s">
        <v>62</v>
      </c>
      <c r="E253" s="13" t="s">
        <v>63</v>
      </c>
      <c r="F253" s="35" t="s">
        <v>363</v>
      </c>
      <c r="G253" s="32" t="s">
        <v>17</v>
      </c>
      <c r="H253" s="12" t="s">
        <v>18</v>
      </c>
      <c r="I253" s="14">
        <v>64900</v>
      </c>
      <c r="J253" s="14">
        <v>2106692500</v>
      </c>
    </row>
    <row r="254" spans="1:10" hidden="1" x14ac:dyDescent="0.35">
      <c r="A254" s="15">
        <v>5</v>
      </c>
      <c r="B254" s="15"/>
      <c r="C254" s="11" t="s">
        <v>84</v>
      </c>
      <c r="D254" s="32" t="s">
        <v>198</v>
      </c>
      <c r="E254" s="36" t="s">
        <v>199</v>
      </c>
      <c r="F254" s="35" t="s">
        <v>363</v>
      </c>
      <c r="G254" s="32" t="s">
        <v>17</v>
      </c>
      <c r="H254" s="12" t="s">
        <v>18</v>
      </c>
      <c r="I254" s="14">
        <v>66000</v>
      </c>
      <c r="J254" s="14">
        <v>2129023050</v>
      </c>
    </row>
    <row r="255" spans="1:10" hidden="1" x14ac:dyDescent="0.35">
      <c r="A255" s="15">
        <v>5</v>
      </c>
      <c r="B255" s="15"/>
      <c r="C255" s="11" t="s">
        <v>84</v>
      </c>
      <c r="D255" s="32" t="s">
        <v>198</v>
      </c>
      <c r="E255" s="36" t="s">
        <v>199</v>
      </c>
      <c r="F255" s="35" t="s">
        <v>363</v>
      </c>
      <c r="G255" s="32" t="s">
        <v>17</v>
      </c>
      <c r="H255" s="12" t="s">
        <v>18</v>
      </c>
      <c r="I255" s="14">
        <v>22000</v>
      </c>
      <c r="J255" s="14">
        <v>708391530</v>
      </c>
    </row>
    <row r="256" spans="1:10" hidden="1" x14ac:dyDescent="0.35">
      <c r="A256" s="15">
        <v>5</v>
      </c>
      <c r="B256" s="15"/>
      <c r="C256" s="11" t="s">
        <v>14</v>
      </c>
      <c r="D256" s="32" t="s">
        <v>57</v>
      </c>
      <c r="E256" s="13" t="s">
        <v>349</v>
      </c>
      <c r="F256" s="35" t="s">
        <v>363</v>
      </c>
      <c r="G256" s="32" t="s">
        <v>21</v>
      </c>
      <c r="H256" s="12" t="s">
        <v>22</v>
      </c>
      <c r="I256" s="14">
        <v>44000</v>
      </c>
      <c r="J256" s="14">
        <v>1581964846</v>
      </c>
    </row>
    <row r="257" spans="1:10" hidden="1" x14ac:dyDescent="0.35">
      <c r="A257" s="15">
        <v>5</v>
      </c>
      <c r="B257" s="15"/>
      <c r="C257" s="11" t="s">
        <v>14</v>
      </c>
      <c r="D257" s="32" t="s">
        <v>37</v>
      </c>
      <c r="E257" s="13" t="s">
        <v>348</v>
      </c>
      <c r="F257" s="35" t="s">
        <v>363</v>
      </c>
      <c r="G257" s="32" t="s">
        <v>21</v>
      </c>
      <c r="H257" s="12" t="s">
        <v>22</v>
      </c>
      <c r="I257" s="14">
        <v>-40039.699999999997</v>
      </c>
      <c r="J257" s="14">
        <v>-1404515849</v>
      </c>
    </row>
    <row r="258" spans="1:10" hidden="1" x14ac:dyDescent="0.35">
      <c r="A258" s="15">
        <v>5</v>
      </c>
      <c r="B258" s="15"/>
      <c r="C258" s="11" t="s">
        <v>14</v>
      </c>
      <c r="D258" s="32" t="s">
        <v>33</v>
      </c>
      <c r="E258" s="13" t="s">
        <v>34</v>
      </c>
      <c r="F258" s="35" t="s">
        <v>363</v>
      </c>
      <c r="G258" s="32" t="s">
        <v>21</v>
      </c>
      <c r="H258" s="12" t="s">
        <v>22</v>
      </c>
      <c r="I258" s="14">
        <v>330000</v>
      </c>
      <c r="J258" s="14">
        <v>11904220416</v>
      </c>
    </row>
    <row r="259" spans="1:10" hidden="1" x14ac:dyDescent="0.35">
      <c r="A259" s="15">
        <v>5</v>
      </c>
      <c r="B259" s="15"/>
      <c r="C259" s="11" t="s">
        <v>14</v>
      </c>
      <c r="D259" s="32" t="s">
        <v>208</v>
      </c>
      <c r="E259" s="13" t="s">
        <v>209</v>
      </c>
      <c r="F259" s="35" t="s">
        <v>363</v>
      </c>
      <c r="G259" s="32" t="s">
        <v>135</v>
      </c>
      <c r="H259" s="12" t="s">
        <v>136</v>
      </c>
      <c r="I259" s="14">
        <v>11000</v>
      </c>
      <c r="J259" s="14">
        <v>339946200</v>
      </c>
    </row>
    <row r="260" spans="1:10" x14ac:dyDescent="0.35">
      <c r="A260" s="15">
        <v>5</v>
      </c>
      <c r="B260" s="28" t="s">
        <v>2</v>
      </c>
      <c r="C260" s="11" t="s">
        <v>14</v>
      </c>
      <c r="D260" s="32" t="s">
        <v>45</v>
      </c>
      <c r="E260" s="13" t="s">
        <v>46</v>
      </c>
      <c r="F260" s="31" t="s">
        <v>366</v>
      </c>
      <c r="G260" s="32" t="s">
        <v>43</v>
      </c>
      <c r="H260" s="12" t="s">
        <v>44</v>
      </c>
      <c r="I260" s="14">
        <v>77000</v>
      </c>
      <c r="J260" s="14">
        <v>2666317500</v>
      </c>
    </row>
    <row r="261" spans="1:10" hidden="1" x14ac:dyDescent="0.35">
      <c r="A261" s="15">
        <v>5</v>
      </c>
      <c r="B261" s="28" t="s">
        <v>2</v>
      </c>
      <c r="C261" s="11" t="s">
        <v>14</v>
      </c>
      <c r="D261" s="32" t="s">
        <v>45</v>
      </c>
      <c r="E261" s="13" t="s">
        <v>46</v>
      </c>
      <c r="F261" s="35" t="s">
        <v>363</v>
      </c>
      <c r="G261" s="32" t="s">
        <v>17</v>
      </c>
      <c r="H261" s="12" t="s">
        <v>18</v>
      </c>
      <c r="I261" s="14">
        <v>22000</v>
      </c>
      <c r="J261" s="14">
        <v>705386000</v>
      </c>
    </row>
    <row r="262" spans="1:10" x14ac:dyDescent="0.35">
      <c r="A262" s="15">
        <v>5</v>
      </c>
      <c r="B262" s="28" t="s">
        <v>2</v>
      </c>
      <c r="C262" s="11" t="s">
        <v>14</v>
      </c>
      <c r="D262" s="32" t="s">
        <v>45</v>
      </c>
      <c r="E262" s="13" t="s">
        <v>46</v>
      </c>
      <c r="F262" s="31" t="s">
        <v>366</v>
      </c>
      <c r="G262" s="32" t="s">
        <v>49</v>
      </c>
      <c r="H262" s="12" t="s">
        <v>50</v>
      </c>
      <c r="I262" s="14">
        <v>5500</v>
      </c>
      <c r="J262" s="14">
        <v>183397500</v>
      </c>
    </row>
    <row r="263" spans="1:10" x14ac:dyDescent="0.35">
      <c r="A263" s="15">
        <v>5</v>
      </c>
      <c r="B263" s="28" t="s">
        <v>2</v>
      </c>
      <c r="C263" s="11" t="s">
        <v>14</v>
      </c>
      <c r="D263" s="32" t="s">
        <v>45</v>
      </c>
      <c r="E263" s="13" t="s">
        <v>46</v>
      </c>
      <c r="F263" s="31" t="s">
        <v>366</v>
      </c>
      <c r="G263" s="32" t="s">
        <v>51</v>
      </c>
      <c r="H263" s="12" t="s">
        <v>52</v>
      </c>
      <c r="I263" s="14">
        <v>33000</v>
      </c>
      <c r="J263" s="14">
        <v>1100385000</v>
      </c>
    </row>
    <row r="264" spans="1:10" x14ac:dyDescent="0.35">
      <c r="A264" s="15">
        <v>5</v>
      </c>
      <c r="B264" s="28" t="s">
        <v>2</v>
      </c>
      <c r="C264" s="11" t="s">
        <v>14</v>
      </c>
      <c r="D264" s="32" t="s">
        <v>45</v>
      </c>
      <c r="E264" s="13" t="s">
        <v>46</v>
      </c>
      <c r="F264" s="31" t="s">
        <v>366</v>
      </c>
      <c r="G264" s="32" t="s">
        <v>53</v>
      </c>
      <c r="H264" s="12" t="s">
        <v>54</v>
      </c>
      <c r="I264" s="14">
        <v>11000</v>
      </c>
      <c r="J264" s="14">
        <v>380902500</v>
      </c>
    </row>
    <row r="265" spans="1:10" hidden="1" x14ac:dyDescent="0.35">
      <c r="A265" s="15">
        <v>5</v>
      </c>
      <c r="B265" s="28" t="s">
        <v>2</v>
      </c>
      <c r="C265" s="11" t="s">
        <v>14</v>
      </c>
      <c r="D265" s="32" t="s">
        <v>23</v>
      </c>
      <c r="E265" s="13" t="s">
        <v>24</v>
      </c>
      <c r="F265" s="35" t="s">
        <v>363</v>
      </c>
      <c r="G265" s="32" t="s">
        <v>17</v>
      </c>
      <c r="H265" s="12" t="s">
        <v>18</v>
      </c>
      <c r="I265" s="14">
        <v>88000</v>
      </c>
      <c r="J265" s="14">
        <v>2821544000</v>
      </c>
    </row>
    <row r="266" spans="1:10" hidden="1" x14ac:dyDescent="0.35">
      <c r="A266" s="15">
        <v>5</v>
      </c>
      <c r="B266" s="28" t="s">
        <v>2</v>
      </c>
      <c r="C266" s="11" t="s">
        <v>14</v>
      </c>
      <c r="D266" s="32" t="s">
        <v>23</v>
      </c>
      <c r="E266" s="13" t="s">
        <v>24</v>
      </c>
      <c r="F266" s="35" t="s">
        <v>363</v>
      </c>
      <c r="G266" s="32" t="s">
        <v>17</v>
      </c>
      <c r="H266" s="12" t="s">
        <v>18</v>
      </c>
      <c r="I266" s="14">
        <v>132000</v>
      </c>
      <c r="J266" s="14">
        <v>4232316000</v>
      </c>
    </row>
    <row r="267" spans="1:10" hidden="1" x14ac:dyDescent="0.35">
      <c r="A267" s="15">
        <v>5</v>
      </c>
      <c r="B267" s="15"/>
      <c r="C267" s="11" t="s">
        <v>84</v>
      </c>
      <c r="D267" s="32" t="s">
        <v>157</v>
      </c>
      <c r="E267" s="36" t="s">
        <v>158</v>
      </c>
      <c r="F267" s="35" t="s">
        <v>363</v>
      </c>
      <c r="G267" s="32" t="s">
        <v>31</v>
      </c>
      <c r="H267" s="12" t="s">
        <v>32</v>
      </c>
      <c r="I267" s="14">
        <v>440000</v>
      </c>
      <c r="J267" s="14">
        <v>14783922120</v>
      </c>
    </row>
    <row r="268" spans="1:10" hidden="1" x14ac:dyDescent="0.35">
      <c r="A268" s="15">
        <v>6</v>
      </c>
      <c r="B268" s="15"/>
      <c r="C268" s="11" t="s">
        <v>84</v>
      </c>
      <c r="D268" s="12" t="s">
        <v>247</v>
      </c>
      <c r="E268" s="13" t="s">
        <v>248</v>
      </c>
      <c r="F268" s="35" t="s">
        <v>363</v>
      </c>
      <c r="G268" s="12" t="s">
        <v>135</v>
      </c>
      <c r="H268" s="12" t="s">
        <v>136</v>
      </c>
      <c r="I268" s="14">
        <v>22000</v>
      </c>
      <c r="J268" s="14">
        <v>656282000</v>
      </c>
    </row>
    <row r="269" spans="1:10" hidden="1" x14ac:dyDescent="0.35">
      <c r="A269" s="15">
        <v>6</v>
      </c>
      <c r="B269" s="15"/>
      <c r="C269" s="11" t="s">
        <v>14</v>
      </c>
      <c r="D269" s="12" t="s">
        <v>70</v>
      </c>
      <c r="E269" s="13" t="s">
        <v>71</v>
      </c>
      <c r="F269" s="35" t="s">
        <v>363</v>
      </c>
      <c r="G269" s="12" t="s">
        <v>17</v>
      </c>
      <c r="H269" s="12" t="s">
        <v>18</v>
      </c>
      <c r="I269" s="14">
        <v>4400</v>
      </c>
      <c r="J269" s="14">
        <v>146527773</v>
      </c>
    </row>
    <row r="270" spans="1:10" hidden="1" x14ac:dyDescent="0.35">
      <c r="A270" s="15">
        <v>6</v>
      </c>
      <c r="B270" s="15"/>
      <c r="C270" s="11" t="s">
        <v>84</v>
      </c>
      <c r="D270" s="12">
        <v>200387</v>
      </c>
      <c r="E270" s="13" t="s">
        <v>249</v>
      </c>
      <c r="F270" s="35" t="s">
        <v>364</v>
      </c>
      <c r="G270" s="12" t="s">
        <v>117</v>
      </c>
      <c r="H270" s="12" t="s">
        <v>118</v>
      </c>
      <c r="I270" s="14">
        <v>21000</v>
      </c>
      <c r="J270" s="14">
        <v>441544110</v>
      </c>
    </row>
    <row r="271" spans="1:10" hidden="1" x14ac:dyDescent="0.35">
      <c r="A271" s="15">
        <v>6</v>
      </c>
      <c r="B271" s="15"/>
      <c r="C271" s="11" t="s">
        <v>14</v>
      </c>
      <c r="D271" s="12" t="s">
        <v>167</v>
      </c>
      <c r="E271" s="13" t="s">
        <v>168</v>
      </c>
      <c r="F271" s="35" t="s">
        <v>363</v>
      </c>
      <c r="G271" s="12" t="s">
        <v>21</v>
      </c>
      <c r="H271" s="12" t="s">
        <v>22</v>
      </c>
      <c r="I271" s="14">
        <v>88000</v>
      </c>
      <c r="J271" s="14">
        <v>3243416000</v>
      </c>
    </row>
    <row r="272" spans="1:10" hidden="1" x14ac:dyDescent="0.35">
      <c r="A272" s="15">
        <v>6</v>
      </c>
      <c r="B272" s="15"/>
      <c r="C272" s="11" t="s">
        <v>14</v>
      </c>
      <c r="D272" s="12" t="s">
        <v>29</v>
      </c>
      <c r="E272" s="13" t="s">
        <v>30</v>
      </c>
      <c r="F272" s="35" t="s">
        <v>363</v>
      </c>
      <c r="G272" s="12" t="s">
        <v>21</v>
      </c>
      <c r="H272" s="12" t="s">
        <v>22</v>
      </c>
      <c r="I272" s="14">
        <v>2789.2</v>
      </c>
      <c r="J272" s="14">
        <v>100563818</v>
      </c>
    </row>
    <row r="273" spans="1:10" hidden="1" x14ac:dyDescent="0.35">
      <c r="A273" s="15">
        <v>6</v>
      </c>
      <c r="B273" s="15"/>
      <c r="C273" s="11" t="s">
        <v>14</v>
      </c>
      <c r="D273" s="12" t="s">
        <v>29</v>
      </c>
      <c r="E273" s="13" t="s">
        <v>30</v>
      </c>
      <c r="F273" s="35" t="s">
        <v>363</v>
      </c>
      <c r="G273" s="12" t="s">
        <v>31</v>
      </c>
      <c r="H273" s="12" t="s">
        <v>32</v>
      </c>
      <c r="I273" s="14">
        <v>-589.20000000000005</v>
      </c>
      <c r="J273" s="14">
        <v>-20719218</v>
      </c>
    </row>
    <row r="274" spans="1:10" hidden="1" x14ac:dyDescent="0.35">
      <c r="A274" s="15">
        <v>6</v>
      </c>
      <c r="B274" s="15"/>
      <c r="C274" s="11" t="s">
        <v>14</v>
      </c>
      <c r="D274" s="12" t="s">
        <v>15</v>
      </c>
      <c r="E274" s="13" t="s">
        <v>16</v>
      </c>
      <c r="F274" s="31" t="s">
        <v>366</v>
      </c>
      <c r="G274" s="12" t="s">
        <v>49</v>
      </c>
      <c r="H274" s="12" t="s">
        <v>50</v>
      </c>
      <c r="I274" s="14">
        <v>5500</v>
      </c>
      <c r="J274" s="14">
        <v>183397500</v>
      </c>
    </row>
    <row r="275" spans="1:10" hidden="1" x14ac:dyDescent="0.35">
      <c r="A275" s="15">
        <v>6</v>
      </c>
      <c r="B275" s="15"/>
      <c r="C275" s="11" t="s">
        <v>14</v>
      </c>
      <c r="D275" s="12" t="s">
        <v>15</v>
      </c>
      <c r="E275" s="13" t="s">
        <v>16</v>
      </c>
      <c r="F275" s="31" t="s">
        <v>366</v>
      </c>
      <c r="G275" s="12" t="s">
        <v>175</v>
      </c>
      <c r="H275" s="12" t="s">
        <v>176</v>
      </c>
      <c r="I275" s="14">
        <v>350</v>
      </c>
      <c r="J275" s="14">
        <v>11985649</v>
      </c>
    </row>
    <row r="276" spans="1:10" hidden="1" x14ac:dyDescent="0.35">
      <c r="A276" s="15">
        <v>6</v>
      </c>
      <c r="B276" s="15"/>
      <c r="C276" s="11" t="s">
        <v>14</v>
      </c>
      <c r="D276" s="12" t="s">
        <v>15</v>
      </c>
      <c r="E276" s="13" t="s">
        <v>16</v>
      </c>
      <c r="F276" s="31" t="s">
        <v>366</v>
      </c>
      <c r="G276" s="12" t="s">
        <v>95</v>
      </c>
      <c r="H276" s="12" t="s">
        <v>96</v>
      </c>
      <c r="I276" s="14">
        <v>1375</v>
      </c>
      <c r="J276" s="14">
        <v>27500000</v>
      </c>
    </row>
    <row r="277" spans="1:10" hidden="1" x14ac:dyDescent="0.35">
      <c r="A277" s="15">
        <v>6</v>
      </c>
      <c r="B277" s="15"/>
      <c r="C277" s="11" t="s">
        <v>14</v>
      </c>
      <c r="D277" s="12" t="s">
        <v>15</v>
      </c>
      <c r="E277" s="13" t="s">
        <v>16</v>
      </c>
      <c r="F277" s="31" t="s">
        <v>366</v>
      </c>
      <c r="G277" s="12" t="s">
        <v>47</v>
      </c>
      <c r="H277" s="12" t="s">
        <v>48</v>
      </c>
      <c r="I277" s="14">
        <v>16500</v>
      </c>
      <c r="J277" s="14">
        <v>330000000</v>
      </c>
    </row>
    <row r="278" spans="1:10" hidden="1" x14ac:dyDescent="0.35">
      <c r="A278" s="15">
        <v>6</v>
      </c>
      <c r="B278" s="15"/>
      <c r="C278" s="11" t="s">
        <v>14</v>
      </c>
      <c r="D278" s="12" t="s">
        <v>15</v>
      </c>
      <c r="E278" s="13" t="s">
        <v>16</v>
      </c>
      <c r="F278" s="35" t="s">
        <v>363</v>
      </c>
      <c r="G278" s="12" t="s">
        <v>17</v>
      </c>
      <c r="H278" s="12" t="s">
        <v>18</v>
      </c>
      <c r="I278" s="14">
        <v>22000</v>
      </c>
      <c r="J278" s="14">
        <v>719675000</v>
      </c>
    </row>
    <row r="279" spans="1:10" hidden="1" x14ac:dyDescent="0.35">
      <c r="A279" s="15">
        <v>6</v>
      </c>
      <c r="B279" s="15"/>
      <c r="C279" s="11" t="s">
        <v>84</v>
      </c>
      <c r="D279" s="12" t="s">
        <v>250</v>
      </c>
      <c r="E279" s="13" t="s">
        <v>251</v>
      </c>
      <c r="F279" s="35" t="s">
        <v>363</v>
      </c>
      <c r="G279" s="12" t="s">
        <v>135</v>
      </c>
      <c r="H279" s="12" t="s">
        <v>136</v>
      </c>
      <c r="I279" s="14">
        <v>220000</v>
      </c>
      <c r="J279" s="14">
        <v>6051540000</v>
      </c>
    </row>
    <row r="280" spans="1:10" x14ac:dyDescent="0.35">
      <c r="A280" s="15">
        <v>6</v>
      </c>
      <c r="B280" s="28" t="s">
        <v>2</v>
      </c>
      <c r="C280" s="11" t="s">
        <v>14</v>
      </c>
      <c r="D280" s="12" t="s">
        <v>41</v>
      </c>
      <c r="E280" s="13" t="s">
        <v>42</v>
      </c>
      <c r="F280" s="31" t="s">
        <v>366</v>
      </c>
      <c r="G280" s="12" t="s">
        <v>43</v>
      </c>
      <c r="H280" s="12" t="s">
        <v>44</v>
      </c>
      <c r="I280" s="14">
        <v>24750</v>
      </c>
      <c r="J280" s="14">
        <v>877041000</v>
      </c>
    </row>
    <row r="281" spans="1:10" hidden="1" x14ac:dyDescent="0.35">
      <c r="A281" s="15">
        <v>6</v>
      </c>
      <c r="B281" s="15"/>
      <c r="C281" s="11" t="s">
        <v>14</v>
      </c>
      <c r="D281" s="12" t="s">
        <v>115</v>
      </c>
      <c r="E281" s="13" t="s">
        <v>116</v>
      </c>
      <c r="F281" s="35" t="s">
        <v>364</v>
      </c>
      <c r="G281" s="12" t="s">
        <v>117</v>
      </c>
      <c r="H281" s="12" t="s">
        <v>118</v>
      </c>
      <c r="I281" s="14">
        <v>5500</v>
      </c>
      <c r="J281" s="14">
        <v>90750000</v>
      </c>
    </row>
    <row r="282" spans="1:10" hidden="1" x14ac:dyDescent="0.35">
      <c r="A282" s="15">
        <v>6</v>
      </c>
      <c r="B282" s="15"/>
      <c r="C282" s="11" t="s">
        <v>14</v>
      </c>
      <c r="D282" s="12" t="s">
        <v>179</v>
      </c>
      <c r="E282" s="13" t="s">
        <v>180</v>
      </c>
      <c r="F282" s="31" t="s">
        <v>366</v>
      </c>
      <c r="G282" s="12" t="s">
        <v>97</v>
      </c>
      <c r="H282" s="12" t="s">
        <v>98</v>
      </c>
      <c r="I282" s="14">
        <v>5500</v>
      </c>
      <c r="J282" s="14">
        <v>99305556</v>
      </c>
    </row>
    <row r="283" spans="1:10" hidden="1" x14ac:dyDescent="0.35">
      <c r="A283" s="15">
        <v>6</v>
      </c>
      <c r="B283" s="15"/>
      <c r="C283" s="11" t="s">
        <v>14</v>
      </c>
      <c r="D283" s="12" t="s">
        <v>179</v>
      </c>
      <c r="E283" s="13" t="s">
        <v>180</v>
      </c>
      <c r="F283" s="31" t="s">
        <v>366</v>
      </c>
      <c r="G283" s="12" t="s">
        <v>80</v>
      </c>
      <c r="H283" s="12" t="s">
        <v>81</v>
      </c>
      <c r="I283" s="14">
        <v>4500</v>
      </c>
      <c r="J283" s="14">
        <v>75000000</v>
      </c>
    </row>
    <row r="284" spans="1:10" hidden="1" x14ac:dyDescent="0.35">
      <c r="A284" s="15">
        <v>6</v>
      </c>
      <c r="B284" s="15"/>
      <c r="C284" s="11" t="s">
        <v>84</v>
      </c>
      <c r="D284" s="12" t="s">
        <v>252</v>
      </c>
      <c r="E284" s="13" t="s">
        <v>253</v>
      </c>
      <c r="F284" s="35" t="s">
        <v>363</v>
      </c>
      <c r="G284" s="12" t="s">
        <v>21</v>
      </c>
      <c r="H284" s="12" t="s">
        <v>22</v>
      </c>
      <c r="I284" s="14">
        <v>22000</v>
      </c>
      <c r="J284" s="14">
        <v>847946880</v>
      </c>
    </row>
    <row r="285" spans="1:10" hidden="1" x14ac:dyDescent="0.35">
      <c r="A285" s="15">
        <v>6</v>
      </c>
      <c r="B285" s="15"/>
      <c r="C285" s="11" t="s">
        <v>14</v>
      </c>
      <c r="D285" s="12" t="s">
        <v>185</v>
      </c>
      <c r="E285" s="13" t="s">
        <v>186</v>
      </c>
      <c r="F285" s="31" t="s">
        <v>366</v>
      </c>
      <c r="G285" s="12" t="s">
        <v>216</v>
      </c>
      <c r="H285" s="12" t="s">
        <v>217</v>
      </c>
      <c r="I285" s="14">
        <v>33000</v>
      </c>
      <c r="J285" s="14">
        <v>628833333</v>
      </c>
    </row>
    <row r="286" spans="1:10" hidden="1" x14ac:dyDescent="0.35">
      <c r="A286" s="15">
        <v>6</v>
      </c>
      <c r="B286" s="15"/>
      <c r="C286" s="11" t="s">
        <v>14</v>
      </c>
      <c r="D286" s="12" t="s">
        <v>185</v>
      </c>
      <c r="E286" s="13" t="s">
        <v>186</v>
      </c>
      <c r="F286" s="31" t="s">
        <v>366</v>
      </c>
      <c r="G286" s="12" t="s">
        <v>196</v>
      </c>
      <c r="H286" s="12" t="s">
        <v>197</v>
      </c>
      <c r="I286" s="14">
        <v>28000</v>
      </c>
      <c r="J286" s="14">
        <v>362962961</v>
      </c>
    </row>
    <row r="287" spans="1:10" hidden="1" x14ac:dyDescent="0.35">
      <c r="A287" s="15">
        <v>6</v>
      </c>
      <c r="B287" s="15"/>
      <c r="C287" s="11" t="s">
        <v>14</v>
      </c>
      <c r="D287" s="12" t="s">
        <v>185</v>
      </c>
      <c r="E287" s="13" t="s">
        <v>186</v>
      </c>
      <c r="F287" s="31" t="s">
        <v>366</v>
      </c>
      <c r="G287" s="12" t="s">
        <v>80</v>
      </c>
      <c r="H287" s="12" t="s">
        <v>81</v>
      </c>
      <c r="I287" s="14">
        <v>6000</v>
      </c>
      <c r="J287" s="14">
        <v>102777778</v>
      </c>
    </row>
    <row r="288" spans="1:10" hidden="1" x14ac:dyDescent="0.35">
      <c r="A288" s="15">
        <v>6</v>
      </c>
      <c r="B288" s="15"/>
      <c r="C288" s="11" t="s">
        <v>14</v>
      </c>
      <c r="D288" s="12" t="s">
        <v>58</v>
      </c>
      <c r="E288" s="13" t="s">
        <v>59</v>
      </c>
      <c r="F288" s="35" t="s">
        <v>364</v>
      </c>
      <c r="G288" s="12" t="s">
        <v>60</v>
      </c>
      <c r="H288" s="12" t="s">
        <v>191</v>
      </c>
      <c r="I288" s="14">
        <v>10500</v>
      </c>
      <c r="J288" s="14">
        <v>173250000</v>
      </c>
    </row>
    <row r="289" spans="1:10" hidden="1" x14ac:dyDescent="0.35">
      <c r="A289" s="15">
        <v>6</v>
      </c>
      <c r="B289" s="15"/>
      <c r="C289" s="11" t="s">
        <v>14</v>
      </c>
      <c r="D289" s="12" t="s">
        <v>137</v>
      </c>
      <c r="E289" s="13" t="s">
        <v>138</v>
      </c>
      <c r="F289" s="31" t="s">
        <v>366</v>
      </c>
      <c r="G289" s="12" t="s">
        <v>119</v>
      </c>
      <c r="H289" s="12" t="s">
        <v>120</v>
      </c>
      <c r="I289" s="14">
        <v>5250</v>
      </c>
      <c r="J289" s="14">
        <v>81375000</v>
      </c>
    </row>
    <row r="290" spans="1:10" hidden="1" x14ac:dyDescent="0.35">
      <c r="A290" s="15">
        <v>6</v>
      </c>
      <c r="B290" s="15"/>
      <c r="C290" s="11" t="s">
        <v>14</v>
      </c>
      <c r="D290" s="12" t="s">
        <v>137</v>
      </c>
      <c r="E290" s="13" t="s">
        <v>138</v>
      </c>
      <c r="F290" s="31" t="s">
        <v>366</v>
      </c>
      <c r="G290" s="12" t="s">
        <v>105</v>
      </c>
      <c r="H290" s="12" t="s">
        <v>106</v>
      </c>
      <c r="I290" s="14">
        <v>26250</v>
      </c>
      <c r="J290" s="14">
        <v>406875000</v>
      </c>
    </row>
    <row r="291" spans="1:10" hidden="1" x14ac:dyDescent="0.35">
      <c r="A291" s="15">
        <v>6</v>
      </c>
      <c r="B291" s="15"/>
      <c r="C291" s="11" t="s">
        <v>14</v>
      </c>
      <c r="D291" s="12" t="s">
        <v>254</v>
      </c>
      <c r="E291" s="13" t="s">
        <v>255</v>
      </c>
      <c r="F291" s="35" t="s">
        <v>363</v>
      </c>
      <c r="G291" s="12" t="s">
        <v>256</v>
      </c>
      <c r="H291" s="12" t="s">
        <v>257</v>
      </c>
      <c r="I291" s="14">
        <v>500</v>
      </c>
      <c r="J291" s="14">
        <v>16375000</v>
      </c>
    </row>
    <row r="292" spans="1:10" hidden="1" x14ac:dyDescent="0.35">
      <c r="A292" s="15">
        <v>6</v>
      </c>
      <c r="B292" s="15"/>
      <c r="C292" s="11" t="s">
        <v>14</v>
      </c>
      <c r="D292" s="12" t="s">
        <v>107</v>
      </c>
      <c r="E292" s="13" t="s">
        <v>108</v>
      </c>
      <c r="F292" s="35" t="s">
        <v>363</v>
      </c>
      <c r="G292" s="12" t="s">
        <v>31</v>
      </c>
      <c r="H292" s="12" t="s">
        <v>32</v>
      </c>
      <c r="I292" s="14">
        <v>44000</v>
      </c>
      <c r="J292" s="14">
        <v>1495146400</v>
      </c>
    </row>
    <row r="293" spans="1:10" hidden="1" x14ac:dyDescent="0.35">
      <c r="A293" s="15">
        <v>6</v>
      </c>
      <c r="B293" s="15"/>
      <c r="C293" s="11" t="s">
        <v>14</v>
      </c>
      <c r="D293" s="12" t="s">
        <v>66</v>
      </c>
      <c r="E293" s="13" t="s">
        <v>67</v>
      </c>
      <c r="F293" s="31" t="s">
        <v>366</v>
      </c>
      <c r="G293" s="12" t="s">
        <v>68</v>
      </c>
      <c r="H293" s="12" t="s">
        <v>69</v>
      </c>
      <c r="I293" s="14">
        <v>33000</v>
      </c>
      <c r="J293" s="14">
        <v>1078687500</v>
      </c>
    </row>
    <row r="294" spans="1:10" hidden="1" x14ac:dyDescent="0.35">
      <c r="A294" s="15">
        <v>6</v>
      </c>
      <c r="B294" s="15"/>
      <c r="C294" s="11" t="s">
        <v>14</v>
      </c>
      <c r="D294" s="12" t="s">
        <v>72</v>
      </c>
      <c r="E294" s="13" t="s">
        <v>73</v>
      </c>
      <c r="F294" s="35" t="s">
        <v>363</v>
      </c>
      <c r="G294" s="12" t="s">
        <v>17</v>
      </c>
      <c r="H294" s="12" t="s">
        <v>18</v>
      </c>
      <c r="I294" s="14">
        <v>22000</v>
      </c>
      <c r="J294" s="14">
        <v>727425600</v>
      </c>
    </row>
    <row r="295" spans="1:10" hidden="1" x14ac:dyDescent="0.35">
      <c r="A295" s="15">
        <v>6</v>
      </c>
      <c r="B295" s="15"/>
      <c r="C295" s="11" t="s">
        <v>14</v>
      </c>
      <c r="D295" s="12" t="s">
        <v>228</v>
      </c>
      <c r="E295" s="13" t="s">
        <v>229</v>
      </c>
      <c r="F295" s="31" t="s">
        <v>366</v>
      </c>
      <c r="G295" s="12" t="s">
        <v>113</v>
      </c>
      <c r="H295" s="12" t="s">
        <v>114</v>
      </c>
      <c r="I295" s="14">
        <v>28125</v>
      </c>
      <c r="J295" s="14">
        <v>447932292</v>
      </c>
    </row>
    <row r="296" spans="1:10" hidden="1" x14ac:dyDescent="0.35">
      <c r="A296" s="15">
        <v>6</v>
      </c>
      <c r="B296" s="15"/>
      <c r="C296" s="11" t="s">
        <v>14</v>
      </c>
      <c r="D296" s="12" t="s">
        <v>55</v>
      </c>
      <c r="E296" s="13" t="s">
        <v>56</v>
      </c>
      <c r="F296" s="35" t="s">
        <v>363</v>
      </c>
      <c r="G296" s="12" t="s">
        <v>17</v>
      </c>
      <c r="H296" s="12" t="s">
        <v>18</v>
      </c>
      <c r="I296" s="14">
        <v>3300</v>
      </c>
      <c r="J296" s="14">
        <v>107951250</v>
      </c>
    </row>
    <row r="297" spans="1:10" hidden="1" x14ac:dyDescent="0.35">
      <c r="A297" s="15">
        <v>6</v>
      </c>
      <c r="B297" s="15"/>
      <c r="C297" s="11" t="s">
        <v>84</v>
      </c>
      <c r="D297" s="12" t="s">
        <v>85</v>
      </c>
      <c r="E297" s="37" t="s">
        <v>86</v>
      </c>
      <c r="F297" s="35" t="s">
        <v>363</v>
      </c>
      <c r="G297" s="12" t="s">
        <v>17</v>
      </c>
      <c r="H297" s="12" t="s">
        <v>18</v>
      </c>
      <c r="I297" s="14">
        <v>748000</v>
      </c>
      <c r="J297" s="14">
        <v>23730300000</v>
      </c>
    </row>
    <row r="298" spans="1:10" hidden="1" x14ac:dyDescent="0.35">
      <c r="A298" s="15">
        <v>6</v>
      </c>
      <c r="B298" s="15"/>
      <c r="C298" s="11" t="s">
        <v>14</v>
      </c>
      <c r="D298" s="12" t="s">
        <v>258</v>
      </c>
      <c r="E298" s="13" t="s">
        <v>259</v>
      </c>
      <c r="F298" s="35" t="s">
        <v>363</v>
      </c>
      <c r="G298" s="12" t="s">
        <v>31</v>
      </c>
      <c r="H298" s="12" t="s">
        <v>32</v>
      </c>
      <c r="I298" s="14">
        <v>25</v>
      </c>
      <c r="J298" s="14">
        <v>855000</v>
      </c>
    </row>
    <row r="299" spans="1:10" hidden="1" x14ac:dyDescent="0.35">
      <c r="A299" s="15">
        <v>6</v>
      </c>
      <c r="B299" s="15"/>
      <c r="C299" s="11" t="s">
        <v>14</v>
      </c>
      <c r="D299" s="12" t="s">
        <v>258</v>
      </c>
      <c r="E299" s="13" t="s">
        <v>259</v>
      </c>
      <c r="F299" s="35" t="s">
        <v>363</v>
      </c>
      <c r="G299" s="12" t="s">
        <v>17</v>
      </c>
      <c r="H299" s="12" t="s">
        <v>18</v>
      </c>
      <c r="I299" s="14">
        <v>25</v>
      </c>
      <c r="J299" s="14">
        <v>835500</v>
      </c>
    </row>
    <row r="300" spans="1:10" hidden="1" x14ac:dyDescent="0.35">
      <c r="A300" s="15">
        <v>6</v>
      </c>
      <c r="B300" s="15"/>
      <c r="C300" s="11" t="s">
        <v>14</v>
      </c>
      <c r="D300" s="12" t="s">
        <v>78</v>
      </c>
      <c r="E300" s="13" t="s">
        <v>79</v>
      </c>
      <c r="F300" s="31" t="s">
        <v>366</v>
      </c>
      <c r="G300" s="12" t="s">
        <v>80</v>
      </c>
      <c r="H300" s="12" t="s">
        <v>81</v>
      </c>
      <c r="I300" s="14">
        <v>12000</v>
      </c>
      <c r="J300" s="14">
        <v>188888888</v>
      </c>
    </row>
    <row r="301" spans="1:10" hidden="1" x14ac:dyDescent="0.35">
      <c r="A301" s="15">
        <v>6</v>
      </c>
      <c r="B301" s="15"/>
      <c r="C301" s="11" t="s">
        <v>84</v>
      </c>
      <c r="D301" s="12" t="s">
        <v>147</v>
      </c>
      <c r="E301" s="37" t="s">
        <v>148</v>
      </c>
      <c r="F301" s="35" t="s">
        <v>363</v>
      </c>
      <c r="G301" s="12" t="s">
        <v>31</v>
      </c>
      <c r="H301" s="12" t="s">
        <v>32</v>
      </c>
      <c r="I301" s="14">
        <v>880000</v>
      </c>
      <c r="J301" s="14">
        <v>28484500000</v>
      </c>
    </row>
    <row r="302" spans="1:10" hidden="1" x14ac:dyDescent="0.35">
      <c r="A302" s="15">
        <v>6</v>
      </c>
      <c r="B302" s="15"/>
      <c r="C302" s="11" t="s">
        <v>14</v>
      </c>
      <c r="D302" s="12" t="s">
        <v>62</v>
      </c>
      <c r="E302" s="13" t="s">
        <v>63</v>
      </c>
      <c r="F302" s="35" t="s">
        <v>363</v>
      </c>
      <c r="G302" s="12" t="s">
        <v>17</v>
      </c>
      <c r="H302" s="12" t="s">
        <v>18</v>
      </c>
      <c r="I302" s="14">
        <v>66000</v>
      </c>
      <c r="J302" s="14">
        <v>2159025000</v>
      </c>
    </row>
    <row r="303" spans="1:10" hidden="1" x14ac:dyDescent="0.35">
      <c r="A303" s="15">
        <v>6</v>
      </c>
      <c r="B303" s="15"/>
      <c r="C303" s="11" t="s">
        <v>84</v>
      </c>
      <c r="D303" s="12" t="s">
        <v>198</v>
      </c>
      <c r="E303" s="13" t="s">
        <v>199</v>
      </c>
      <c r="F303" s="35" t="s">
        <v>363</v>
      </c>
      <c r="G303" s="12" t="s">
        <v>17</v>
      </c>
      <c r="H303" s="12" t="s">
        <v>18</v>
      </c>
      <c r="I303" s="14">
        <v>22000</v>
      </c>
      <c r="J303" s="14">
        <v>713625000</v>
      </c>
    </row>
    <row r="304" spans="1:10" hidden="1" x14ac:dyDescent="0.35">
      <c r="A304" s="15">
        <v>6</v>
      </c>
      <c r="B304" s="15"/>
      <c r="C304" s="11" t="s">
        <v>84</v>
      </c>
      <c r="D304" s="12" t="s">
        <v>198</v>
      </c>
      <c r="E304" s="13" t="s">
        <v>199</v>
      </c>
      <c r="F304" s="35" t="s">
        <v>363</v>
      </c>
      <c r="G304" s="12" t="s">
        <v>17</v>
      </c>
      <c r="H304" s="12" t="s">
        <v>18</v>
      </c>
      <c r="I304" s="14">
        <v>22000</v>
      </c>
      <c r="J304" s="14">
        <v>713625000</v>
      </c>
    </row>
    <row r="305" spans="1:10" hidden="1" x14ac:dyDescent="0.35">
      <c r="A305" s="15">
        <v>6</v>
      </c>
      <c r="B305" s="15"/>
      <c r="C305" s="11" t="s">
        <v>84</v>
      </c>
      <c r="D305" s="12" t="s">
        <v>155</v>
      </c>
      <c r="E305" s="13" t="s">
        <v>156</v>
      </c>
      <c r="F305" s="35" t="s">
        <v>363</v>
      </c>
      <c r="G305" s="12" t="s">
        <v>135</v>
      </c>
      <c r="H305" s="12" t="s">
        <v>136</v>
      </c>
      <c r="I305" s="14">
        <v>22000</v>
      </c>
      <c r="J305" s="14">
        <v>656282000</v>
      </c>
    </row>
    <row r="306" spans="1:10" hidden="1" x14ac:dyDescent="0.35">
      <c r="A306" s="15">
        <v>6</v>
      </c>
      <c r="B306" s="15"/>
      <c r="C306" s="11" t="s">
        <v>14</v>
      </c>
      <c r="D306" s="12" t="s">
        <v>260</v>
      </c>
      <c r="E306" s="13" t="s">
        <v>261</v>
      </c>
      <c r="F306" s="35" t="s">
        <v>364</v>
      </c>
      <c r="G306" s="12" t="s">
        <v>117</v>
      </c>
      <c r="H306" s="12" t="s">
        <v>118</v>
      </c>
      <c r="I306" s="14">
        <v>46900</v>
      </c>
      <c r="J306" s="14">
        <v>820750000</v>
      </c>
    </row>
    <row r="307" spans="1:10" hidden="1" x14ac:dyDescent="0.35">
      <c r="A307" s="15">
        <v>6</v>
      </c>
      <c r="B307" s="15"/>
      <c r="C307" s="11" t="s">
        <v>84</v>
      </c>
      <c r="D307" s="12" t="s">
        <v>200</v>
      </c>
      <c r="E307" s="37" t="s">
        <v>201</v>
      </c>
      <c r="F307" s="35" t="s">
        <v>365</v>
      </c>
      <c r="G307" s="12" t="s">
        <v>127</v>
      </c>
      <c r="H307" s="12" t="s">
        <v>128</v>
      </c>
      <c r="I307" s="14">
        <v>4000</v>
      </c>
      <c r="J307" s="14">
        <v>111672000</v>
      </c>
    </row>
    <row r="308" spans="1:10" hidden="1" x14ac:dyDescent="0.35">
      <c r="A308" s="15">
        <v>6</v>
      </c>
      <c r="B308" s="15"/>
      <c r="C308" s="11" t="s">
        <v>84</v>
      </c>
      <c r="D308" s="12" t="s">
        <v>200</v>
      </c>
      <c r="E308" s="37" t="s">
        <v>201</v>
      </c>
      <c r="F308" s="35" t="s">
        <v>365</v>
      </c>
      <c r="G308" s="12" t="s">
        <v>204</v>
      </c>
      <c r="H308" s="12" t="s">
        <v>205</v>
      </c>
      <c r="I308" s="14">
        <v>20000</v>
      </c>
      <c r="J308" s="14">
        <v>558360000</v>
      </c>
    </row>
    <row r="309" spans="1:10" hidden="1" x14ac:dyDescent="0.35">
      <c r="A309" s="15">
        <v>6</v>
      </c>
      <c r="B309" s="15"/>
      <c r="C309" s="11" t="s">
        <v>84</v>
      </c>
      <c r="D309" s="12" t="s">
        <v>262</v>
      </c>
      <c r="E309" s="13" t="s">
        <v>263</v>
      </c>
      <c r="F309" s="35" t="s">
        <v>363</v>
      </c>
      <c r="G309" s="12" t="s">
        <v>264</v>
      </c>
      <c r="H309" s="12" t="s">
        <v>265</v>
      </c>
      <c r="I309" s="14">
        <v>2000</v>
      </c>
      <c r="J309" s="14">
        <v>65400060</v>
      </c>
    </row>
    <row r="310" spans="1:10" hidden="1" x14ac:dyDescent="0.35">
      <c r="A310" s="15">
        <v>6</v>
      </c>
      <c r="B310" s="15"/>
      <c r="C310" s="11" t="s">
        <v>14</v>
      </c>
      <c r="D310" s="12" t="s">
        <v>57</v>
      </c>
      <c r="E310" s="13" t="s">
        <v>349</v>
      </c>
      <c r="F310" s="35" t="s">
        <v>363</v>
      </c>
      <c r="G310" s="12" t="s">
        <v>21</v>
      </c>
      <c r="H310" s="12" t="s">
        <v>22</v>
      </c>
      <c r="I310" s="14">
        <v>22000</v>
      </c>
      <c r="J310" s="14">
        <v>798443800</v>
      </c>
    </row>
    <row r="311" spans="1:10" hidden="1" x14ac:dyDescent="0.35">
      <c r="A311" s="15">
        <v>6</v>
      </c>
      <c r="B311" s="15"/>
      <c r="C311" s="11" t="s">
        <v>14</v>
      </c>
      <c r="D311" s="12" t="s">
        <v>33</v>
      </c>
      <c r="E311" s="13" t="s">
        <v>34</v>
      </c>
      <c r="F311" s="35" t="s">
        <v>363</v>
      </c>
      <c r="G311" s="12" t="s">
        <v>21</v>
      </c>
      <c r="H311" s="12" t="s">
        <v>22</v>
      </c>
      <c r="I311" s="14">
        <v>-59767</v>
      </c>
      <c r="J311" s="14">
        <v>-2194881757</v>
      </c>
    </row>
    <row r="312" spans="1:10" hidden="1" x14ac:dyDescent="0.35">
      <c r="A312" s="15">
        <v>6</v>
      </c>
      <c r="B312" s="15"/>
      <c r="C312" s="11" t="s">
        <v>14</v>
      </c>
      <c r="D312" s="12" t="s">
        <v>33</v>
      </c>
      <c r="E312" s="13" t="s">
        <v>34</v>
      </c>
      <c r="F312" s="35" t="s">
        <v>363</v>
      </c>
      <c r="G312" s="12" t="s">
        <v>21</v>
      </c>
      <c r="H312" s="12" t="s">
        <v>22</v>
      </c>
      <c r="I312" s="14">
        <v>411400</v>
      </c>
      <c r="J312" s="14">
        <v>15132739600</v>
      </c>
    </row>
    <row r="313" spans="1:10" hidden="1" x14ac:dyDescent="0.35">
      <c r="A313" s="15">
        <v>6</v>
      </c>
      <c r="B313" s="15"/>
      <c r="C313" s="11" t="s">
        <v>84</v>
      </c>
      <c r="D313" s="12" t="s">
        <v>266</v>
      </c>
      <c r="E313" s="37" t="s">
        <v>267</v>
      </c>
      <c r="F313" s="35" t="s">
        <v>364</v>
      </c>
      <c r="G313" s="12" t="s">
        <v>60</v>
      </c>
      <c r="H313" s="12" t="s">
        <v>191</v>
      </c>
      <c r="I313" s="14">
        <v>63000</v>
      </c>
      <c r="J313" s="14">
        <v>1013607000</v>
      </c>
    </row>
    <row r="314" spans="1:10" hidden="1" x14ac:dyDescent="0.35">
      <c r="A314" s="15">
        <v>6</v>
      </c>
      <c r="B314" s="15"/>
      <c r="C314" s="11" t="s">
        <v>84</v>
      </c>
      <c r="D314" s="12" t="s">
        <v>268</v>
      </c>
      <c r="E314" s="37" t="s">
        <v>269</v>
      </c>
      <c r="F314" s="35" t="s">
        <v>363</v>
      </c>
      <c r="G314" s="12" t="s">
        <v>17</v>
      </c>
      <c r="H314" s="12" t="s">
        <v>18</v>
      </c>
      <c r="I314" s="14">
        <v>22000</v>
      </c>
      <c r="J314" s="14">
        <v>711700000</v>
      </c>
    </row>
    <row r="315" spans="1:10" hidden="1" x14ac:dyDescent="0.35">
      <c r="A315" s="15">
        <v>6</v>
      </c>
      <c r="B315" s="28" t="s">
        <v>2</v>
      </c>
      <c r="C315" s="11" t="s">
        <v>14</v>
      </c>
      <c r="D315" s="12" t="s">
        <v>270</v>
      </c>
      <c r="E315" s="13" t="s">
        <v>271</v>
      </c>
      <c r="F315" s="35" t="s">
        <v>363</v>
      </c>
      <c r="G315" s="12" t="s">
        <v>17</v>
      </c>
      <c r="H315" s="12" t="s">
        <v>18</v>
      </c>
      <c r="I315" s="14">
        <v>44000</v>
      </c>
      <c r="J315" s="14">
        <v>1410772000</v>
      </c>
    </row>
    <row r="316" spans="1:10" x14ac:dyDescent="0.35">
      <c r="A316" s="15">
        <v>6</v>
      </c>
      <c r="B316" s="28" t="s">
        <v>2</v>
      </c>
      <c r="C316" s="11" t="s">
        <v>14</v>
      </c>
      <c r="D316" s="12" t="s">
        <v>45</v>
      </c>
      <c r="E316" s="13" t="s">
        <v>46</v>
      </c>
      <c r="F316" s="31" t="s">
        <v>366</v>
      </c>
      <c r="G316" s="12" t="s">
        <v>51</v>
      </c>
      <c r="H316" s="12" t="s">
        <v>52</v>
      </c>
      <c r="I316" s="14">
        <v>44000</v>
      </c>
      <c r="J316" s="14">
        <v>1467180000</v>
      </c>
    </row>
    <row r="317" spans="1:10" x14ac:dyDescent="0.35">
      <c r="A317" s="15">
        <v>6</v>
      </c>
      <c r="B317" s="28" t="s">
        <v>2</v>
      </c>
      <c r="C317" s="11" t="s">
        <v>14</v>
      </c>
      <c r="D317" s="12" t="s">
        <v>45</v>
      </c>
      <c r="E317" s="13" t="s">
        <v>46</v>
      </c>
      <c r="F317" s="31" t="s">
        <v>366</v>
      </c>
      <c r="G317" s="12" t="s">
        <v>43</v>
      </c>
      <c r="H317" s="12" t="s">
        <v>44</v>
      </c>
      <c r="I317" s="14">
        <v>88000</v>
      </c>
      <c r="J317" s="14">
        <v>3047220000</v>
      </c>
    </row>
    <row r="318" spans="1:10" x14ac:dyDescent="0.35">
      <c r="A318" s="15">
        <v>6</v>
      </c>
      <c r="B318" s="28" t="s">
        <v>2</v>
      </c>
      <c r="C318" s="11" t="s">
        <v>14</v>
      </c>
      <c r="D318" s="12" t="s">
        <v>45</v>
      </c>
      <c r="E318" s="13" t="s">
        <v>46</v>
      </c>
      <c r="F318" s="31" t="s">
        <v>366</v>
      </c>
      <c r="G318" s="12" t="s">
        <v>53</v>
      </c>
      <c r="H318" s="12" t="s">
        <v>54</v>
      </c>
      <c r="I318" s="14">
        <v>33000</v>
      </c>
      <c r="J318" s="14">
        <v>1142707500</v>
      </c>
    </row>
    <row r="319" spans="1:10" hidden="1" x14ac:dyDescent="0.35">
      <c r="A319" s="15">
        <v>6</v>
      </c>
      <c r="B319" s="28" t="s">
        <v>2</v>
      </c>
      <c r="C319" s="11" t="s">
        <v>14</v>
      </c>
      <c r="D319" s="12" t="s">
        <v>45</v>
      </c>
      <c r="E319" s="13" t="s">
        <v>46</v>
      </c>
      <c r="F319" s="35" t="s">
        <v>363</v>
      </c>
      <c r="G319" s="12" t="s">
        <v>17</v>
      </c>
      <c r="H319" s="12" t="s">
        <v>18</v>
      </c>
      <c r="I319" s="14">
        <v>11000</v>
      </c>
      <c r="J319" s="14">
        <v>352687500</v>
      </c>
    </row>
    <row r="320" spans="1:10" hidden="1" x14ac:dyDescent="0.35">
      <c r="A320" s="15">
        <v>6</v>
      </c>
      <c r="B320" s="28" t="s">
        <v>2</v>
      </c>
      <c r="C320" s="11" t="s">
        <v>14</v>
      </c>
      <c r="D320" s="12" t="s">
        <v>23</v>
      </c>
      <c r="E320" s="13" t="s">
        <v>24</v>
      </c>
      <c r="F320" s="35" t="s">
        <v>363</v>
      </c>
      <c r="G320" s="12" t="s">
        <v>17</v>
      </c>
      <c r="H320" s="12" t="s">
        <v>18</v>
      </c>
      <c r="I320" s="14">
        <v>88000</v>
      </c>
      <c r="J320" s="14">
        <v>2821544000</v>
      </c>
    </row>
    <row r="321" spans="1:10" hidden="1" x14ac:dyDescent="0.35">
      <c r="A321" s="15">
        <v>6</v>
      </c>
      <c r="B321" s="28" t="s">
        <v>2</v>
      </c>
      <c r="C321" s="11" t="s">
        <v>14</v>
      </c>
      <c r="D321" s="12" t="s">
        <v>23</v>
      </c>
      <c r="E321" s="13" t="s">
        <v>24</v>
      </c>
      <c r="F321" s="35" t="s">
        <v>363</v>
      </c>
      <c r="G321" s="12" t="s">
        <v>17</v>
      </c>
      <c r="H321" s="12" t="s">
        <v>18</v>
      </c>
      <c r="I321" s="14">
        <v>198000</v>
      </c>
      <c r="J321" s="14">
        <v>6348474000</v>
      </c>
    </row>
    <row r="322" spans="1:10" hidden="1" x14ac:dyDescent="0.35">
      <c r="A322" s="15">
        <v>6</v>
      </c>
      <c r="B322" s="15"/>
      <c r="C322" s="11" t="s">
        <v>84</v>
      </c>
      <c r="D322" s="12" t="s">
        <v>157</v>
      </c>
      <c r="E322" s="37" t="s">
        <v>158</v>
      </c>
      <c r="F322" s="35" t="s">
        <v>363</v>
      </c>
      <c r="G322" s="12" t="s">
        <v>31</v>
      </c>
      <c r="H322" s="12" t="s">
        <v>32</v>
      </c>
      <c r="I322" s="14">
        <v>154000</v>
      </c>
      <c r="J322" s="14">
        <v>5123256600</v>
      </c>
    </row>
    <row r="323" spans="1:10" hidden="1" x14ac:dyDescent="0.35">
      <c r="A323" s="15">
        <v>6</v>
      </c>
      <c r="B323" s="15"/>
      <c r="C323" s="11" t="s">
        <v>84</v>
      </c>
      <c r="D323" s="12" t="s">
        <v>272</v>
      </c>
      <c r="E323" s="13" t="s">
        <v>273</v>
      </c>
      <c r="F323" s="31" t="s">
        <v>366</v>
      </c>
      <c r="G323" s="12" t="s">
        <v>189</v>
      </c>
      <c r="H323" s="12" t="s">
        <v>190</v>
      </c>
      <c r="I323" s="14">
        <v>4125</v>
      </c>
      <c r="J323" s="14">
        <v>174771850</v>
      </c>
    </row>
    <row r="324" spans="1:10" hidden="1" x14ac:dyDescent="0.35">
      <c r="A324" s="15">
        <v>7</v>
      </c>
      <c r="B324" s="15"/>
      <c r="C324" s="11" t="s">
        <v>14</v>
      </c>
      <c r="D324" s="12" t="s">
        <v>15</v>
      </c>
      <c r="E324" s="13" t="s">
        <v>16</v>
      </c>
      <c r="F324" s="31" t="s">
        <v>366</v>
      </c>
      <c r="G324" s="12" t="s">
        <v>47</v>
      </c>
      <c r="H324" s="12" t="s">
        <v>48</v>
      </c>
      <c r="I324" s="14">
        <v>11000</v>
      </c>
      <c r="J324" s="14">
        <v>220000000</v>
      </c>
    </row>
    <row r="325" spans="1:10" hidden="1" x14ac:dyDescent="0.35">
      <c r="A325" s="15">
        <v>7</v>
      </c>
      <c r="B325" s="15"/>
      <c r="C325" s="11" t="s">
        <v>14</v>
      </c>
      <c r="D325" s="12" t="s">
        <v>15</v>
      </c>
      <c r="E325" s="13" t="s">
        <v>16</v>
      </c>
      <c r="F325" s="31" t="s">
        <v>366</v>
      </c>
      <c r="G325" s="12" t="s">
        <v>93</v>
      </c>
      <c r="H325" s="12" t="s">
        <v>94</v>
      </c>
      <c r="I325" s="14">
        <v>11000</v>
      </c>
      <c r="J325" s="14">
        <v>220000000</v>
      </c>
    </row>
    <row r="326" spans="1:10" hidden="1" x14ac:dyDescent="0.35">
      <c r="A326" s="15">
        <v>7</v>
      </c>
      <c r="B326" s="15"/>
      <c r="C326" s="11" t="s">
        <v>14</v>
      </c>
      <c r="D326" s="12" t="s">
        <v>15</v>
      </c>
      <c r="E326" s="13" t="s">
        <v>16</v>
      </c>
      <c r="F326" s="31" t="s">
        <v>366</v>
      </c>
      <c r="G326" s="12" t="s">
        <v>95</v>
      </c>
      <c r="H326" s="12" t="s">
        <v>96</v>
      </c>
      <c r="I326" s="14">
        <v>1375</v>
      </c>
      <c r="J326" s="14">
        <v>27500000</v>
      </c>
    </row>
    <row r="327" spans="1:10" hidden="1" x14ac:dyDescent="0.35">
      <c r="A327" s="15">
        <v>7</v>
      </c>
      <c r="B327" s="15"/>
      <c r="C327" s="11" t="s">
        <v>14</v>
      </c>
      <c r="D327" s="12" t="s">
        <v>15</v>
      </c>
      <c r="E327" s="13" t="s">
        <v>16</v>
      </c>
      <c r="F327" s="31" t="s">
        <v>366</v>
      </c>
      <c r="G327" s="12" t="s">
        <v>97</v>
      </c>
      <c r="H327" s="12" t="s">
        <v>98</v>
      </c>
      <c r="I327" s="14">
        <v>5500</v>
      </c>
      <c r="J327" s="14">
        <v>110000000</v>
      </c>
    </row>
    <row r="328" spans="1:10" hidden="1" x14ac:dyDescent="0.35">
      <c r="A328" s="15">
        <v>7</v>
      </c>
      <c r="B328" s="15"/>
      <c r="C328" s="11" t="s">
        <v>14</v>
      </c>
      <c r="D328" s="12" t="s">
        <v>15</v>
      </c>
      <c r="E328" s="13" t="s">
        <v>16</v>
      </c>
      <c r="F328" s="31" t="s">
        <v>366</v>
      </c>
      <c r="G328" s="12" t="s">
        <v>216</v>
      </c>
      <c r="H328" s="12" t="s">
        <v>217</v>
      </c>
      <c r="I328" s="14">
        <v>2750</v>
      </c>
      <c r="J328" s="14">
        <v>55000000</v>
      </c>
    </row>
    <row r="329" spans="1:10" hidden="1" x14ac:dyDescent="0.35">
      <c r="A329" s="15">
        <v>7</v>
      </c>
      <c r="B329" s="15"/>
      <c r="C329" s="11" t="s">
        <v>14</v>
      </c>
      <c r="D329" s="12" t="s">
        <v>274</v>
      </c>
      <c r="E329" s="13" t="s">
        <v>275</v>
      </c>
      <c r="F329" s="35" t="s">
        <v>363</v>
      </c>
      <c r="G329" s="12" t="s">
        <v>135</v>
      </c>
      <c r="H329" s="12" t="s">
        <v>136</v>
      </c>
      <c r="I329" s="14">
        <v>330850</v>
      </c>
      <c r="J329" s="14">
        <v>9415329300</v>
      </c>
    </row>
    <row r="330" spans="1:10" hidden="1" x14ac:dyDescent="0.35">
      <c r="A330" s="15">
        <v>7</v>
      </c>
      <c r="B330" s="28" t="s">
        <v>2</v>
      </c>
      <c r="C330" s="11" t="s">
        <v>14</v>
      </c>
      <c r="D330" s="12" t="s">
        <v>23</v>
      </c>
      <c r="E330" s="13" t="s">
        <v>24</v>
      </c>
      <c r="F330" s="35" t="s">
        <v>363</v>
      </c>
      <c r="G330" s="12" t="s">
        <v>17</v>
      </c>
      <c r="H330" s="12" t="s">
        <v>18</v>
      </c>
      <c r="I330" s="14">
        <v>154000</v>
      </c>
      <c r="J330" s="14">
        <v>4989710000</v>
      </c>
    </row>
    <row r="331" spans="1:10" hidden="1" x14ac:dyDescent="0.35">
      <c r="A331" s="15">
        <v>7</v>
      </c>
      <c r="B331" s="28" t="s">
        <v>2</v>
      </c>
      <c r="C331" s="11" t="s">
        <v>14</v>
      </c>
      <c r="D331" s="12" t="s">
        <v>23</v>
      </c>
      <c r="E331" s="13" t="s">
        <v>24</v>
      </c>
      <c r="F331" s="35" t="s">
        <v>363</v>
      </c>
      <c r="G331" s="12" t="s">
        <v>17</v>
      </c>
      <c r="H331" s="12" t="s">
        <v>18</v>
      </c>
      <c r="I331" s="14">
        <v>22000</v>
      </c>
      <c r="J331" s="14">
        <v>705386000</v>
      </c>
    </row>
    <row r="332" spans="1:10" hidden="1" x14ac:dyDescent="0.35">
      <c r="A332" s="15">
        <v>7</v>
      </c>
      <c r="B332" s="15"/>
      <c r="C332" s="11" t="s">
        <v>14</v>
      </c>
      <c r="D332" s="12" t="s">
        <v>33</v>
      </c>
      <c r="E332" s="13" t="s">
        <v>34</v>
      </c>
      <c r="F332" s="35" t="s">
        <v>363</v>
      </c>
      <c r="G332" s="12" t="s">
        <v>21</v>
      </c>
      <c r="H332" s="12" t="s">
        <v>22</v>
      </c>
      <c r="I332" s="14">
        <v>132000</v>
      </c>
      <c r="J332" s="14">
        <v>4868556000</v>
      </c>
    </row>
    <row r="333" spans="1:10" hidden="1" x14ac:dyDescent="0.35">
      <c r="A333" s="15">
        <v>7</v>
      </c>
      <c r="B333" s="15"/>
      <c r="C333" s="11" t="s">
        <v>14</v>
      </c>
      <c r="D333" s="12" t="s">
        <v>37</v>
      </c>
      <c r="E333" s="13" t="s">
        <v>348</v>
      </c>
      <c r="F333" s="35" t="s">
        <v>363</v>
      </c>
      <c r="G333" s="12" t="s">
        <v>21</v>
      </c>
      <c r="H333" s="12" t="s">
        <v>22</v>
      </c>
      <c r="I333" s="14">
        <v>-730.9</v>
      </c>
      <c r="J333" s="14">
        <v>-26026143</v>
      </c>
    </row>
    <row r="334" spans="1:10" s="49" customFormat="1" hidden="1" x14ac:dyDescent="0.35">
      <c r="A334" s="42">
        <v>7</v>
      </c>
      <c r="B334" s="42"/>
      <c r="C334" s="43" t="s">
        <v>14</v>
      </c>
      <c r="D334" s="47" t="s">
        <v>37</v>
      </c>
      <c r="E334" s="45" t="s">
        <v>348</v>
      </c>
      <c r="F334" s="46" t="s">
        <v>363</v>
      </c>
      <c r="G334" s="47" t="s">
        <v>21</v>
      </c>
      <c r="H334" s="47" t="s">
        <v>22</v>
      </c>
      <c r="I334" s="48">
        <v>51700</v>
      </c>
      <c r="J334" s="48">
        <v>1884463449</v>
      </c>
    </row>
    <row r="335" spans="1:10" x14ac:dyDescent="0.35">
      <c r="A335" s="15">
        <v>7</v>
      </c>
      <c r="B335" s="28" t="s">
        <v>2</v>
      </c>
      <c r="C335" s="11" t="s">
        <v>14</v>
      </c>
      <c r="D335" s="12" t="s">
        <v>41</v>
      </c>
      <c r="E335" s="13" t="s">
        <v>42</v>
      </c>
      <c r="F335" s="31" t="s">
        <v>366</v>
      </c>
      <c r="G335" s="12" t="s">
        <v>43</v>
      </c>
      <c r="H335" s="12" t="s">
        <v>44</v>
      </c>
      <c r="I335" s="14">
        <v>35750</v>
      </c>
      <c r="J335" s="14">
        <v>1315883250</v>
      </c>
    </row>
    <row r="336" spans="1:10" hidden="1" x14ac:dyDescent="0.35">
      <c r="A336" s="15">
        <v>7</v>
      </c>
      <c r="B336" s="15"/>
      <c r="C336" s="11" t="s">
        <v>14</v>
      </c>
      <c r="D336" s="12" t="s">
        <v>179</v>
      </c>
      <c r="E336" s="13" t="s">
        <v>180</v>
      </c>
      <c r="F336" s="35" t="s">
        <v>365</v>
      </c>
      <c r="G336" s="12" t="s">
        <v>123</v>
      </c>
      <c r="H336" s="12" t="s">
        <v>124</v>
      </c>
      <c r="I336" s="14">
        <v>11000</v>
      </c>
      <c r="J336" s="14">
        <v>208796296</v>
      </c>
    </row>
    <row r="337" spans="1:10" hidden="1" x14ac:dyDescent="0.35">
      <c r="A337" s="15">
        <v>7</v>
      </c>
      <c r="B337" s="15"/>
      <c r="C337" s="11" t="s">
        <v>14</v>
      </c>
      <c r="D337" s="12" t="s">
        <v>179</v>
      </c>
      <c r="E337" s="13" t="s">
        <v>180</v>
      </c>
      <c r="F337" s="35" t="s">
        <v>365</v>
      </c>
      <c r="G337" s="12" t="s">
        <v>181</v>
      </c>
      <c r="H337" s="12" t="s">
        <v>182</v>
      </c>
      <c r="I337" s="14">
        <v>9750</v>
      </c>
      <c r="J337" s="14">
        <v>176041667</v>
      </c>
    </row>
    <row r="338" spans="1:10" x14ac:dyDescent="0.35">
      <c r="A338" s="15">
        <v>7</v>
      </c>
      <c r="B338" s="28" t="s">
        <v>2</v>
      </c>
      <c r="C338" s="11" t="s">
        <v>14</v>
      </c>
      <c r="D338" s="12" t="s">
        <v>45</v>
      </c>
      <c r="E338" s="13" t="s">
        <v>46</v>
      </c>
      <c r="F338" s="31" t="s">
        <v>366</v>
      </c>
      <c r="G338" s="12" t="s">
        <v>43</v>
      </c>
      <c r="H338" s="12" t="s">
        <v>44</v>
      </c>
      <c r="I338" s="14">
        <v>99000</v>
      </c>
      <c r="J338" s="14">
        <v>3481593060</v>
      </c>
    </row>
    <row r="339" spans="1:10" x14ac:dyDescent="0.35">
      <c r="A339" s="15">
        <v>7</v>
      </c>
      <c r="B339" s="28" t="s">
        <v>2</v>
      </c>
      <c r="C339" s="11" t="s">
        <v>14</v>
      </c>
      <c r="D339" s="12" t="s">
        <v>45</v>
      </c>
      <c r="E339" s="13" t="s">
        <v>46</v>
      </c>
      <c r="F339" s="31" t="s">
        <v>366</v>
      </c>
      <c r="G339" s="12" t="s">
        <v>49</v>
      </c>
      <c r="H339" s="12" t="s">
        <v>50</v>
      </c>
      <c r="I339" s="14">
        <v>4125</v>
      </c>
      <c r="J339" s="14">
        <v>140351599</v>
      </c>
    </row>
    <row r="340" spans="1:10" x14ac:dyDescent="0.35">
      <c r="A340" s="15">
        <v>7</v>
      </c>
      <c r="B340" s="28" t="s">
        <v>2</v>
      </c>
      <c r="C340" s="11" t="s">
        <v>14</v>
      </c>
      <c r="D340" s="12" t="s">
        <v>45</v>
      </c>
      <c r="E340" s="13" t="s">
        <v>46</v>
      </c>
      <c r="F340" s="31" t="s">
        <v>366</v>
      </c>
      <c r="G340" s="12" t="s">
        <v>49</v>
      </c>
      <c r="H340" s="12" t="s">
        <v>50</v>
      </c>
      <c r="I340" s="14">
        <v>5500</v>
      </c>
      <c r="J340" s="14">
        <v>183397500</v>
      </c>
    </row>
    <row r="341" spans="1:10" x14ac:dyDescent="0.35">
      <c r="A341" s="15">
        <v>7</v>
      </c>
      <c r="B341" s="28" t="s">
        <v>2</v>
      </c>
      <c r="C341" s="11" t="s">
        <v>14</v>
      </c>
      <c r="D341" s="12" t="s">
        <v>45</v>
      </c>
      <c r="E341" s="13" t="s">
        <v>46</v>
      </c>
      <c r="F341" s="31" t="s">
        <v>366</v>
      </c>
      <c r="G341" s="12" t="s">
        <v>51</v>
      </c>
      <c r="H341" s="12" t="s">
        <v>52</v>
      </c>
      <c r="I341" s="14">
        <v>11000</v>
      </c>
      <c r="J341" s="14">
        <v>374270930</v>
      </c>
    </row>
    <row r="342" spans="1:10" hidden="1" x14ac:dyDescent="0.35">
      <c r="A342" s="15">
        <v>7</v>
      </c>
      <c r="B342" s="15"/>
      <c r="C342" s="11" t="s">
        <v>14</v>
      </c>
      <c r="D342" s="12" t="s">
        <v>57</v>
      </c>
      <c r="E342" s="13" t="s">
        <v>349</v>
      </c>
      <c r="F342" s="35" t="s">
        <v>363</v>
      </c>
      <c r="G342" s="12" t="s">
        <v>21</v>
      </c>
      <c r="H342" s="12" t="s">
        <v>22</v>
      </c>
      <c r="I342" s="14">
        <v>0</v>
      </c>
      <c r="J342" s="14">
        <v>18304000</v>
      </c>
    </row>
    <row r="343" spans="1:10" hidden="1" x14ac:dyDescent="0.35">
      <c r="A343" s="15">
        <v>7</v>
      </c>
      <c r="B343" s="15"/>
      <c r="C343" s="11" t="s">
        <v>14</v>
      </c>
      <c r="D343" s="12" t="s">
        <v>57</v>
      </c>
      <c r="E343" s="13" t="s">
        <v>349</v>
      </c>
      <c r="F343" s="35" t="s">
        <v>363</v>
      </c>
      <c r="G343" s="12" t="s">
        <v>21</v>
      </c>
      <c r="H343" s="12" t="s">
        <v>22</v>
      </c>
      <c r="I343" s="14">
        <v>66000</v>
      </c>
      <c r="J343" s="14">
        <v>2386736000</v>
      </c>
    </row>
    <row r="344" spans="1:10" hidden="1" x14ac:dyDescent="0.35">
      <c r="A344" s="15">
        <v>7</v>
      </c>
      <c r="B344" s="15"/>
      <c r="C344" s="11" t="s">
        <v>14</v>
      </c>
      <c r="D344" s="12" t="s">
        <v>58</v>
      </c>
      <c r="E344" s="13" t="s">
        <v>59</v>
      </c>
      <c r="F344" s="35" t="s">
        <v>364</v>
      </c>
      <c r="G344" s="12" t="s">
        <v>60</v>
      </c>
      <c r="H344" s="12" t="s">
        <v>191</v>
      </c>
      <c r="I344" s="14">
        <v>31600</v>
      </c>
      <c r="J344" s="14">
        <v>521400000</v>
      </c>
    </row>
    <row r="345" spans="1:10" hidden="1" x14ac:dyDescent="0.35">
      <c r="A345" s="15">
        <v>7</v>
      </c>
      <c r="B345" s="15"/>
      <c r="C345" s="11" t="s">
        <v>14</v>
      </c>
      <c r="D345" s="12" t="s">
        <v>62</v>
      </c>
      <c r="E345" s="13" t="s">
        <v>63</v>
      </c>
      <c r="F345" s="35" t="s">
        <v>363</v>
      </c>
      <c r="G345" s="12" t="s">
        <v>17</v>
      </c>
      <c r="H345" s="12" t="s">
        <v>18</v>
      </c>
      <c r="I345" s="14">
        <v>99000</v>
      </c>
      <c r="J345" s="14">
        <v>3234825000</v>
      </c>
    </row>
    <row r="346" spans="1:10" hidden="1" x14ac:dyDescent="0.35">
      <c r="A346" s="15">
        <v>7</v>
      </c>
      <c r="B346" s="15"/>
      <c r="C346" s="11" t="s">
        <v>14</v>
      </c>
      <c r="D346" s="12" t="s">
        <v>66</v>
      </c>
      <c r="E346" s="13" t="s">
        <v>67</v>
      </c>
      <c r="F346" s="31" t="s">
        <v>366</v>
      </c>
      <c r="G346" s="12" t="s">
        <v>68</v>
      </c>
      <c r="H346" s="12" t="s">
        <v>69</v>
      </c>
      <c r="I346" s="14">
        <v>33000</v>
      </c>
      <c r="J346" s="14">
        <v>1083637500</v>
      </c>
    </row>
    <row r="347" spans="1:10" hidden="1" x14ac:dyDescent="0.35">
      <c r="A347" s="15">
        <v>7</v>
      </c>
      <c r="B347" s="15"/>
      <c r="C347" s="11" t="s">
        <v>14</v>
      </c>
      <c r="D347" s="12" t="s">
        <v>107</v>
      </c>
      <c r="E347" s="13" t="s">
        <v>108</v>
      </c>
      <c r="F347" s="35" t="s">
        <v>363</v>
      </c>
      <c r="G347" s="12" t="s">
        <v>31</v>
      </c>
      <c r="H347" s="12" t="s">
        <v>32</v>
      </c>
      <c r="I347" s="14">
        <v>33000</v>
      </c>
      <c r="J347" s="14">
        <v>1122999350</v>
      </c>
    </row>
    <row r="348" spans="1:10" hidden="1" x14ac:dyDescent="0.35">
      <c r="A348" s="15">
        <v>7</v>
      </c>
      <c r="B348" s="15"/>
      <c r="C348" s="11" t="s">
        <v>14</v>
      </c>
      <c r="D348" s="12" t="s">
        <v>276</v>
      </c>
      <c r="E348" s="13" t="s">
        <v>277</v>
      </c>
      <c r="F348" s="35" t="s">
        <v>364</v>
      </c>
      <c r="G348" s="12" t="s">
        <v>60</v>
      </c>
      <c r="H348" s="12" t="s">
        <v>191</v>
      </c>
      <c r="I348" s="14">
        <v>286650</v>
      </c>
      <c r="J348" s="14">
        <v>5019105000</v>
      </c>
    </row>
    <row r="349" spans="1:10" hidden="1" x14ac:dyDescent="0.35">
      <c r="A349" s="15">
        <v>7</v>
      </c>
      <c r="B349" s="15"/>
      <c r="C349" s="11" t="s">
        <v>14</v>
      </c>
      <c r="D349" s="12" t="s">
        <v>72</v>
      </c>
      <c r="E349" s="13" t="s">
        <v>73</v>
      </c>
      <c r="F349" s="35" t="s">
        <v>363</v>
      </c>
      <c r="G349" s="12" t="s">
        <v>17</v>
      </c>
      <c r="H349" s="12" t="s">
        <v>18</v>
      </c>
      <c r="I349" s="14">
        <v>11000</v>
      </c>
      <c r="J349" s="14">
        <v>367419800</v>
      </c>
    </row>
    <row r="350" spans="1:10" hidden="1" x14ac:dyDescent="0.35">
      <c r="A350" s="15">
        <v>7</v>
      </c>
      <c r="B350" s="15"/>
      <c r="C350" s="11" t="s">
        <v>14</v>
      </c>
      <c r="D350" s="12" t="s">
        <v>78</v>
      </c>
      <c r="E350" s="13" t="s">
        <v>79</v>
      </c>
      <c r="F350" s="31" t="s">
        <v>366</v>
      </c>
      <c r="G350" s="12" t="s">
        <v>80</v>
      </c>
      <c r="H350" s="12" t="s">
        <v>81</v>
      </c>
      <c r="I350" s="14">
        <v>9000</v>
      </c>
      <c r="J350" s="14">
        <v>141544444</v>
      </c>
    </row>
    <row r="351" spans="1:10" hidden="1" x14ac:dyDescent="0.35">
      <c r="A351" s="15">
        <v>7</v>
      </c>
      <c r="B351" s="15"/>
      <c r="C351" s="11" t="s">
        <v>14</v>
      </c>
      <c r="D351" s="12" t="s">
        <v>78</v>
      </c>
      <c r="E351" s="13" t="s">
        <v>79</v>
      </c>
      <c r="F351" s="31" t="s">
        <v>366</v>
      </c>
      <c r="G351" s="12" t="s">
        <v>103</v>
      </c>
      <c r="H351" s="12" t="s">
        <v>104</v>
      </c>
      <c r="I351" s="14">
        <v>750</v>
      </c>
      <c r="J351" s="14">
        <v>11458333</v>
      </c>
    </row>
    <row r="352" spans="1:10" hidden="1" x14ac:dyDescent="0.35">
      <c r="A352" s="15">
        <v>7</v>
      </c>
      <c r="B352" s="15"/>
      <c r="C352" s="11" t="s">
        <v>14</v>
      </c>
      <c r="D352" s="12" t="s">
        <v>137</v>
      </c>
      <c r="E352" s="13" t="s">
        <v>138</v>
      </c>
      <c r="F352" s="31" t="s">
        <v>366</v>
      </c>
      <c r="G352" s="12" t="s">
        <v>105</v>
      </c>
      <c r="H352" s="12" t="s">
        <v>106</v>
      </c>
      <c r="I352" s="14">
        <v>10500</v>
      </c>
      <c r="J352" s="14">
        <v>168000000</v>
      </c>
    </row>
    <row r="353" spans="1:10" hidden="1" x14ac:dyDescent="0.35">
      <c r="A353" s="15">
        <v>7</v>
      </c>
      <c r="B353" s="15"/>
      <c r="C353" s="11" t="s">
        <v>14</v>
      </c>
      <c r="D353" s="12" t="s">
        <v>185</v>
      </c>
      <c r="E353" s="13" t="s">
        <v>186</v>
      </c>
      <c r="F353" s="31" t="s">
        <v>366</v>
      </c>
      <c r="G353" s="12" t="s">
        <v>95</v>
      </c>
      <c r="H353" s="12" t="s">
        <v>96</v>
      </c>
      <c r="I353" s="14">
        <v>300</v>
      </c>
      <c r="J353" s="14">
        <v>4583334</v>
      </c>
    </row>
    <row r="354" spans="1:10" hidden="1" x14ac:dyDescent="0.35">
      <c r="A354" s="15">
        <v>7</v>
      </c>
      <c r="B354" s="15"/>
      <c r="C354" s="11" t="s">
        <v>14</v>
      </c>
      <c r="D354" s="12" t="s">
        <v>185</v>
      </c>
      <c r="E354" s="13" t="s">
        <v>186</v>
      </c>
      <c r="F354" s="31" t="s">
        <v>366</v>
      </c>
      <c r="G354" s="12" t="s">
        <v>80</v>
      </c>
      <c r="H354" s="12" t="s">
        <v>81</v>
      </c>
      <c r="I354" s="14">
        <v>7500</v>
      </c>
      <c r="J354" s="14">
        <v>129027778</v>
      </c>
    </row>
    <row r="355" spans="1:10" hidden="1" x14ac:dyDescent="0.35">
      <c r="A355" s="15">
        <v>7</v>
      </c>
      <c r="B355" s="15"/>
      <c r="C355" s="11" t="s">
        <v>14</v>
      </c>
      <c r="D355" s="12" t="s">
        <v>228</v>
      </c>
      <c r="E355" s="13" t="s">
        <v>229</v>
      </c>
      <c r="F355" s="31" t="s">
        <v>366</v>
      </c>
      <c r="G355" s="12" t="s">
        <v>113</v>
      </c>
      <c r="H355" s="12" t="s">
        <v>114</v>
      </c>
      <c r="I355" s="14">
        <v>22000</v>
      </c>
      <c r="J355" s="14">
        <v>346296300</v>
      </c>
    </row>
    <row r="356" spans="1:10" hidden="1" x14ac:dyDescent="0.35">
      <c r="A356" s="15">
        <v>7</v>
      </c>
      <c r="B356" s="28" t="s">
        <v>2</v>
      </c>
      <c r="C356" s="11" t="s">
        <v>14</v>
      </c>
      <c r="D356" s="12" t="s">
        <v>270</v>
      </c>
      <c r="E356" s="13" t="s">
        <v>271</v>
      </c>
      <c r="F356" s="35" t="s">
        <v>363</v>
      </c>
      <c r="G356" s="12" t="s">
        <v>17</v>
      </c>
      <c r="H356" s="12" t="s">
        <v>18</v>
      </c>
      <c r="I356" s="14">
        <v>44000</v>
      </c>
      <c r="J356" s="14">
        <v>1410772000</v>
      </c>
    </row>
    <row r="357" spans="1:10" hidden="1" x14ac:dyDescent="0.35">
      <c r="A357" s="15">
        <v>7</v>
      </c>
      <c r="B357" s="15"/>
      <c r="C357" s="11" t="s">
        <v>14</v>
      </c>
      <c r="D357" s="12" t="s">
        <v>258</v>
      </c>
      <c r="E357" s="13" t="s">
        <v>259</v>
      </c>
      <c r="F357" s="35" t="s">
        <v>363</v>
      </c>
      <c r="G357" s="12" t="s">
        <v>17</v>
      </c>
      <c r="H357" s="12" t="s">
        <v>18</v>
      </c>
      <c r="I357" s="14">
        <v>1100</v>
      </c>
      <c r="J357" s="14">
        <v>36762000</v>
      </c>
    </row>
    <row r="358" spans="1:10" hidden="1" x14ac:dyDescent="0.35">
      <c r="A358" s="15">
        <v>7</v>
      </c>
      <c r="B358" s="15"/>
      <c r="C358" s="11" t="s">
        <v>14</v>
      </c>
      <c r="D358" s="12" t="s">
        <v>260</v>
      </c>
      <c r="E358" s="13" t="s">
        <v>261</v>
      </c>
      <c r="F358" s="35" t="s">
        <v>364</v>
      </c>
      <c r="G358" s="12" t="s">
        <v>117</v>
      </c>
      <c r="H358" s="12" t="s">
        <v>191</v>
      </c>
      <c r="I358" s="14">
        <v>249550</v>
      </c>
      <c r="J358" s="14">
        <v>4341925000</v>
      </c>
    </row>
    <row r="359" spans="1:10" hidden="1" x14ac:dyDescent="0.35">
      <c r="A359" s="15">
        <v>7</v>
      </c>
      <c r="B359" s="15"/>
      <c r="C359" s="11" t="s">
        <v>14</v>
      </c>
      <c r="D359" s="12" t="s">
        <v>278</v>
      </c>
      <c r="E359" s="13" t="s">
        <v>279</v>
      </c>
      <c r="F359" s="35" t="s">
        <v>365</v>
      </c>
      <c r="G359" s="12" t="s">
        <v>129</v>
      </c>
      <c r="H359" s="12" t="s">
        <v>130</v>
      </c>
      <c r="I359" s="14">
        <v>100</v>
      </c>
      <c r="J359" s="14">
        <v>2100000</v>
      </c>
    </row>
    <row r="360" spans="1:10" hidden="1" x14ac:dyDescent="0.35">
      <c r="A360" s="15">
        <v>7</v>
      </c>
      <c r="B360" s="15"/>
      <c r="C360" s="11" t="s">
        <v>14</v>
      </c>
      <c r="D360" s="12" t="s">
        <v>280</v>
      </c>
      <c r="E360" s="13" t="s">
        <v>281</v>
      </c>
      <c r="F360" s="31" t="s">
        <v>366</v>
      </c>
      <c r="G360" s="12" t="s">
        <v>113</v>
      </c>
      <c r="H360" s="12" t="s">
        <v>114</v>
      </c>
      <c r="I360" s="14">
        <v>1375</v>
      </c>
      <c r="J360" s="14">
        <v>24750000</v>
      </c>
    </row>
    <row r="361" spans="1:10" hidden="1" x14ac:dyDescent="0.35">
      <c r="A361" s="15">
        <v>7</v>
      </c>
      <c r="B361" s="15"/>
      <c r="C361" s="11" t="s">
        <v>14</v>
      </c>
      <c r="D361" s="12" t="s">
        <v>282</v>
      </c>
      <c r="E361" s="13" t="s">
        <v>283</v>
      </c>
      <c r="F361" s="35" t="s">
        <v>365</v>
      </c>
      <c r="G361" s="12" t="s">
        <v>181</v>
      </c>
      <c r="H361" s="12" t="s">
        <v>182</v>
      </c>
      <c r="I361" s="14">
        <v>6000</v>
      </c>
      <c r="J361" s="14">
        <v>97222222</v>
      </c>
    </row>
    <row r="362" spans="1:10" hidden="1" x14ac:dyDescent="0.35">
      <c r="A362" s="15">
        <v>7</v>
      </c>
      <c r="B362" s="15"/>
      <c r="C362" s="11" t="s">
        <v>14</v>
      </c>
      <c r="D362" s="12" t="s">
        <v>284</v>
      </c>
      <c r="E362" s="13" t="s">
        <v>285</v>
      </c>
      <c r="F362" s="35" t="s">
        <v>363</v>
      </c>
      <c r="G362" s="12" t="s">
        <v>256</v>
      </c>
      <c r="H362" s="12" t="s">
        <v>257</v>
      </c>
      <c r="I362" s="14">
        <v>30</v>
      </c>
      <c r="J362" s="14">
        <v>1020000</v>
      </c>
    </row>
    <row r="363" spans="1:10" hidden="1" x14ac:dyDescent="0.35">
      <c r="A363" s="15">
        <v>7</v>
      </c>
      <c r="B363" s="15"/>
      <c r="C363" s="11" t="s">
        <v>84</v>
      </c>
      <c r="D363" s="12" t="s">
        <v>198</v>
      </c>
      <c r="E363" s="13" t="s">
        <v>199</v>
      </c>
      <c r="F363" s="35" t="s">
        <v>363</v>
      </c>
      <c r="G363" s="12" t="s">
        <v>17</v>
      </c>
      <c r="H363" s="12" t="s">
        <v>18</v>
      </c>
      <c r="I363" s="14">
        <v>64900</v>
      </c>
      <c r="J363" s="14">
        <v>2107930534</v>
      </c>
    </row>
    <row r="364" spans="1:10" hidden="1" x14ac:dyDescent="0.35">
      <c r="A364" s="15">
        <v>7</v>
      </c>
      <c r="B364" s="15"/>
      <c r="C364" s="11" t="s">
        <v>84</v>
      </c>
      <c r="D364" s="12" t="s">
        <v>85</v>
      </c>
      <c r="E364" s="13" t="s">
        <v>86</v>
      </c>
      <c r="F364" s="35" t="s">
        <v>363</v>
      </c>
      <c r="G364" s="12" t="s">
        <v>17</v>
      </c>
      <c r="H364" s="12" t="s">
        <v>18</v>
      </c>
      <c r="I364" s="14">
        <v>1672000</v>
      </c>
      <c r="J364" s="14">
        <v>53207843040</v>
      </c>
    </row>
    <row r="365" spans="1:10" hidden="1" x14ac:dyDescent="0.35">
      <c r="A365" s="15">
        <v>7</v>
      </c>
      <c r="B365" s="15"/>
      <c r="C365" s="11" t="s">
        <v>84</v>
      </c>
      <c r="D365" s="12" t="s">
        <v>145</v>
      </c>
      <c r="E365" s="13" t="s">
        <v>146</v>
      </c>
      <c r="F365" s="35" t="s">
        <v>363</v>
      </c>
      <c r="G365" s="12" t="s">
        <v>135</v>
      </c>
      <c r="H365" s="12" t="s">
        <v>136</v>
      </c>
      <c r="I365" s="14">
        <v>44000</v>
      </c>
      <c r="J365" s="14">
        <v>1313576000</v>
      </c>
    </row>
    <row r="366" spans="1:10" hidden="1" x14ac:dyDescent="0.35">
      <c r="A366" s="15">
        <v>7</v>
      </c>
      <c r="B366" s="15"/>
      <c r="C366" s="11" t="s">
        <v>84</v>
      </c>
      <c r="D366" s="12" t="s">
        <v>147</v>
      </c>
      <c r="E366" s="13" t="s">
        <v>148</v>
      </c>
      <c r="F366" s="35" t="s">
        <v>363</v>
      </c>
      <c r="G366" s="12" t="s">
        <v>31</v>
      </c>
      <c r="H366" s="12" t="s">
        <v>32</v>
      </c>
      <c r="I366" s="14">
        <v>880000</v>
      </c>
      <c r="J366" s="14">
        <v>28567000000</v>
      </c>
    </row>
    <row r="367" spans="1:10" hidden="1" x14ac:dyDescent="0.35">
      <c r="A367" s="15">
        <v>7</v>
      </c>
      <c r="B367" s="15"/>
      <c r="C367" s="11" t="s">
        <v>84</v>
      </c>
      <c r="D367" s="12" t="s">
        <v>153</v>
      </c>
      <c r="E367" s="13" t="s">
        <v>154</v>
      </c>
      <c r="F367" s="35" t="s">
        <v>363</v>
      </c>
      <c r="G367" s="12" t="s">
        <v>31</v>
      </c>
      <c r="H367" s="12" t="s">
        <v>32</v>
      </c>
      <c r="I367" s="14">
        <v>44000</v>
      </c>
      <c r="J367" s="14">
        <v>1577505600</v>
      </c>
    </row>
    <row r="368" spans="1:10" hidden="1" x14ac:dyDescent="0.35">
      <c r="A368" s="15">
        <v>7</v>
      </c>
      <c r="B368" s="15"/>
      <c r="C368" s="11" t="s">
        <v>84</v>
      </c>
      <c r="D368" s="12" t="s">
        <v>200</v>
      </c>
      <c r="E368" s="13" t="s">
        <v>201</v>
      </c>
      <c r="F368" s="35" t="s">
        <v>365</v>
      </c>
      <c r="G368" s="12" t="s">
        <v>204</v>
      </c>
      <c r="H368" s="12" t="s">
        <v>205</v>
      </c>
      <c r="I368" s="14">
        <v>12000</v>
      </c>
      <c r="J368" s="14">
        <v>336700800</v>
      </c>
    </row>
    <row r="369" spans="1:10" hidden="1" x14ac:dyDescent="0.35">
      <c r="A369" s="15">
        <v>7</v>
      </c>
      <c r="B369" s="15"/>
      <c r="C369" s="11" t="s">
        <v>84</v>
      </c>
      <c r="D369" s="12" t="s">
        <v>200</v>
      </c>
      <c r="E369" s="13" t="s">
        <v>201</v>
      </c>
      <c r="F369" s="35" t="s">
        <v>365</v>
      </c>
      <c r="G369" s="12" t="s">
        <v>127</v>
      </c>
      <c r="H369" s="12" t="s">
        <v>128</v>
      </c>
      <c r="I369" s="14">
        <v>12000</v>
      </c>
      <c r="J369" s="14">
        <v>336700800</v>
      </c>
    </row>
    <row r="370" spans="1:10" hidden="1" x14ac:dyDescent="0.35">
      <c r="A370" s="15">
        <v>7</v>
      </c>
      <c r="B370" s="15"/>
      <c r="C370" s="11" t="s">
        <v>84</v>
      </c>
      <c r="D370" s="12" t="s">
        <v>169</v>
      </c>
      <c r="E370" s="13" t="s">
        <v>170</v>
      </c>
      <c r="F370" s="35" t="s">
        <v>363</v>
      </c>
      <c r="G370" s="12" t="s">
        <v>286</v>
      </c>
      <c r="H370" s="12" t="s">
        <v>287</v>
      </c>
      <c r="I370" s="14">
        <v>21500</v>
      </c>
      <c r="J370" s="14">
        <v>675869700</v>
      </c>
    </row>
    <row r="371" spans="1:10" hidden="1" x14ac:dyDescent="0.35">
      <c r="A371" s="15">
        <v>8</v>
      </c>
      <c r="B371" s="15"/>
      <c r="C371" s="11" t="s">
        <v>14</v>
      </c>
      <c r="D371" s="12" t="s">
        <v>15</v>
      </c>
      <c r="E371" s="13" t="s">
        <v>16</v>
      </c>
      <c r="F371" s="35" t="s">
        <v>363</v>
      </c>
      <c r="G371" s="12" t="s">
        <v>17</v>
      </c>
      <c r="H371" s="12" t="s">
        <v>18</v>
      </c>
      <c r="I371" s="14">
        <v>5500</v>
      </c>
      <c r="J371" s="14">
        <v>179712500</v>
      </c>
    </row>
    <row r="372" spans="1:10" hidden="1" x14ac:dyDescent="0.35">
      <c r="A372" s="15">
        <v>8</v>
      </c>
      <c r="B372" s="15"/>
      <c r="C372" s="11" t="s">
        <v>14</v>
      </c>
      <c r="D372" s="12" t="s">
        <v>15</v>
      </c>
      <c r="E372" s="13" t="s">
        <v>16</v>
      </c>
      <c r="F372" s="31" t="s">
        <v>366</v>
      </c>
      <c r="G372" s="12" t="s">
        <v>47</v>
      </c>
      <c r="H372" s="12" t="s">
        <v>48</v>
      </c>
      <c r="I372" s="14">
        <v>16500</v>
      </c>
      <c r="J372" s="14">
        <v>330000000</v>
      </c>
    </row>
    <row r="373" spans="1:10" hidden="1" x14ac:dyDescent="0.35">
      <c r="A373" s="15">
        <v>8</v>
      </c>
      <c r="B373" s="15"/>
      <c r="C373" s="11" t="s">
        <v>14</v>
      </c>
      <c r="D373" s="12" t="s">
        <v>15</v>
      </c>
      <c r="E373" s="13" t="s">
        <v>16</v>
      </c>
      <c r="F373" s="31" t="s">
        <v>366</v>
      </c>
      <c r="G373" s="12" t="s">
        <v>93</v>
      </c>
      <c r="H373" s="12" t="s">
        <v>94</v>
      </c>
      <c r="I373" s="14">
        <v>5500</v>
      </c>
      <c r="J373" s="14">
        <v>110000000</v>
      </c>
    </row>
    <row r="374" spans="1:10" hidden="1" x14ac:dyDescent="0.35">
      <c r="A374" s="15">
        <v>8</v>
      </c>
      <c r="B374" s="28" t="s">
        <v>2</v>
      </c>
      <c r="C374" s="11" t="s">
        <v>14</v>
      </c>
      <c r="D374" s="12" t="s">
        <v>23</v>
      </c>
      <c r="E374" s="13" t="s">
        <v>24</v>
      </c>
      <c r="F374" s="35" t="s">
        <v>363</v>
      </c>
      <c r="G374" s="12" t="s">
        <v>17</v>
      </c>
      <c r="H374" s="12" t="s">
        <v>18</v>
      </c>
      <c r="I374" s="14">
        <v>330000</v>
      </c>
      <c r="J374" s="14">
        <v>10970850000</v>
      </c>
    </row>
    <row r="375" spans="1:10" hidden="1" x14ac:dyDescent="0.35">
      <c r="A375" s="15">
        <v>8</v>
      </c>
      <c r="B375" s="15"/>
      <c r="C375" s="11" t="s">
        <v>14</v>
      </c>
      <c r="D375" s="12" t="s">
        <v>25</v>
      </c>
      <c r="E375" s="13" t="s">
        <v>26</v>
      </c>
      <c r="F375" s="35" t="s">
        <v>363</v>
      </c>
      <c r="G375" s="12" t="s">
        <v>288</v>
      </c>
      <c r="H375" s="12" t="s">
        <v>289</v>
      </c>
      <c r="I375" s="14">
        <v>-22000</v>
      </c>
      <c r="J375" s="14">
        <v>-807977940</v>
      </c>
    </row>
    <row r="376" spans="1:10" hidden="1" x14ac:dyDescent="0.35">
      <c r="A376" s="15">
        <v>8</v>
      </c>
      <c r="B376" s="15"/>
      <c r="C376" s="11" t="s">
        <v>14</v>
      </c>
      <c r="D376" s="12" t="s">
        <v>25</v>
      </c>
      <c r="E376" s="13" t="s">
        <v>26</v>
      </c>
      <c r="F376" s="35" t="s">
        <v>363</v>
      </c>
      <c r="G376" s="12" t="s">
        <v>288</v>
      </c>
      <c r="H376" s="12" t="s">
        <v>289</v>
      </c>
      <c r="I376" s="14">
        <v>206800</v>
      </c>
      <c r="J376" s="14">
        <v>7594992636</v>
      </c>
    </row>
    <row r="377" spans="1:10" hidden="1" x14ac:dyDescent="0.35">
      <c r="A377" s="15">
        <v>8</v>
      </c>
      <c r="B377" s="15"/>
      <c r="C377" s="11" t="s">
        <v>14</v>
      </c>
      <c r="D377" s="12" t="s">
        <v>33</v>
      </c>
      <c r="E377" s="13" t="s">
        <v>34</v>
      </c>
      <c r="F377" s="35" t="s">
        <v>363</v>
      </c>
      <c r="G377" s="12" t="s">
        <v>21</v>
      </c>
      <c r="H377" s="12" t="s">
        <v>22</v>
      </c>
      <c r="I377" s="14">
        <v>616000</v>
      </c>
      <c r="J377" s="14">
        <f>22789123500+5956500</f>
        <v>22795080000</v>
      </c>
    </row>
    <row r="378" spans="1:10" hidden="1" x14ac:dyDescent="0.35">
      <c r="A378" s="15">
        <v>8</v>
      </c>
      <c r="B378" s="15"/>
      <c r="C378" s="11" t="s">
        <v>14</v>
      </c>
      <c r="D378" s="12" t="s">
        <v>37</v>
      </c>
      <c r="E378" s="13" t="s">
        <v>348</v>
      </c>
      <c r="F378" s="35" t="s">
        <v>363</v>
      </c>
      <c r="G378" s="12" t="s">
        <v>21</v>
      </c>
      <c r="H378" s="12" t="s">
        <v>22</v>
      </c>
      <c r="I378" s="14">
        <v>43293</v>
      </c>
      <c r="J378" s="14">
        <v>1583263973</v>
      </c>
    </row>
    <row r="379" spans="1:10" x14ac:dyDescent="0.35">
      <c r="A379" s="15">
        <v>8</v>
      </c>
      <c r="B379" s="28" t="s">
        <v>2</v>
      </c>
      <c r="C379" s="11" t="s">
        <v>14</v>
      </c>
      <c r="D379" s="12" t="s">
        <v>41</v>
      </c>
      <c r="E379" s="13" t="s">
        <v>42</v>
      </c>
      <c r="F379" s="31" t="s">
        <v>366</v>
      </c>
      <c r="G379" s="12" t="s">
        <v>43</v>
      </c>
      <c r="H379" s="12" t="s">
        <v>44</v>
      </c>
      <c r="I379" s="14">
        <v>-25</v>
      </c>
      <c r="J379" s="14">
        <v>-916275</v>
      </c>
    </row>
    <row r="380" spans="1:10" x14ac:dyDescent="0.35">
      <c r="A380" s="15">
        <v>8</v>
      </c>
      <c r="B380" s="28" t="s">
        <v>2</v>
      </c>
      <c r="C380" s="11" t="s">
        <v>14</v>
      </c>
      <c r="D380" s="12" t="s">
        <v>41</v>
      </c>
      <c r="E380" s="13" t="s">
        <v>42</v>
      </c>
      <c r="F380" s="31" t="s">
        <v>366</v>
      </c>
      <c r="G380" s="12" t="s">
        <v>43</v>
      </c>
      <c r="H380" s="12" t="s">
        <v>44</v>
      </c>
      <c r="I380" s="14">
        <v>35750</v>
      </c>
      <c r="J380" s="14">
        <v>1315883250</v>
      </c>
    </row>
    <row r="381" spans="1:10" hidden="1" x14ac:dyDescent="0.35">
      <c r="A381" s="15">
        <v>8</v>
      </c>
      <c r="B381" s="15"/>
      <c r="C381" s="11" t="s">
        <v>14</v>
      </c>
      <c r="D381" s="12" t="s">
        <v>179</v>
      </c>
      <c r="E381" s="13" t="s">
        <v>180</v>
      </c>
      <c r="F381" s="35" t="s">
        <v>365</v>
      </c>
      <c r="G381" s="12" t="s">
        <v>123</v>
      </c>
      <c r="H381" s="12" t="s">
        <v>124</v>
      </c>
      <c r="I381" s="14">
        <v>16500</v>
      </c>
      <c r="J381" s="14">
        <v>320833332</v>
      </c>
    </row>
    <row r="382" spans="1:10" x14ac:dyDescent="0.35">
      <c r="A382" s="15">
        <v>8</v>
      </c>
      <c r="B382" s="28" t="s">
        <v>2</v>
      </c>
      <c r="C382" s="11" t="s">
        <v>14</v>
      </c>
      <c r="D382" s="12" t="s">
        <v>45</v>
      </c>
      <c r="E382" s="13" t="s">
        <v>46</v>
      </c>
      <c r="F382" s="31" t="s">
        <v>366</v>
      </c>
      <c r="G382" s="12" t="s">
        <v>43</v>
      </c>
      <c r="H382" s="12" t="s">
        <v>44</v>
      </c>
      <c r="I382" s="14">
        <v>77000</v>
      </c>
      <c r="J382" s="14">
        <v>2759890980</v>
      </c>
    </row>
    <row r="383" spans="1:10" hidden="1" x14ac:dyDescent="0.35">
      <c r="A383" s="15">
        <v>8</v>
      </c>
      <c r="B383" s="28" t="s">
        <v>2</v>
      </c>
      <c r="C383" s="11" t="s">
        <v>14</v>
      </c>
      <c r="D383" s="12" t="s">
        <v>45</v>
      </c>
      <c r="E383" s="13" t="s">
        <v>46</v>
      </c>
      <c r="F383" s="35" t="s">
        <v>363</v>
      </c>
      <c r="G383" s="12" t="s">
        <v>17</v>
      </c>
      <c r="H383" s="12" t="s">
        <v>18</v>
      </c>
      <c r="I383" s="14">
        <v>16500</v>
      </c>
      <c r="J383" s="14">
        <v>535537420</v>
      </c>
    </row>
    <row r="384" spans="1:10" x14ac:dyDescent="0.35">
      <c r="A384" s="15">
        <v>8</v>
      </c>
      <c r="B384" s="28" t="s">
        <v>2</v>
      </c>
      <c r="C384" s="11" t="s">
        <v>14</v>
      </c>
      <c r="D384" s="12" t="s">
        <v>45</v>
      </c>
      <c r="E384" s="13" t="s">
        <v>46</v>
      </c>
      <c r="F384" s="31" t="s">
        <v>366</v>
      </c>
      <c r="G384" s="12" t="s">
        <v>51</v>
      </c>
      <c r="H384" s="12" t="s">
        <v>52</v>
      </c>
      <c r="I384" s="14">
        <v>44000</v>
      </c>
      <c r="J384" s="14">
        <v>1497083719</v>
      </c>
    </row>
    <row r="385" spans="1:10" x14ac:dyDescent="0.35">
      <c r="A385" s="15">
        <v>8</v>
      </c>
      <c r="B385" s="28" t="s">
        <v>2</v>
      </c>
      <c r="C385" s="11" t="s">
        <v>14</v>
      </c>
      <c r="D385" s="12" t="s">
        <v>45</v>
      </c>
      <c r="E385" s="13" t="s">
        <v>46</v>
      </c>
      <c r="F385" s="31" t="s">
        <v>366</v>
      </c>
      <c r="G385" s="12" t="s">
        <v>53</v>
      </c>
      <c r="H385" s="12" t="s">
        <v>54</v>
      </c>
      <c r="I385" s="14">
        <v>22000</v>
      </c>
      <c r="J385" s="14">
        <v>788540280</v>
      </c>
    </row>
    <row r="386" spans="1:10" hidden="1" x14ac:dyDescent="0.35">
      <c r="A386" s="15">
        <v>8</v>
      </c>
      <c r="B386" s="15"/>
      <c r="C386" s="11" t="s">
        <v>14</v>
      </c>
      <c r="D386" s="12" t="s">
        <v>57</v>
      </c>
      <c r="E386" s="13" t="s">
        <v>349</v>
      </c>
      <c r="F386" s="35" t="s">
        <v>363</v>
      </c>
      <c r="G386" s="12" t="s">
        <v>21</v>
      </c>
      <c r="H386" s="12" t="s">
        <v>22</v>
      </c>
      <c r="I386" s="14">
        <v>44000</v>
      </c>
      <c r="J386" s="14">
        <v>1609080000</v>
      </c>
    </row>
    <row r="387" spans="1:10" hidden="1" x14ac:dyDescent="0.35">
      <c r="A387" s="15">
        <v>8</v>
      </c>
      <c r="B387" s="15"/>
      <c r="C387" s="11" t="s">
        <v>14</v>
      </c>
      <c r="D387" s="12" t="s">
        <v>66</v>
      </c>
      <c r="E387" s="13" t="s">
        <v>67</v>
      </c>
      <c r="F387" s="31" t="s">
        <v>366</v>
      </c>
      <c r="G387" s="12" t="s">
        <v>68</v>
      </c>
      <c r="H387" s="12" t="s">
        <v>69</v>
      </c>
      <c r="I387" s="14">
        <v>33000</v>
      </c>
      <c r="J387" s="14">
        <v>1083637500</v>
      </c>
    </row>
    <row r="388" spans="1:10" hidden="1" x14ac:dyDescent="0.35">
      <c r="A388" s="15">
        <v>8</v>
      </c>
      <c r="B388" s="15"/>
      <c r="C388" s="11" t="s">
        <v>14</v>
      </c>
      <c r="D388" s="12" t="s">
        <v>107</v>
      </c>
      <c r="E388" s="13" t="s">
        <v>108</v>
      </c>
      <c r="F388" s="35" t="s">
        <v>363</v>
      </c>
      <c r="G388" s="12" t="s">
        <v>31</v>
      </c>
      <c r="H388" s="12" t="s">
        <v>32</v>
      </c>
      <c r="I388" s="14">
        <v>11000</v>
      </c>
      <c r="J388" s="14">
        <v>375426150</v>
      </c>
    </row>
    <row r="389" spans="1:10" hidden="1" x14ac:dyDescent="0.35">
      <c r="A389" s="15">
        <v>8</v>
      </c>
      <c r="B389" s="15"/>
      <c r="C389" s="11" t="s">
        <v>14</v>
      </c>
      <c r="D389" s="12" t="s">
        <v>276</v>
      </c>
      <c r="E389" s="13" t="s">
        <v>277</v>
      </c>
      <c r="F389" s="35" t="s">
        <v>364</v>
      </c>
      <c r="G389" s="12" t="s">
        <v>117</v>
      </c>
      <c r="H389" s="12" t="s">
        <v>191</v>
      </c>
      <c r="I389" s="14">
        <v>259350</v>
      </c>
      <c r="J389" s="14">
        <v>4616430000</v>
      </c>
    </row>
    <row r="390" spans="1:10" hidden="1" x14ac:dyDescent="0.35">
      <c r="A390" s="15">
        <v>8</v>
      </c>
      <c r="B390" s="15"/>
      <c r="C390" s="11" t="s">
        <v>14</v>
      </c>
      <c r="D390" s="12" t="s">
        <v>72</v>
      </c>
      <c r="E390" s="13" t="s">
        <v>73</v>
      </c>
      <c r="F390" s="35" t="s">
        <v>363</v>
      </c>
      <c r="G390" s="12" t="s">
        <v>17</v>
      </c>
      <c r="H390" s="12" t="s">
        <v>18</v>
      </c>
      <c r="I390" s="14">
        <v>11000</v>
      </c>
      <c r="J390" s="14">
        <v>367419800</v>
      </c>
    </row>
    <row r="391" spans="1:10" hidden="1" x14ac:dyDescent="0.35">
      <c r="A391" s="15">
        <v>8</v>
      </c>
      <c r="B391" s="15"/>
      <c r="C391" s="11" t="s">
        <v>14</v>
      </c>
      <c r="D391" s="12" t="s">
        <v>290</v>
      </c>
      <c r="E391" s="13" t="s">
        <v>291</v>
      </c>
      <c r="F391" s="35" t="s">
        <v>363</v>
      </c>
      <c r="G391" s="12" t="s">
        <v>21</v>
      </c>
      <c r="H391" s="12" t="s">
        <v>22</v>
      </c>
      <c r="I391" s="14">
        <v>44000</v>
      </c>
      <c r="J391" s="14">
        <v>1634116000</v>
      </c>
    </row>
    <row r="392" spans="1:10" hidden="1" x14ac:dyDescent="0.35">
      <c r="A392" s="15">
        <v>8</v>
      </c>
      <c r="B392" s="15"/>
      <c r="C392" s="11" t="s">
        <v>14</v>
      </c>
      <c r="D392" s="12" t="s">
        <v>290</v>
      </c>
      <c r="E392" s="13" t="s">
        <v>291</v>
      </c>
      <c r="F392" s="35" t="s">
        <v>363</v>
      </c>
      <c r="G392" s="12" t="s">
        <v>21</v>
      </c>
      <c r="H392" s="12" t="s">
        <v>22</v>
      </c>
      <c r="I392" s="14">
        <v>44000</v>
      </c>
      <c r="J392" s="14">
        <v>1634116000</v>
      </c>
    </row>
    <row r="393" spans="1:10" hidden="1" x14ac:dyDescent="0.35">
      <c r="A393" s="15">
        <v>8</v>
      </c>
      <c r="B393" s="15"/>
      <c r="C393" s="11" t="s">
        <v>14</v>
      </c>
      <c r="D393" s="12" t="s">
        <v>74</v>
      </c>
      <c r="E393" s="13" t="s">
        <v>75</v>
      </c>
      <c r="F393" s="31" t="s">
        <v>366</v>
      </c>
      <c r="G393" s="12" t="s">
        <v>76</v>
      </c>
      <c r="H393" s="12" t="s">
        <v>77</v>
      </c>
      <c r="I393" s="14">
        <v>3000</v>
      </c>
      <c r="J393" s="14">
        <v>83160000</v>
      </c>
    </row>
    <row r="394" spans="1:10" hidden="1" x14ac:dyDescent="0.35">
      <c r="A394" s="15">
        <v>8</v>
      </c>
      <c r="B394" s="15"/>
      <c r="C394" s="11" t="s">
        <v>14</v>
      </c>
      <c r="D394" s="12" t="s">
        <v>78</v>
      </c>
      <c r="E394" s="13" t="s">
        <v>79</v>
      </c>
      <c r="F394" s="31" t="s">
        <v>366</v>
      </c>
      <c r="G394" s="12" t="s">
        <v>80</v>
      </c>
      <c r="H394" s="12" t="s">
        <v>81</v>
      </c>
      <c r="I394" s="14">
        <v>23250</v>
      </c>
      <c r="J394" s="14">
        <v>360675000</v>
      </c>
    </row>
    <row r="395" spans="1:10" hidden="1" x14ac:dyDescent="0.35">
      <c r="A395" s="15">
        <v>8</v>
      </c>
      <c r="B395" s="15"/>
      <c r="C395" s="11" t="s">
        <v>14</v>
      </c>
      <c r="D395" s="12" t="s">
        <v>78</v>
      </c>
      <c r="E395" s="13" t="s">
        <v>79</v>
      </c>
      <c r="F395" s="31" t="s">
        <v>366</v>
      </c>
      <c r="G395" s="12" t="s">
        <v>103</v>
      </c>
      <c r="H395" s="12" t="s">
        <v>104</v>
      </c>
      <c r="I395" s="14">
        <v>3775</v>
      </c>
      <c r="J395" s="14">
        <v>56625000</v>
      </c>
    </row>
    <row r="396" spans="1:10" hidden="1" x14ac:dyDescent="0.35">
      <c r="A396" s="15">
        <v>8</v>
      </c>
      <c r="B396" s="15"/>
      <c r="C396" s="11" t="s">
        <v>14</v>
      </c>
      <c r="D396" s="12" t="s">
        <v>78</v>
      </c>
      <c r="E396" s="13" t="s">
        <v>79</v>
      </c>
      <c r="F396" s="31" t="s">
        <v>366</v>
      </c>
      <c r="G396" s="12" t="s">
        <v>82</v>
      </c>
      <c r="H396" s="12" t="s">
        <v>83</v>
      </c>
      <c r="I396" s="14">
        <v>7500</v>
      </c>
      <c r="J396" s="14">
        <v>116250000</v>
      </c>
    </row>
    <row r="397" spans="1:10" hidden="1" x14ac:dyDescent="0.35">
      <c r="A397" s="15">
        <v>8</v>
      </c>
      <c r="B397" s="15"/>
      <c r="C397" s="11" t="s">
        <v>14</v>
      </c>
      <c r="D397" s="12" t="s">
        <v>167</v>
      </c>
      <c r="E397" s="13" t="s">
        <v>168</v>
      </c>
      <c r="F397" s="35" t="s">
        <v>363</v>
      </c>
      <c r="G397" s="12" t="s">
        <v>21</v>
      </c>
      <c r="H397" s="12" t="s">
        <v>22</v>
      </c>
      <c r="I397" s="14">
        <v>44000</v>
      </c>
      <c r="J397" s="14">
        <v>1634116000</v>
      </c>
    </row>
    <row r="398" spans="1:10" hidden="1" x14ac:dyDescent="0.35">
      <c r="A398" s="15">
        <v>8</v>
      </c>
      <c r="B398" s="15"/>
      <c r="C398" s="11" t="s">
        <v>14</v>
      </c>
      <c r="D398" s="12" t="s">
        <v>137</v>
      </c>
      <c r="E398" s="13" t="s">
        <v>138</v>
      </c>
      <c r="F398" s="31" t="s">
        <v>366</v>
      </c>
      <c r="G398" s="12" t="s">
        <v>105</v>
      </c>
      <c r="H398" s="12" t="s">
        <v>106</v>
      </c>
      <c r="I398" s="14">
        <v>2250</v>
      </c>
      <c r="J398" s="14">
        <v>35416667</v>
      </c>
    </row>
    <row r="399" spans="1:10" hidden="1" x14ac:dyDescent="0.35">
      <c r="A399" s="15">
        <v>8</v>
      </c>
      <c r="B399" s="15"/>
      <c r="C399" s="11" t="s">
        <v>14</v>
      </c>
      <c r="D399" s="12" t="s">
        <v>137</v>
      </c>
      <c r="E399" s="13" t="s">
        <v>138</v>
      </c>
      <c r="F399" s="31" t="s">
        <v>366</v>
      </c>
      <c r="G399" s="12" t="s">
        <v>119</v>
      </c>
      <c r="H399" s="12" t="s">
        <v>120</v>
      </c>
      <c r="I399" s="14">
        <v>5250</v>
      </c>
      <c r="J399" s="14">
        <v>82638889</v>
      </c>
    </row>
    <row r="400" spans="1:10" hidden="1" x14ac:dyDescent="0.35">
      <c r="A400" s="15">
        <v>8</v>
      </c>
      <c r="B400" s="15"/>
      <c r="C400" s="11" t="s">
        <v>14</v>
      </c>
      <c r="D400" s="12" t="s">
        <v>185</v>
      </c>
      <c r="E400" s="13" t="s">
        <v>186</v>
      </c>
      <c r="F400" s="31" t="s">
        <v>366</v>
      </c>
      <c r="G400" s="12" t="s">
        <v>93</v>
      </c>
      <c r="H400" s="12" t="s">
        <v>94</v>
      </c>
      <c r="I400" s="14">
        <v>9625</v>
      </c>
      <c r="J400" s="14">
        <v>183409722</v>
      </c>
    </row>
    <row r="401" spans="1:10" hidden="1" x14ac:dyDescent="0.35">
      <c r="A401" s="15">
        <v>8</v>
      </c>
      <c r="B401" s="15"/>
      <c r="C401" s="11" t="s">
        <v>14</v>
      </c>
      <c r="D401" s="12" t="s">
        <v>185</v>
      </c>
      <c r="E401" s="13" t="s">
        <v>186</v>
      </c>
      <c r="F401" s="31" t="s">
        <v>366</v>
      </c>
      <c r="G401" s="12" t="s">
        <v>97</v>
      </c>
      <c r="H401" s="12" t="s">
        <v>98</v>
      </c>
      <c r="I401" s="14">
        <v>37125</v>
      </c>
      <c r="J401" s="14">
        <v>715993056</v>
      </c>
    </row>
    <row r="402" spans="1:10" hidden="1" x14ac:dyDescent="0.35">
      <c r="A402" s="15">
        <v>8</v>
      </c>
      <c r="B402" s="15"/>
      <c r="C402" s="11" t="s">
        <v>14</v>
      </c>
      <c r="D402" s="12" t="s">
        <v>185</v>
      </c>
      <c r="E402" s="13" t="s">
        <v>186</v>
      </c>
      <c r="F402" s="31" t="s">
        <v>366</v>
      </c>
      <c r="G402" s="12" t="s">
        <v>216</v>
      </c>
      <c r="H402" s="12" t="s">
        <v>217</v>
      </c>
      <c r="I402" s="14">
        <v>22000</v>
      </c>
      <c r="J402" s="14">
        <v>419222224</v>
      </c>
    </row>
    <row r="403" spans="1:10" hidden="1" x14ac:dyDescent="0.35">
      <c r="A403" s="15">
        <v>8</v>
      </c>
      <c r="B403" s="15"/>
      <c r="C403" s="11" t="s">
        <v>14</v>
      </c>
      <c r="D403" s="12" t="s">
        <v>185</v>
      </c>
      <c r="E403" s="13" t="s">
        <v>186</v>
      </c>
      <c r="F403" s="31" t="s">
        <v>366</v>
      </c>
      <c r="G403" s="12" t="s">
        <v>80</v>
      </c>
      <c r="H403" s="12" t="s">
        <v>81</v>
      </c>
      <c r="I403" s="14">
        <v>5250</v>
      </c>
      <c r="J403" s="14">
        <v>89930556</v>
      </c>
    </row>
    <row r="404" spans="1:10" hidden="1" x14ac:dyDescent="0.35">
      <c r="A404" s="15">
        <v>8</v>
      </c>
      <c r="B404" s="15"/>
      <c r="C404" s="11" t="s">
        <v>14</v>
      </c>
      <c r="D404" s="12" t="s">
        <v>185</v>
      </c>
      <c r="E404" s="13" t="s">
        <v>186</v>
      </c>
      <c r="F404" s="31" t="s">
        <v>366</v>
      </c>
      <c r="G404" s="12" t="s">
        <v>82</v>
      </c>
      <c r="H404" s="12" t="s">
        <v>83</v>
      </c>
      <c r="I404" s="14">
        <v>5250</v>
      </c>
      <c r="J404" s="14">
        <v>89930556</v>
      </c>
    </row>
    <row r="405" spans="1:10" hidden="1" x14ac:dyDescent="0.35">
      <c r="A405" s="15">
        <v>8</v>
      </c>
      <c r="B405" s="15"/>
      <c r="C405" s="11" t="s">
        <v>14</v>
      </c>
      <c r="D405" s="12" t="s">
        <v>185</v>
      </c>
      <c r="E405" s="13" t="s">
        <v>186</v>
      </c>
      <c r="F405" s="31" t="s">
        <v>366</v>
      </c>
      <c r="G405" s="12" t="s">
        <v>196</v>
      </c>
      <c r="H405" s="12" t="s">
        <v>197</v>
      </c>
      <c r="I405" s="14">
        <v>-3500</v>
      </c>
      <c r="J405" s="14">
        <v>-45370370</v>
      </c>
    </row>
    <row r="406" spans="1:10" hidden="1" x14ac:dyDescent="0.35">
      <c r="A406" s="15">
        <v>8</v>
      </c>
      <c r="B406" s="15"/>
      <c r="C406" s="11" t="s">
        <v>14</v>
      </c>
      <c r="D406" s="12" t="s">
        <v>228</v>
      </c>
      <c r="E406" s="13" t="s">
        <v>229</v>
      </c>
      <c r="F406" s="31" t="s">
        <v>366</v>
      </c>
      <c r="G406" s="12" t="s">
        <v>113</v>
      </c>
      <c r="H406" s="12" t="s">
        <v>114</v>
      </c>
      <c r="I406" s="14">
        <v>23375</v>
      </c>
      <c r="J406" s="14">
        <v>367939819</v>
      </c>
    </row>
    <row r="407" spans="1:10" hidden="1" x14ac:dyDescent="0.35">
      <c r="A407" s="15">
        <v>8</v>
      </c>
      <c r="B407" s="28" t="s">
        <v>2</v>
      </c>
      <c r="C407" s="11" t="s">
        <v>14</v>
      </c>
      <c r="D407" s="12" t="s">
        <v>270</v>
      </c>
      <c r="E407" s="13" t="s">
        <v>271</v>
      </c>
      <c r="F407" s="35" t="s">
        <v>363</v>
      </c>
      <c r="G407" s="12" t="s">
        <v>17</v>
      </c>
      <c r="H407" s="12" t="s">
        <v>18</v>
      </c>
      <c r="I407" s="14">
        <v>88000</v>
      </c>
      <c r="J407" s="14">
        <v>2925560000</v>
      </c>
    </row>
    <row r="408" spans="1:10" hidden="1" x14ac:dyDescent="0.35">
      <c r="A408" s="15">
        <v>8</v>
      </c>
      <c r="B408" s="15"/>
      <c r="C408" s="11" t="s">
        <v>14</v>
      </c>
      <c r="D408" s="12" t="s">
        <v>260</v>
      </c>
      <c r="E408" s="13" t="s">
        <v>261</v>
      </c>
      <c r="F408" s="35" t="s">
        <v>364</v>
      </c>
      <c r="G408" s="12" t="s">
        <v>117</v>
      </c>
      <c r="H408" s="12" t="s">
        <v>118</v>
      </c>
      <c r="I408" s="14">
        <v>51500</v>
      </c>
      <c r="J408" s="14">
        <v>875500000</v>
      </c>
    </row>
    <row r="409" spans="1:10" hidden="1" x14ac:dyDescent="0.35">
      <c r="A409" s="15">
        <v>8</v>
      </c>
      <c r="B409" s="15"/>
      <c r="C409" s="11" t="s">
        <v>14</v>
      </c>
      <c r="D409" s="12" t="s">
        <v>254</v>
      </c>
      <c r="E409" s="13" t="s">
        <v>255</v>
      </c>
      <c r="F409" s="35" t="s">
        <v>363</v>
      </c>
      <c r="G409" s="12" t="s">
        <v>256</v>
      </c>
      <c r="H409" s="12" t="s">
        <v>292</v>
      </c>
      <c r="I409" s="14">
        <v>2200</v>
      </c>
      <c r="J409" s="14">
        <v>73700000</v>
      </c>
    </row>
    <row r="410" spans="1:10" hidden="1" x14ac:dyDescent="0.35">
      <c r="A410" s="15">
        <v>8</v>
      </c>
      <c r="B410" s="15"/>
      <c r="C410" s="11" t="s">
        <v>14</v>
      </c>
      <c r="D410" s="12" t="s">
        <v>282</v>
      </c>
      <c r="E410" s="13" t="s">
        <v>283</v>
      </c>
      <c r="F410" s="31" t="s">
        <v>366</v>
      </c>
      <c r="G410" s="12" t="s">
        <v>103</v>
      </c>
      <c r="H410" s="12" t="s">
        <v>104</v>
      </c>
      <c r="I410" s="14">
        <v>3000</v>
      </c>
      <c r="J410" s="14">
        <v>45000000</v>
      </c>
    </row>
    <row r="411" spans="1:10" hidden="1" x14ac:dyDescent="0.35">
      <c r="A411" s="15">
        <v>8</v>
      </c>
      <c r="B411" s="15"/>
      <c r="C411" s="11" t="s">
        <v>14</v>
      </c>
      <c r="D411" s="12" t="s">
        <v>293</v>
      </c>
      <c r="E411" s="13" t="s">
        <v>294</v>
      </c>
      <c r="F411" s="35" t="s">
        <v>364</v>
      </c>
      <c r="G411" s="12" t="s">
        <v>117</v>
      </c>
      <c r="H411" s="12" t="s">
        <v>118</v>
      </c>
      <c r="I411" s="14">
        <v>10500</v>
      </c>
      <c r="J411" s="14">
        <v>186900000</v>
      </c>
    </row>
    <row r="412" spans="1:10" hidden="1" x14ac:dyDescent="0.35">
      <c r="A412" s="15">
        <v>8</v>
      </c>
      <c r="B412" s="15"/>
      <c r="C412" s="11" t="s">
        <v>14</v>
      </c>
      <c r="D412" s="12" t="s">
        <v>295</v>
      </c>
      <c r="E412" s="13" t="s">
        <v>296</v>
      </c>
      <c r="F412" s="35" t="s">
        <v>365</v>
      </c>
      <c r="G412" s="12" t="s">
        <v>129</v>
      </c>
      <c r="H412" s="12" t="s">
        <v>130</v>
      </c>
      <c r="I412" s="14">
        <v>50</v>
      </c>
      <c r="J412" s="14">
        <v>1772000</v>
      </c>
    </row>
    <row r="413" spans="1:10" hidden="1" x14ac:dyDescent="0.35">
      <c r="A413" s="15">
        <v>8</v>
      </c>
      <c r="B413" s="15"/>
      <c r="C413" s="11" t="s">
        <v>84</v>
      </c>
      <c r="D413" s="12" t="s">
        <v>198</v>
      </c>
      <c r="E413" s="13" t="s">
        <v>199</v>
      </c>
      <c r="F413" s="35" t="s">
        <v>363</v>
      </c>
      <c r="G413" s="12" t="s">
        <v>17</v>
      </c>
      <c r="H413" s="12" t="s">
        <v>18</v>
      </c>
      <c r="I413" s="14">
        <v>66000</v>
      </c>
      <c r="J413" s="14">
        <v>2134746900</v>
      </c>
    </row>
    <row r="414" spans="1:10" hidden="1" x14ac:dyDescent="0.35">
      <c r="A414" s="15">
        <v>8</v>
      </c>
      <c r="B414" s="15"/>
      <c r="C414" s="11" t="s">
        <v>84</v>
      </c>
      <c r="D414" s="12" t="s">
        <v>85</v>
      </c>
      <c r="E414" s="13" t="s">
        <v>86</v>
      </c>
      <c r="F414" s="35" t="s">
        <v>363</v>
      </c>
      <c r="G414" s="12" t="s">
        <v>17</v>
      </c>
      <c r="H414" s="12" t="s">
        <v>18</v>
      </c>
      <c r="I414" s="14">
        <v>1210000</v>
      </c>
      <c r="J414" s="14">
        <v>36866919584</v>
      </c>
    </row>
    <row r="415" spans="1:10" hidden="1" x14ac:dyDescent="0.35">
      <c r="A415" s="15">
        <v>8</v>
      </c>
      <c r="B415" s="15"/>
      <c r="C415" s="11" t="s">
        <v>84</v>
      </c>
      <c r="D415" s="12" t="s">
        <v>145</v>
      </c>
      <c r="E415" s="13" t="s">
        <v>146</v>
      </c>
      <c r="F415" s="35" t="s">
        <v>363</v>
      </c>
      <c r="G415" s="12" t="s">
        <v>31</v>
      </c>
      <c r="H415" s="12" t="s">
        <v>32</v>
      </c>
      <c r="I415" s="14">
        <v>22000</v>
      </c>
      <c r="J415" s="14">
        <v>728703360</v>
      </c>
    </row>
    <row r="416" spans="1:10" hidden="1" x14ac:dyDescent="0.35">
      <c r="A416" s="15">
        <v>8</v>
      </c>
      <c r="B416" s="15"/>
      <c r="C416" s="11" t="s">
        <v>84</v>
      </c>
      <c r="D416" s="12" t="s">
        <v>147</v>
      </c>
      <c r="E416" s="13" t="s">
        <v>148</v>
      </c>
      <c r="F416" s="35" t="s">
        <v>363</v>
      </c>
      <c r="G416" s="12" t="s">
        <v>31</v>
      </c>
      <c r="H416" s="12" t="s">
        <v>32</v>
      </c>
      <c r="I416" s="14">
        <v>880000</v>
      </c>
      <c r="J416" s="14">
        <v>28811750000</v>
      </c>
    </row>
    <row r="417" spans="1:10" hidden="1" x14ac:dyDescent="0.35">
      <c r="A417" s="15">
        <v>8</v>
      </c>
      <c r="B417" s="15"/>
      <c r="C417" s="11" t="s">
        <v>84</v>
      </c>
      <c r="D417" s="12" t="s">
        <v>238</v>
      </c>
      <c r="E417" s="13" t="s">
        <v>239</v>
      </c>
      <c r="F417" s="35" t="s">
        <v>363</v>
      </c>
      <c r="G417" s="12" t="s">
        <v>31</v>
      </c>
      <c r="H417" s="12" t="s">
        <v>32</v>
      </c>
      <c r="I417" s="14">
        <v>44000</v>
      </c>
      <c r="J417" s="14">
        <v>1548558000</v>
      </c>
    </row>
    <row r="418" spans="1:10" hidden="1" x14ac:dyDescent="0.35">
      <c r="A418" s="15">
        <v>8</v>
      </c>
      <c r="B418" s="15"/>
      <c r="C418" s="11" t="s">
        <v>84</v>
      </c>
      <c r="D418" s="12" t="s">
        <v>250</v>
      </c>
      <c r="E418" s="13" t="s">
        <v>251</v>
      </c>
      <c r="F418" s="35" t="s">
        <v>363</v>
      </c>
      <c r="G418" s="12" t="s">
        <v>135</v>
      </c>
      <c r="H418" s="12" t="s">
        <v>136</v>
      </c>
      <c r="I418" s="14">
        <v>220000</v>
      </c>
      <c r="J418" s="14">
        <v>5847864000</v>
      </c>
    </row>
    <row r="419" spans="1:10" hidden="1" x14ac:dyDescent="0.35">
      <c r="A419" s="15">
        <v>8</v>
      </c>
      <c r="B419" s="15"/>
      <c r="C419" s="11" t="s">
        <v>84</v>
      </c>
      <c r="D419" s="12" t="s">
        <v>161</v>
      </c>
      <c r="E419" s="13" t="s">
        <v>162</v>
      </c>
      <c r="F419" s="31" t="s">
        <v>366</v>
      </c>
      <c r="G419" s="12" t="s">
        <v>189</v>
      </c>
      <c r="H419" s="12" t="s">
        <v>190</v>
      </c>
      <c r="I419" s="14">
        <v>99000</v>
      </c>
      <c r="J419" s="14">
        <v>3786649020</v>
      </c>
    </row>
    <row r="420" spans="1:10" hidden="1" x14ac:dyDescent="0.35">
      <c r="A420" s="15">
        <v>8</v>
      </c>
      <c r="B420" s="15"/>
      <c r="C420" s="11" t="s">
        <v>84</v>
      </c>
      <c r="D420" s="12" t="s">
        <v>242</v>
      </c>
      <c r="E420" s="13" t="s">
        <v>243</v>
      </c>
      <c r="F420" s="35" t="s">
        <v>363</v>
      </c>
      <c r="G420" s="12" t="s">
        <v>17</v>
      </c>
      <c r="H420" s="12" t="s">
        <v>18</v>
      </c>
      <c r="I420" s="14">
        <v>44000</v>
      </c>
      <c r="J420" s="14">
        <v>1466572800</v>
      </c>
    </row>
    <row r="421" spans="1:10" hidden="1" x14ac:dyDescent="0.35">
      <c r="A421" s="15">
        <v>8</v>
      </c>
      <c r="B421" s="15"/>
      <c r="C421" s="11" t="s">
        <v>84</v>
      </c>
      <c r="D421" s="12" t="s">
        <v>297</v>
      </c>
      <c r="E421" s="13" t="s">
        <v>298</v>
      </c>
      <c r="F421" s="35" t="s">
        <v>363</v>
      </c>
      <c r="G421" s="12" t="s">
        <v>31</v>
      </c>
      <c r="H421" s="12" t="s">
        <v>32</v>
      </c>
      <c r="I421" s="14">
        <v>330000</v>
      </c>
      <c r="J421" s="14">
        <v>11059540800</v>
      </c>
    </row>
    <row r="422" spans="1:10" hidden="1" x14ac:dyDescent="0.35">
      <c r="A422" s="15">
        <v>8</v>
      </c>
      <c r="B422" s="15"/>
      <c r="C422" s="11" t="s">
        <v>84</v>
      </c>
      <c r="D422" s="12" t="s">
        <v>247</v>
      </c>
      <c r="E422" s="13" t="s">
        <v>248</v>
      </c>
      <c r="F422" s="35" t="s">
        <v>363</v>
      </c>
      <c r="G422" s="12" t="s">
        <v>135</v>
      </c>
      <c r="H422" s="12" t="s">
        <v>136</v>
      </c>
      <c r="I422" s="14">
        <v>44000</v>
      </c>
      <c r="J422" s="14">
        <v>1237420800</v>
      </c>
    </row>
    <row r="423" spans="1:10" hidden="1" x14ac:dyDescent="0.35">
      <c r="A423" s="15">
        <v>8</v>
      </c>
      <c r="B423" s="15"/>
      <c r="C423" s="11" t="s">
        <v>84</v>
      </c>
      <c r="D423" s="12" t="s">
        <v>299</v>
      </c>
      <c r="E423" s="13" t="s">
        <v>300</v>
      </c>
      <c r="F423" s="35" t="s">
        <v>363</v>
      </c>
      <c r="G423" s="12" t="s">
        <v>17</v>
      </c>
      <c r="H423" s="12" t="s">
        <v>18</v>
      </c>
      <c r="I423" s="14">
        <v>300</v>
      </c>
      <c r="J423" s="14">
        <v>10194600</v>
      </c>
    </row>
    <row r="424" spans="1:10" hidden="1" x14ac:dyDescent="0.35">
      <c r="A424" s="15">
        <v>8</v>
      </c>
      <c r="B424" s="15"/>
      <c r="C424" s="11" t="s">
        <v>84</v>
      </c>
      <c r="D424" s="12" t="s">
        <v>301</v>
      </c>
      <c r="E424" s="13" t="s">
        <v>302</v>
      </c>
      <c r="F424" s="31" t="s">
        <v>366</v>
      </c>
      <c r="G424" s="12" t="s">
        <v>113</v>
      </c>
      <c r="H424" s="12" t="s">
        <v>114</v>
      </c>
      <c r="I424" s="14">
        <v>27000</v>
      </c>
      <c r="J424" s="14">
        <v>570109050</v>
      </c>
    </row>
    <row r="425" spans="1:10" hidden="1" x14ac:dyDescent="0.35">
      <c r="A425" s="15">
        <v>9</v>
      </c>
      <c r="B425" s="15"/>
      <c r="C425" s="11" t="s">
        <v>14</v>
      </c>
      <c r="D425" s="12" t="s">
        <v>15</v>
      </c>
      <c r="E425" s="13" t="s">
        <v>16</v>
      </c>
      <c r="F425" s="35" t="s">
        <v>363</v>
      </c>
      <c r="G425" s="12" t="s">
        <v>17</v>
      </c>
      <c r="H425" s="12" t="s">
        <v>18</v>
      </c>
      <c r="I425" s="14">
        <v>16500</v>
      </c>
      <c r="J425" s="14">
        <v>535449860</v>
      </c>
    </row>
    <row r="426" spans="1:10" hidden="1" x14ac:dyDescent="0.35">
      <c r="A426" s="15">
        <v>9</v>
      </c>
      <c r="B426" s="15"/>
      <c r="C426" s="11" t="s">
        <v>14</v>
      </c>
      <c r="D426" s="12" t="s">
        <v>15</v>
      </c>
      <c r="E426" s="13" t="s">
        <v>16</v>
      </c>
      <c r="F426" s="31" t="s">
        <v>366</v>
      </c>
      <c r="G426" s="12" t="s">
        <v>47</v>
      </c>
      <c r="H426" s="12" t="s">
        <v>48</v>
      </c>
      <c r="I426" s="14">
        <v>11000</v>
      </c>
      <c r="J426" s="14">
        <v>220000000</v>
      </c>
    </row>
    <row r="427" spans="1:10" hidden="1" x14ac:dyDescent="0.35">
      <c r="A427" s="15">
        <v>9</v>
      </c>
      <c r="B427" s="15"/>
      <c r="C427" s="11" t="s">
        <v>14</v>
      </c>
      <c r="D427" s="12" t="s">
        <v>15</v>
      </c>
      <c r="E427" s="13" t="s">
        <v>16</v>
      </c>
      <c r="F427" s="31" t="s">
        <v>366</v>
      </c>
      <c r="G427" s="12" t="s">
        <v>93</v>
      </c>
      <c r="H427" s="12" t="s">
        <v>94</v>
      </c>
      <c r="I427" s="14">
        <v>5500</v>
      </c>
      <c r="J427" s="14">
        <v>110000000</v>
      </c>
    </row>
    <row r="428" spans="1:10" hidden="1" x14ac:dyDescent="0.35">
      <c r="A428" s="15">
        <v>9</v>
      </c>
      <c r="B428" s="15"/>
      <c r="C428" s="11" t="s">
        <v>14</v>
      </c>
      <c r="D428" s="12" t="s">
        <v>15</v>
      </c>
      <c r="E428" s="13" t="s">
        <v>16</v>
      </c>
      <c r="F428" s="31" t="s">
        <v>366</v>
      </c>
      <c r="G428" s="12" t="s">
        <v>97</v>
      </c>
      <c r="H428" s="12" t="s">
        <v>98</v>
      </c>
      <c r="I428" s="14">
        <v>2750</v>
      </c>
      <c r="J428" s="14">
        <v>55000000</v>
      </c>
    </row>
    <row r="429" spans="1:10" hidden="1" x14ac:dyDescent="0.35">
      <c r="A429" s="15">
        <v>9</v>
      </c>
      <c r="B429" s="15"/>
      <c r="C429" s="11" t="s">
        <v>14</v>
      </c>
      <c r="D429" s="12" t="s">
        <v>15</v>
      </c>
      <c r="E429" s="13" t="s">
        <v>16</v>
      </c>
      <c r="F429" s="35" t="s">
        <v>365</v>
      </c>
      <c r="G429" s="12" t="s">
        <v>127</v>
      </c>
      <c r="H429" s="12" t="s">
        <v>128</v>
      </c>
      <c r="I429" s="14">
        <v>25</v>
      </c>
      <c r="J429" s="14">
        <v>715716</v>
      </c>
    </row>
    <row r="430" spans="1:10" hidden="1" x14ac:dyDescent="0.35">
      <c r="A430" s="15">
        <v>9</v>
      </c>
      <c r="B430" s="28" t="s">
        <v>2</v>
      </c>
      <c r="C430" s="11" t="s">
        <v>14</v>
      </c>
      <c r="D430" s="12" t="s">
        <v>23</v>
      </c>
      <c r="E430" s="13" t="s">
        <v>24</v>
      </c>
      <c r="F430" s="35" t="s">
        <v>363</v>
      </c>
      <c r="G430" s="12" t="s">
        <v>17</v>
      </c>
      <c r="H430" s="12" t="s">
        <v>18</v>
      </c>
      <c r="I430" s="14">
        <v>330000</v>
      </c>
      <c r="J430" s="14">
        <v>10970850000</v>
      </c>
    </row>
    <row r="431" spans="1:10" hidden="1" x14ac:dyDescent="0.35">
      <c r="A431" s="15">
        <v>9</v>
      </c>
      <c r="B431" s="15"/>
      <c r="C431" s="11" t="s">
        <v>14</v>
      </c>
      <c r="D431" s="12" t="s">
        <v>25</v>
      </c>
      <c r="E431" s="13" t="s">
        <v>26</v>
      </c>
      <c r="F431" s="35" t="s">
        <v>363</v>
      </c>
      <c r="G431" s="12" t="s">
        <v>288</v>
      </c>
      <c r="H431" s="12" t="s">
        <v>303</v>
      </c>
      <c r="I431" s="14">
        <v>237600</v>
      </c>
      <c r="J431" s="14">
        <v>8726161752</v>
      </c>
    </row>
    <row r="432" spans="1:10" hidden="1" x14ac:dyDescent="0.35">
      <c r="A432" s="15">
        <v>9</v>
      </c>
      <c r="B432" s="15"/>
      <c r="C432" s="11" t="s">
        <v>14</v>
      </c>
      <c r="D432" s="12" t="s">
        <v>29</v>
      </c>
      <c r="E432" s="13" t="s">
        <v>30</v>
      </c>
      <c r="F432" s="35" t="s">
        <v>363</v>
      </c>
      <c r="G432" s="12" t="s">
        <v>17</v>
      </c>
      <c r="H432" s="12" t="s">
        <v>18</v>
      </c>
      <c r="I432" s="14">
        <v>500</v>
      </c>
      <c r="J432" s="14">
        <v>17822500</v>
      </c>
    </row>
    <row r="433" spans="1:10" hidden="1" x14ac:dyDescent="0.35">
      <c r="A433" s="15">
        <v>9</v>
      </c>
      <c r="B433" s="15"/>
      <c r="C433" s="11" t="s">
        <v>14</v>
      </c>
      <c r="D433" s="12" t="s">
        <v>33</v>
      </c>
      <c r="E433" s="13" t="s">
        <v>34</v>
      </c>
      <c r="F433" s="35" t="s">
        <v>363</v>
      </c>
      <c r="G433" s="12" t="s">
        <v>21</v>
      </c>
      <c r="H433" s="12" t="s">
        <v>22</v>
      </c>
      <c r="I433" s="14">
        <v>0</v>
      </c>
      <c r="J433" s="14">
        <v>-268400</v>
      </c>
    </row>
    <row r="434" spans="1:10" hidden="1" x14ac:dyDescent="0.35">
      <c r="A434" s="15">
        <v>9</v>
      </c>
      <c r="B434" s="15"/>
      <c r="C434" s="11" t="s">
        <v>14</v>
      </c>
      <c r="D434" s="12" t="s">
        <v>33</v>
      </c>
      <c r="E434" s="13" t="s">
        <v>34</v>
      </c>
      <c r="F434" s="35" t="s">
        <v>363</v>
      </c>
      <c r="G434" s="12" t="s">
        <v>21</v>
      </c>
      <c r="H434" s="12" t="s">
        <v>22</v>
      </c>
      <c r="I434" s="14">
        <v>-181500</v>
      </c>
      <c r="J434" s="14">
        <v>-6716139100</v>
      </c>
    </row>
    <row r="435" spans="1:10" hidden="1" x14ac:dyDescent="0.35">
      <c r="A435" s="15">
        <v>9</v>
      </c>
      <c r="B435" s="15"/>
      <c r="C435" s="11" t="s">
        <v>14</v>
      </c>
      <c r="D435" s="12" t="s">
        <v>33</v>
      </c>
      <c r="E435" s="13" t="s">
        <v>34</v>
      </c>
      <c r="F435" s="35" t="s">
        <v>363</v>
      </c>
      <c r="G435" s="12" t="s">
        <v>21</v>
      </c>
      <c r="H435" s="12" t="s">
        <v>22</v>
      </c>
      <c r="I435" s="14">
        <v>308000</v>
      </c>
      <c r="J435" s="14">
        <v>10969420000</v>
      </c>
    </row>
    <row r="436" spans="1:10" hidden="1" x14ac:dyDescent="0.35">
      <c r="A436" s="15">
        <v>9</v>
      </c>
      <c r="B436" s="15"/>
      <c r="C436" s="11" t="s">
        <v>14</v>
      </c>
      <c r="D436" s="12" t="s">
        <v>35</v>
      </c>
      <c r="E436" s="13" t="s">
        <v>36</v>
      </c>
      <c r="F436" s="35" t="s">
        <v>363</v>
      </c>
      <c r="G436" s="12" t="s">
        <v>17</v>
      </c>
      <c r="H436" s="12" t="s">
        <v>18</v>
      </c>
      <c r="I436" s="14">
        <v>66000</v>
      </c>
      <c r="J436" s="14">
        <v>2125728000</v>
      </c>
    </row>
    <row r="437" spans="1:10" hidden="1" x14ac:dyDescent="0.35">
      <c r="A437" s="15">
        <v>9</v>
      </c>
      <c r="B437" s="15"/>
      <c r="C437" s="11" t="s">
        <v>14</v>
      </c>
      <c r="D437" s="12" t="s">
        <v>210</v>
      </c>
      <c r="E437" s="13" t="s">
        <v>211</v>
      </c>
      <c r="F437" s="35" t="s">
        <v>244</v>
      </c>
      <c r="G437" s="12" t="s">
        <v>245</v>
      </c>
      <c r="H437" s="12" t="s">
        <v>246</v>
      </c>
      <c r="I437" s="14">
        <v>7718</v>
      </c>
      <c r="J437" s="14">
        <v>114340741</v>
      </c>
    </row>
    <row r="438" spans="1:10" x14ac:dyDescent="0.35">
      <c r="A438" s="15">
        <v>9</v>
      </c>
      <c r="B438" s="28" t="s">
        <v>2</v>
      </c>
      <c r="C438" s="11" t="s">
        <v>14</v>
      </c>
      <c r="D438" s="12" t="s">
        <v>41</v>
      </c>
      <c r="E438" s="13" t="s">
        <v>42</v>
      </c>
      <c r="F438" s="31" t="s">
        <v>366</v>
      </c>
      <c r="G438" s="12" t="s">
        <v>43</v>
      </c>
      <c r="H438" s="12" t="s">
        <v>44</v>
      </c>
      <c r="I438" s="14">
        <v>35750</v>
      </c>
      <c r="J438" s="14">
        <v>1315883250</v>
      </c>
    </row>
    <row r="439" spans="1:10" hidden="1" x14ac:dyDescent="0.35">
      <c r="A439" s="15">
        <v>9</v>
      </c>
      <c r="B439" s="15"/>
      <c r="C439" s="11" t="s">
        <v>14</v>
      </c>
      <c r="D439" s="12" t="s">
        <v>179</v>
      </c>
      <c r="E439" s="13" t="s">
        <v>180</v>
      </c>
      <c r="F439" s="35" t="s">
        <v>365</v>
      </c>
      <c r="G439" s="12" t="s">
        <v>123</v>
      </c>
      <c r="H439" s="12" t="s">
        <v>124</v>
      </c>
      <c r="I439" s="14">
        <v>16500</v>
      </c>
      <c r="J439" s="14">
        <v>320833333</v>
      </c>
    </row>
    <row r="440" spans="1:10" hidden="1" x14ac:dyDescent="0.35">
      <c r="A440" s="15">
        <v>9</v>
      </c>
      <c r="B440" s="15"/>
      <c r="C440" s="11" t="s">
        <v>14</v>
      </c>
      <c r="D440" s="12" t="s">
        <v>179</v>
      </c>
      <c r="E440" s="13" t="s">
        <v>180</v>
      </c>
      <c r="F440" s="31" t="s">
        <v>366</v>
      </c>
      <c r="G440" s="12" t="s">
        <v>80</v>
      </c>
      <c r="H440" s="12" t="s">
        <v>81</v>
      </c>
      <c r="I440" s="14">
        <v>10500</v>
      </c>
      <c r="J440" s="14">
        <v>170138890</v>
      </c>
    </row>
    <row r="441" spans="1:10" hidden="1" x14ac:dyDescent="0.35">
      <c r="A441" s="15">
        <v>9</v>
      </c>
      <c r="B441" s="15"/>
      <c r="C441" s="11" t="s">
        <v>14</v>
      </c>
      <c r="D441" s="12" t="s">
        <v>179</v>
      </c>
      <c r="E441" s="13" t="s">
        <v>180</v>
      </c>
      <c r="F441" s="31" t="s">
        <v>366</v>
      </c>
      <c r="G441" s="12" t="s">
        <v>105</v>
      </c>
      <c r="H441" s="12" t="s">
        <v>106</v>
      </c>
      <c r="I441" s="14">
        <v>5250</v>
      </c>
      <c r="J441" s="14">
        <v>85069444</v>
      </c>
    </row>
    <row r="442" spans="1:10" x14ac:dyDescent="0.35">
      <c r="A442" s="15">
        <v>9</v>
      </c>
      <c r="B442" s="28" t="s">
        <v>2</v>
      </c>
      <c r="C442" s="11" t="s">
        <v>14</v>
      </c>
      <c r="D442" s="12" t="s">
        <v>45</v>
      </c>
      <c r="E442" s="13" t="s">
        <v>46</v>
      </c>
      <c r="F442" s="31" t="s">
        <v>366</v>
      </c>
      <c r="G442" s="12" t="s">
        <v>43</v>
      </c>
      <c r="H442" s="12" t="s">
        <v>44</v>
      </c>
      <c r="I442" s="14">
        <v>77000</v>
      </c>
      <c r="J442" s="14">
        <v>2759890980</v>
      </c>
    </row>
    <row r="443" spans="1:10" x14ac:dyDescent="0.35">
      <c r="A443" s="15">
        <v>9</v>
      </c>
      <c r="B443" s="28" t="s">
        <v>2</v>
      </c>
      <c r="C443" s="11" t="s">
        <v>14</v>
      </c>
      <c r="D443" s="12" t="s">
        <v>45</v>
      </c>
      <c r="E443" s="13" t="s">
        <v>46</v>
      </c>
      <c r="F443" s="31" t="s">
        <v>366</v>
      </c>
      <c r="G443" s="12" t="s">
        <v>49</v>
      </c>
      <c r="H443" s="12" t="s">
        <v>50</v>
      </c>
      <c r="I443" s="14">
        <v>5500</v>
      </c>
      <c r="J443" s="14">
        <v>187135465</v>
      </c>
    </row>
    <row r="444" spans="1:10" x14ac:dyDescent="0.35">
      <c r="A444" s="15">
        <v>9</v>
      </c>
      <c r="B444" s="28" t="s">
        <v>2</v>
      </c>
      <c r="C444" s="11" t="s">
        <v>14</v>
      </c>
      <c r="D444" s="12" t="s">
        <v>45</v>
      </c>
      <c r="E444" s="13" t="s">
        <v>46</v>
      </c>
      <c r="F444" s="31" t="s">
        <v>366</v>
      </c>
      <c r="G444" s="12" t="s">
        <v>51</v>
      </c>
      <c r="H444" s="12" t="s">
        <v>52</v>
      </c>
      <c r="I444" s="14">
        <v>33000</v>
      </c>
      <c r="J444" s="14">
        <v>1122812791</v>
      </c>
    </row>
    <row r="445" spans="1:10" x14ac:dyDescent="0.35">
      <c r="A445" s="15">
        <v>9</v>
      </c>
      <c r="B445" s="28" t="s">
        <v>2</v>
      </c>
      <c r="C445" s="11" t="s">
        <v>14</v>
      </c>
      <c r="D445" s="12" t="s">
        <v>45</v>
      </c>
      <c r="E445" s="13" t="s">
        <v>46</v>
      </c>
      <c r="F445" s="31" t="s">
        <v>366</v>
      </c>
      <c r="G445" s="12" t="s">
        <v>53</v>
      </c>
      <c r="H445" s="12" t="s">
        <v>54</v>
      </c>
      <c r="I445" s="14">
        <v>22000</v>
      </c>
      <c r="J445" s="14">
        <v>788540284</v>
      </c>
    </row>
    <row r="446" spans="1:10" hidden="1" x14ac:dyDescent="0.35">
      <c r="A446" s="15">
        <v>9</v>
      </c>
      <c r="B446" s="15"/>
      <c r="C446" s="11" t="s">
        <v>14</v>
      </c>
      <c r="D446" s="12" t="s">
        <v>304</v>
      </c>
      <c r="E446" s="13" t="s">
        <v>305</v>
      </c>
      <c r="F446" s="35" t="s">
        <v>363</v>
      </c>
      <c r="G446" s="12" t="s">
        <v>306</v>
      </c>
      <c r="H446" s="12" t="s">
        <v>307</v>
      </c>
      <c r="I446" s="14">
        <v>100</v>
      </c>
      <c r="J446" s="14">
        <v>3362500</v>
      </c>
    </row>
    <row r="447" spans="1:10" hidden="1" x14ac:dyDescent="0.35">
      <c r="A447" s="15">
        <v>9</v>
      </c>
      <c r="B447" s="15"/>
      <c r="C447" s="11" t="s">
        <v>14</v>
      </c>
      <c r="D447" s="12" t="s">
        <v>308</v>
      </c>
      <c r="E447" s="13" t="s">
        <v>309</v>
      </c>
      <c r="F447" s="35" t="s">
        <v>365</v>
      </c>
      <c r="G447" s="12" t="s">
        <v>310</v>
      </c>
      <c r="H447" s="12" t="s">
        <v>311</v>
      </c>
      <c r="I447" s="14">
        <v>5000</v>
      </c>
      <c r="J447" s="14">
        <v>100000000</v>
      </c>
    </row>
    <row r="448" spans="1:10" hidden="1" x14ac:dyDescent="0.35">
      <c r="A448" s="15">
        <v>9</v>
      </c>
      <c r="B448" s="15"/>
      <c r="C448" s="11" t="s">
        <v>14</v>
      </c>
      <c r="D448" s="12" t="s">
        <v>57</v>
      </c>
      <c r="E448" s="13" t="s">
        <v>349</v>
      </c>
      <c r="F448" s="35" t="s">
        <v>363</v>
      </c>
      <c r="G448" s="12" t="s">
        <v>21</v>
      </c>
      <c r="H448" s="12" t="s">
        <v>22</v>
      </c>
      <c r="I448" s="14">
        <v>110000</v>
      </c>
      <c r="J448" s="14">
        <v>3869635000</v>
      </c>
    </row>
    <row r="449" spans="1:10" hidden="1" x14ac:dyDescent="0.35">
      <c r="A449" s="15">
        <v>9</v>
      </c>
      <c r="B449" s="15"/>
      <c r="C449" s="11" t="s">
        <v>14</v>
      </c>
      <c r="D449" s="12" t="s">
        <v>66</v>
      </c>
      <c r="E449" s="13" t="s">
        <v>67</v>
      </c>
      <c r="F449" s="31" t="s">
        <v>366</v>
      </c>
      <c r="G449" s="12" t="s">
        <v>68</v>
      </c>
      <c r="H449" s="12" t="s">
        <v>69</v>
      </c>
      <c r="I449" s="14">
        <v>33000</v>
      </c>
      <c r="J449" s="14">
        <v>1070358300</v>
      </c>
    </row>
    <row r="450" spans="1:10" hidden="1" x14ac:dyDescent="0.35">
      <c r="A450" s="15">
        <v>9</v>
      </c>
      <c r="B450" s="15"/>
      <c r="C450" s="11" t="s">
        <v>14</v>
      </c>
      <c r="D450" s="12" t="s">
        <v>107</v>
      </c>
      <c r="E450" s="13" t="s">
        <v>108</v>
      </c>
      <c r="F450" s="35" t="s">
        <v>363</v>
      </c>
      <c r="G450" s="12" t="s">
        <v>31</v>
      </c>
      <c r="H450" s="12" t="s">
        <v>32</v>
      </c>
      <c r="I450" s="14">
        <v>3300</v>
      </c>
      <c r="J450" s="14">
        <v>110632821</v>
      </c>
    </row>
    <row r="451" spans="1:10" hidden="1" x14ac:dyDescent="0.35">
      <c r="A451" s="15">
        <v>9</v>
      </c>
      <c r="B451" s="15"/>
      <c r="C451" s="11" t="s">
        <v>14</v>
      </c>
      <c r="D451" s="12" t="s">
        <v>276</v>
      </c>
      <c r="E451" s="13" t="s">
        <v>277</v>
      </c>
      <c r="F451" s="35" t="s">
        <v>364</v>
      </c>
      <c r="G451" s="12" t="s">
        <v>117</v>
      </c>
      <c r="H451" s="12" t="s">
        <v>191</v>
      </c>
      <c r="I451" s="14">
        <v>177450</v>
      </c>
      <c r="J451" s="14">
        <v>3158610000</v>
      </c>
    </row>
    <row r="452" spans="1:10" hidden="1" x14ac:dyDescent="0.35">
      <c r="A452" s="15">
        <v>9</v>
      </c>
      <c r="B452" s="15"/>
      <c r="C452" s="11" t="s">
        <v>14</v>
      </c>
      <c r="D452" s="12" t="s">
        <v>70</v>
      </c>
      <c r="E452" s="13" t="s">
        <v>71</v>
      </c>
      <c r="F452" s="35" t="s">
        <v>363</v>
      </c>
      <c r="G452" s="12" t="s">
        <v>312</v>
      </c>
      <c r="H452" s="12" t="s">
        <v>313</v>
      </c>
      <c r="I452" s="14">
        <v>3300</v>
      </c>
      <c r="J452" s="14">
        <v>101242944</v>
      </c>
    </row>
    <row r="453" spans="1:10" hidden="1" x14ac:dyDescent="0.35">
      <c r="A453" s="15">
        <v>9</v>
      </c>
      <c r="B453" s="15"/>
      <c r="C453" s="11" t="s">
        <v>14</v>
      </c>
      <c r="D453" s="12" t="s">
        <v>314</v>
      </c>
      <c r="E453" s="13" t="s">
        <v>315</v>
      </c>
      <c r="F453" s="35" t="s">
        <v>363</v>
      </c>
      <c r="G453" s="12" t="s">
        <v>17</v>
      </c>
      <c r="H453" s="12" t="s">
        <v>18</v>
      </c>
      <c r="I453" s="14">
        <v>13200</v>
      </c>
      <c r="J453" s="14">
        <v>425145600</v>
      </c>
    </row>
    <row r="454" spans="1:10" hidden="1" x14ac:dyDescent="0.35">
      <c r="A454" s="15">
        <v>9</v>
      </c>
      <c r="B454" s="15"/>
      <c r="C454" s="11" t="s">
        <v>14</v>
      </c>
      <c r="D454" s="12" t="s">
        <v>78</v>
      </c>
      <c r="E454" s="13" t="s">
        <v>79</v>
      </c>
      <c r="F454" s="31" t="s">
        <v>366</v>
      </c>
      <c r="G454" s="12" t="s">
        <v>80</v>
      </c>
      <c r="H454" s="12" t="s">
        <v>81</v>
      </c>
      <c r="I454" s="14">
        <v>12750</v>
      </c>
      <c r="J454" s="14">
        <v>197625000</v>
      </c>
    </row>
    <row r="455" spans="1:10" hidden="1" x14ac:dyDescent="0.35">
      <c r="A455" s="15">
        <v>9</v>
      </c>
      <c r="B455" s="15"/>
      <c r="C455" s="11" t="s">
        <v>14</v>
      </c>
      <c r="D455" s="12" t="s">
        <v>78</v>
      </c>
      <c r="E455" s="13" t="s">
        <v>79</v>
      </c>
      <c r="F455" s="31" t="s">
        <v>366</v>
      </c>
      <c r="G455" s="12" t="s">
        <v>103</v>
      </c>
      <c r="H455" s="12" t="s">
        <v>104</v>
      </c>
      <c r="I455" s="14">
        <v>21000</v>
      </c>
      <c r="J455" s="14">
        <v>315000000</v>
      </c>
    </row>
    <row r="456" spans="1:10" hidden="1" x14ac:dyDescent="0.35">
      <c r="A456" s="15">
        <v>9</v>
      </c>
      <c r="B456" s="15"/>
      <c r="C456" s="11" t="s">
        <v>14</v>
      </c>
      <c r="D456" s="12" t="s">
        <v>78</v>
      </c>
      <c r="E456" s="13" t="s">
        <v>79</v>
      </c>
      <c r="F456" s="31" t="s">
        <v>366</v>
      </c>
      <c r="G456" s="12" t="s">
        <v>82</v>
      </c>
      <c r="H456" s="12" t="s">
        <v>83</v>
      </c>
      <c r="I456" s="14">
        <v>14250</v>
      </c>
      <c r="J456" s="14">
        <v>221085000</v>
      </c>
    </row>
    <row r="457" spans="1:10" hidden="1" x14ac:dyDescent="0.35">
      <c r="A457" s="15">
        <v>9</v>
      </c>
      <c r="B457" s="15"/>
      <c r="C457" s="11" t="s">
        <v>14</v>
      </c>
      <c r="D457" s="12" t="s">
        <v>121</v>
      </c>
      <c r="E457" s="13" t="s">
        <v>122</v>
      </c>
      <c r="F457" s="35" t="s">
        <v>365</v>
      </c>
      <c r="G457" s="12" t="s">
        <v>109</v>
      </c>
      <c r="H457" s="12" t="s">
        <v>110</v>
      </c>
      <c r="I457" s="14">
        <v>25</v>
      </c>
      <c r="J457" s="14">
        <v>437500</v>
      </c>
    </row>
    <row r="458" spans="1:10" hidden="1" x14ac:dyDescent="0.35">
      <c r="A458" s="15">
        <v>9</v>
      </c>
      <c r="B458" s="15"/>
      <c r="C458" s="11" t="s">
        <v>14</v>
      </c>
      <c r="D458" s="12" t="s">
        <v>133</v>
      </c>
      <c r="E458" s="13" t="s">
        <v>134</v>
      </c>
      <c r="F458" s="35" t="s">
        <v>363</v>
      </c>
      <c r="G458" s="12" t="s">
        <v>316</v>
      </c>
      <c r="H458" s="12" t="s">
        <v>317</v>
      </c>
      <c r="I458" s="14">
        <v>24200</v>
      </c>
      <c r="J458" s="14">
        <v>504166666</v>
      </c>
    </row>
    <row r="459" spans="1:10" hidden="1" x14ac:dyDescent="0.35">
      <c r="A459" s="15">
        <v>9</v>
      </c>
      <c r="B459" s="15"/>
      <c r="C459" s="11" t="s">
        <v>14</v>
      </c>
      <c r="D459" s="12" t="s">
        <v>137</v>
      </c>
      <c r="E459" s="13" t="s">
        <v>138</v>
      </c>
      <c r="F459" s="31" t="s">
        <v>366</v>
      </c>
      <c r="G459" s="12" t="s">
        <v>103</v>
      </c>
      <c r="H459" s="12" t="s">
        <v>104</v>
      </c>
      <c r="I459" s="14">
        <v>190500</v>
      </c>
      <c r="J459" s="14">
        <v>2781300000</v>
      </c>
    </row>
    <row r="460" spans="1:10" hidden="1" x14ac:dyDescent="0.35">
      <c r="A460" s="15">
        <v>9</v>
      </c>
      <c r="B460" s="15"/>
      <c r="C460" s="11" t="s">
        <v>14</v>
      </c>
      <c r="D460" s="12" t="s">
        <v>185</v>
      </c>
      <c r="E460" s="13" t="s">
        <v>186</v>
      </c>
      <c r="F460" s="31" t="s">
        <v>366</v>
      </c>
      <c r="G460" s="12" t="s">
        <v>93</v>
      </c>
      <c r="H460" s="12" t="s">
        <v>94</v>
      </c>
      <c r="I460" s="14">
        <v>22000</v>
      </c>
      <c r="J460" s="14">
        <v>419222222</v>
      </c>
    </row>
    <row r="461" spans="1:10" hidden="1" x14ac:dyDescent="0.35">
      <c r="A461" s="15">
        <v>9</v>
      </c>
      <c r="B461" s="15"/>
      <c r="C461" s="11" t="s">
        <v>14</v>
      </c>
      <c r="D461" s="12" t="s">
        <v>185</v>
      </c>
      <c r="E461" s="13" t="s">
        <v>186</v>
      </c>
      <c r="F461" s="31" t="s">
        <v>366</v>
      </c>
      <c r="G461" s="12" t="s">
        <v>97</v>
      </c>
      <c r="H461" s="12" t="s">
        <v>98</v>
      </c>
      <c r="I461" s="14">
        <v>28875</v>
      </c>
      <c r="J461" s="14">
        <v>550229164</v>
      </c>
    </row>
    <row r="462" spans="1:10" hidden="1" x14ac:dyDescent="0.35">
      <c r="A462" s="15">
        <v>9</v>
      </c>
      <c r="B462" s="15"/>
      <c r="C462" s="11" t="s">
        <v>14</v>
      </c>
      <c r="D462" s="12" t="s">
        <v>185</v>
      </c>
      <c r="E462" s="13" t="s">
        <v>186</v>
      </c>
      <c r="F462" s="31" t="s">
        <v>366</v>
      </c>
      <c r="G462" s="12" t="s">
        <v>216</v>
      </c>
      <c r="H462" s="12" t="s">
        <v>217</v>
      </c>
      <c r="I462" s="14">
        <v>23375</v>
      </c>
      <c r="J462" s="14">
        <v>445423611</v>
      </c>
    </row>
    <row r="463" spans="1:10" hidden="1" x14ac:dyDescent="0.35">
      <c r="A463" s="15">
        <v>9</v>
      </c>
      <c r="B463" s="15"/>
      <c r="C463" s="11" t="s">
        <v>14</v>
      </c>
      <c r="D463" s="12" t="s">
        <v>228</v>
      </c>
      <c r="E463" s="13" t="s">
        <v>229</v>
      </c>
      <c r="F463" s="31" t="s">
        <v>366</v>
      </c>
      <c r="G463" s="12" t="s">
        <v>113</v>
      </c>
      <c r="H463" s="12" t="s">
        <v>114</v>
      </c>
      <c r="I463" s="14">
        <v>48125</v>
      </c>
      <c r="J463" s="14">
        <v>757523153</v>
      </c>
    </row>
    <row r="464" spans="1:10" hidden="1" x14ac:dyDescent="0.35">
      <c r="A464" s="15">
        <v>9</v>
      </c>
      <c r="B464" s="28" t="s">
        <v>2</v>
      </c>
      <c r="C464" s="11" t="s">
        <v>14</v>
      </c>
      <c r="D464" s="12" t="s">
        <v>270</v>
      </c>
      <c r="E464" s="13" t="s">
        <v>271</v>
      </c>
      <c r="F464" s="35" t="s">
        <v>363</v>
      </c>
      <c r="G464" s="12" t="s">
        <v>17</v>
      </c>
      <c r="H464" s="12" t="s">
        <v>18</v>
      </c>
      <c r="I464" s="14">
        <v>66000</v>
      </c>
      <c r="J464" s="14">
        <v>2194170000</v>
      </c>
    </row>
    <row r="465" spans="1:10" hidden="1" x14ac:dyDescent="0.35">
      <c r="A465" s="15">
        <v>9</v>
      </c>
      <c r="B465" s="15"/>
      <c r="C465" s="11" t="s">
        <v>14</v>
      </c>
      <c r="D465" s="12" t="s">
        <v>282</v>
      </c>
      <c r="E465" s="13" t="s">
        <v>283</v>
      </c>
      <c r="F465" s="31" t="s">
        <v>366</v>
      </c>
      <c r="G465" s="12" t="s">
        <v>103</v>
      </c>
      <c r="H465" s="12" t="s">
        <v>104</v>
      </c>
      <c r="I465" s="14">
        <v>6000</v>
      </c>
      <c r="J465" s="14">
        <v>90000000</v>
      </c>
    </row>
    <row r="466" spans="1:10" hidden="1" x14ac:dyDescent="0.35">
      <c r="A466" s="15">
        <v>9</v>
      </c>
      <c r="B466" s="15"/>
      <c r="C466" s="11" t="s">
        <v>14</v>
      </c>
      <c r="D466" s="12" t="s">
        <v>282</v>
      </c>
      <c r="E466" s="13" t="s">
        <v>283</v>
      </c>
      <c r="F466" s="35" t="s">
        <v>365</v>
      </c>
      <c r="G466" s="12" t="s">
        <v>181</v>
      </c>
      <c r="H466" s="12" t="s">
        <v>182</v>
      </c>
      <c r="I466" s="14">
        <v>6000</v>
      </c>
      <c r="J466" s="14">
        <v>97222222</v>
      </c>
    </row>
    <row r="467" spans="1:10" hidden="1" x14ac:dyDescent="0.35">
      <c r="A467" s="15">
        <v>9</v>
      </c>
      <c r="B467" s="15"/>
      <c r="C467" s="11" t="s">
        <v>14</v>
      </c>
      <c r="D467" s="12" t="s">
        <v>293</v>
      </c>
      <c r="E467" s="13" t="s">
        <v>294</v>
      </c>
      <c r="F467" s="35" t="s">
        <v>364</v>
      </c>
      <c r="G467" s="12" t="s">
        <v>117</v>
      </c>
      <c r="H467" s="12" t="s">
        <v>118</v>
      </c>
      <c r="I467" s="14">
        <v>25200</v>
      </c>
      <c r="J467" s="14">
        <v>448560000</v>
      </c>
    </row>
    <row r="468" spans="1:10" hidden="1" x14ac:dyDescent="0.35">
      <c r="A468" s="15">
        <v>9</v>
      </c>
      <c r="B468" s="15"/>
      <c r="C468" s="11" t="s">
        <v>14</v>
      </c>
      <c r="D468" s="12" t="s">
        <v>318</v>
      </c>
      <c r="E468" s="13" t="s">
        <v>319</v>
      </c>
      <c r="F468" s="35" t="s">
        <v>363</v>
      </c>
      <c r="G468" s="12" t="s">
        <v>316</v>
      </c>
      <c r="H468" s="12" t="s">
        <v>317</v>
      </c>
      <c r="I468" s="14">
        <v>19800</v>
      </c>
      <c r="J468" s="14">
        <v>385000000</v>
      </c>
    </row>
    <row r="469" spans="1:10" hidden="1" x14ac:dyDescent="0.35">
      <c r="A469" s="15">
        <v>9</v>
      </c>
      <c r="B469" s="15"/>
      <c r="C469" s="11" t="s">
        <v>84</v>
      </c>
      <c r="D469" s="12" t="s">
        <v>85</v>
      </c>
      <c r="E469" s="13" t="s">
        <v>86</v>
      </c>
      <c r="F469" s="35" t="s">
        <v>363</v>
      </c>
      <c r="G469" s="12" t="s">
        <v>17</v>
      </c>
      <c r="H469" s="12" t="s">
        <v>18</v>
      </c>
      <c r="I469" s="14">
        <v>638000</v>
      </c>
      <c r="J469" s="14">
        <v>20211972792</v>
      </c>
    </row>
    <row r="470" spans="1:10" hidden="1" x14ac:dyDescent="0.35">
      <c r="A470" s="15">
        <v>9</v>
      </c>
      <c r="B470" s="15"/>
      <c r="C470" s="11" t="s">
        <v>84</v>
      </c>
      <c r="D470" s="12" t="s">
        <v>200</v>
      </c>
      <c r="E470" s="13" t="s">
        <v>201</v>
      </c>
      <c r="F470" s="35" t="s">
        <v>365</v>
      </c>
      <c r="G470" s="12" t="s">
        <v>204</v>
      </c>
      <c r="H470" s="12" t="s">
        <v>205</v>
      </c>
      <c r="I470" s="14">
        <v>16000</v>
      </c>
      <c r="J470" s="14">
        <v>453600000</v>
      </c>
    </row>
    <row r="471" spans="1:10" hidden="1" x14ac:dyDescent="0.35">
      <c r="A471" s="15">
        <v>9</v>
      </c>
      <c r="B471" s="15"/>
      <c r="C471" s="11" t="s">
        <v>84</v>
      </c>
      <c r="D471" s="12" t="s">
        <v>200</v>
      </c>
      <c r="E471" s="13" t="s">
        <v>201</v>
      </c>
      <c r="F471" s="35" t="s">
        <v>365</v>
      </c>
      <c r="G471" s="12" t="s">
        <v>127</v>
      </c>
      <c r="H471" s="12" t="s">
        <v>128</v>
      </c>
      <c r="I471" s="14">
        <v>8000</v>
      </c>
      <c r="J471" s="14">
        <v>226800000</v>
      </c>
    </row>
    <row r="472" spans="1:10" hidden="1" x14ac:dyDescent="0.35">
      <c r="A472" s="15">
        <v>9</v>
      </c>
      <c r="B472" s="15"/>
      <c r="C472" s="11" t="s">
        <v>84</v>
      </c>
      <c r="D472" s="12" t="s">
        <v>234</v>
      </c>
      <c r="E472" s="13" t="s">
        <v>235</v>
      </c>
      <c r="F472" s="35" t="s">
        <v>363</v>
      </c>
      <c r="G472" s="12" t="s">
        <v>135</v>
      </c>
      <c r="H472" s="12" t="s">
        <v>136</v>
      </c>
      <c r="I472" s="14">
        <v>66000</v>
      </c>
      <c r="J472" s="14">
        <v>1902120000</v>
      </c>
    </row>
    <row r="473" spans="1:10" hidden="1" x14ac:dyDescent="0.35">
      <c r="A473" s="15">
        <v>9</v>
      </c>
      <c r="B473" s="15"/>
      <c r="C473" s="11" t="s">
        <v>84</v>
      </c>
      <c r="D473" s="12" t="s">
        <v>242</v>
      </c>
      <c r="E473" s="13" t="s">
        <v>243</v>
      </c>
      <c r="F473" s="35" t="s">
        <v>363</v>
      </c>
      <c r="G473" s="12" t="s">
        <v>17</v>
      </c>
      <c r="H473" s="12" t="s">
        <v>18</v>
      </c>
      <c r="I473" s="14">
        <v>64900</v>
      </c>
      <c r="J473" s="14">
        <v>2125475524</v>
      </c>
    </row>
    <row r="474" spans="1:10" hidden="1" x14ac:dyDescent="0.35">
      <c r="A474" s="15">
        <v>9</v>
      </c>
      <c r="B474" s="15"/>
      <c r="C474" s="11" t="s">
        <v>84</v>
      </c>
      <c r="D474" s="12" t="s">
        <v>242</v>
      </c>
      <c r="E474" s="13" t="s">
        <v>243</v>
      </c>
      <c r="F474" s="35" t="s">
        <v>363</v>
      </c>
      <c r="G474" s="12" t="s">
        <v>135</v>
      </c>
      <c r="H474" s="12" t="s">
        <v>136</v>
      </c>
      <c r="I474" s="14">
        <v>1100</v>
      </c>
      <c r="J474" s="14">
        <v>34007600</v>
      </c>
    </row>
    <row r="475" spans="1:10" hidden="1" x14ac:dyDescent="0.35">
      <c r="A475" s="15">
        <v>10</v>
      </c>
      <c r="B475" s="15"/>
      <c r="C475" s="11" t="s">
        <v>14</v>
      </c>
      <c r="D475" s="12" t="s">
        <v>15</v>
      </c>
      <c r="E475" s="13" t="s">
        <v>16</v>
      </c>
      <c r="F475" s="35" t="s">
        <v>363</v>
      </c>
      <c r="G475" s="12" t="s">
        <v>17</v>
      </c>
      <c r="H475" s="12" t="s">
        <v>18</v>
      </c>
      <c r="I475" s="14">
        <v>11000</v>
      </c>
      <c r="J475" s="14">
        <v>355737360</v>
      </c>
    </row>
    <row r="476" spans="1:10" hidden="1" x14ac:dyDescent="0.35">
      <c r="A476" s="15">
        <v>10</v>
      </c>
      <c r="B476" s="15"/>
      <c r="C476" s="11" t="s">
        <v>14</v>
      </c>
      <c r="D476" s="12" t="s">
        <v>15</v>
      </c>
      <c r="E476" s="13" t="s">
        <v>16</v>
      </c>
      <c r="F476" s="31" t="s">
        <v>366</v>
      </c>
      <c r="G476" s="12" t="s">
        <v>47</v>
      </c>
      <c r="H476" s="12" t="s">
        <v>48</v>
      </c>
      <c r="I476" s="14">
        <v>11000</v>
      </c>
      <c r="J476" s="14">
        <v>220000000</v>
      </c>
    </row>
    <row r="477" spans="1:10" hidden="1" x14ac:dyDescent="0.35">
      <c r="A477" s="15">
        <v>10</v>
      </c>
      <c r="B477" s="15"/>
      <c r="C477" s="11" t="s">
        <v>14</v>
      </c>
      <c r="D477" s="12" t="s">
        <v>15</v>
      </c>
      <c r="E477" s="13" t="s">
        <v>16</v>
      </c>
      <c r="F477" s="31" t="s">
        <v>366</v>
      </c>
      <c r="G477" s="12" t="s">
        <v>93</v>
      </c>
      <c r="H477" s="12" t="s">
        <v>94</v>
      </c>
      <c r="I477" s="14">
        <v>5500</v>
      </c>
      <c r="J477" s="14">
        <v>110000000</v>
      </c>
    </row>
    <row r="478" spans="1:10" hidden="1" x14ac:dyDescent="0.35">
      <c r="A478" s="15">
        <v>10</v>
      </c>
      <c r="B478" s="15"/>
      <c r="C478" s="11" t="s">
        <v>14</v>
      </c>
      <c r="D478" s="12" t="s">
        <v>15</v>
      </c>
      <c r="E478" s="13" t="s">
        <v>16</v>
      </c>
      <c r="F478" s="31" t="s">
        <v>366</v>
      </c>
      <c r="G478" s="12" t="s">
        <v>97</v>
      </c>
      <c r="H478" s="12" t="s">
        <v>98</v>
      </c>
      <c r="I478" s="14">
        <v>2750</v>
      </c>
      <c r="J478" s="14">
        <v>55000000</v>
      </c>
    </row>
    <row r="479" spans="1:10" hidden="1" x14ac:dyDescent="0.35">
      <c r="A479" s="15">
        <v>10</v>
      </c>
      <c r="B479" s="15"/>
      <c r="C479" s="11" t="s">
        <v>14</v>
      </c>
      <c r="D479" s="12" t="s">
        <v>320</v>
      </c>
      <c r="E479" s="13" t="s">
        <v>321</v>
      </c>
      <c r="F479" s="31" t="s">
        <v>366</v>
      </c>
      <c r="G479" s="12" t="s">
        <v>43</v>
      </c>
      <c r="H479" s="12" t="s">
        <v>44</v>
      </c>
      <c r="I479" s="14">
        <v>5500</v>
      </c>
      <c r="J479" s="14">
        <v>199973730</v>
      </c>
    </row>
    <row r="480" spans="1:10" hidden="1" x14ac:dyDescent="0.35">
      <c r="A480" s="15">
        <v>10</v>
      </c>
      <c r="B480" s="15"/>
      <c r="C480" s="11" t="s">
        <v>14</v>
      </c>
      <c r="D480" s="12" t="s">
        <v>320</v>
      </c>
      <c r="E480" s="13" t="s">
        <v>321</v>
      </c>
      <c r="F480" s="31" t="s">
        <v>366</v>
      </c>
      <c r="G480" s="12" t="s">
        <v>49</v>
      </c>
      <c r="H480" s="12" t="s">
        <v>50</v>
      </c>
      <c r="I480" s="14">
        <v>2750</v>
      </c>
      <c r="J480" s="14">
        <v>94915068</v>
      </c>
    </row>
    <row r="481" spans="1:10" hidden="1" x14ac:dyDescent="0.35">
      <c r="A481" s="15">
        <v>10</v>
      </c>
      <c r="B481" s="15"/>
      <c r="C481" s="11" t="s">
        <v>14</v>
      </c>
      <c r="D481" s="12" t="s">
        <v>274</v>
      </c>
      <c r="E481" s="13" t="s">
        <v>275</v>
      </c>
      <c r="F481" s="35" t="s">
        <v>363</v>
      </c>
      <c r="G481" s="12" t="s">
        <v>135</v>
      </c>
      <c r="H481" s="12" t="s">
        <v>136</v>
      </c>
      <c r="I481" s="14">
        <v>220000</v>
      </c>
      <c r="J481" s="14">
        <v>6190360000</v>
      </c>
    </row>
    <row r="482" spans="1:10" hidden="1" x14ac:dyDescent="0.35">
      <c r="A482" s="15">
        <v>10</v>
      </c>
      <c r="B482" s="28" t="s">
        <v>2</v>
      </c>
      <c r="C482" s="11" t="s">
        <v>14</v>
      </c>
      <c r="D482" s="12" t="s">
        <v>23</v>
      </c>
      <c r="E482" s="13" t="s">
        <v>24</v>
      </c>
      <c r="F482" s="35" t="s">
        <v>363</v>
      </c>
      <c r="G482" s="12" t="s">
        <v>17</v>
      </c>
      <c r="H482" s="12" t="s">
        <v>18</v>
      </c>
      <c r="I482" s="14">
        <v>330000</v>
      </c>
      <c r="J482" s="14">
        <v>11097306000</v>
      </c>
    </row>
    <row r="483" spans="1:10" hidden="1" x14ac:dyDescent="0.35">
      <c r="A483" s="15">
        <v>10</v>
      </c>
      <c r="B483" s="15"/>
      <c r="C483" s="11" t="s">
        <v>14</v>
      </c>
      <c r="D483" s="12" t="s">
        <v>25</v>
      </c>
      <c r="E483" s="13" t="s">
        <v>26</v>
      </c>
      <c r="F483" s="35" t="s">
        <v>363</v>
      </c>
      <c r="G483" s="12" t="s">
        <v>64</v>
      </c>
      <c r="H483" s="12" t="s">
        <v>65</v>
      </c>
      <c r="I483" s="14">
        <v>60500</v>
      </c>
      <c r="J483" s="14">
        <v>2080113420</v>
      </c>
    </row>
    <row r="484" spans="1:10" hidden="1" x14ac:dyDescent="0.35">
      <c r="A484" s="15">
        <v>10</v>
      </c>
      <c r="B484" s="15"/>
      <c r="C484" s="11" t="s">
        <v>14</v>
      </c>
      <c r="D484" s="12" t="s">
        <v>25</v>
      </c>
      <c r="E484" s="13" t="s">
        <v>26</v>
      </c>
      <c r="F484" s="35" t="s">
        <v>363</v>
      </c>
      <c r="G484" s="12" t="s">
        <v>288</v>
      </c>
      <c r="H484" s="12" t="s">
        <v>303</v>
      </c>
      <c r="I484" s="14">
        <v>220000</v>
      </c>
      <c r="J484" s="14">
        <v>8079779400</v>
      </c>
    </row>
    <row r="485" spans="1:10" hidden="1" x14ac:dyDescent="0.35">
      <c r="A485" s="15">
        <v>10</v>
      </c>
      <c r="B485" s="15"/>
      <c r="C485" s="11" t="s">
        <v>14</v>
      </c>
      <c r="D485" s="12" t="s">
        <v>33</v>
      </c>
      <c r="E485" s="13" t="s">
        <v>34</v>
      </c>
      <c r="F485" s="35" t="s">
        <v>363</v>
      </c>
      <c r="G485" s="12" t="s">
        <v>21</v>
      </c>
      <c r="H485" s="12" t="s">
        <v>22</v>
      </c>
      <c r="I485" s="14">
        <v>382660</v>
      </c>
      <c r="J485" s="14">
        <v>13540424100</v>
      </c>
    </row>
    <row r="486" spans="1:10" hidden="1" x14ac:dyDescent="0.35">
      <c r="A486" s="15">
        <v>10</v>
      </c>
      <c r="B486" s="15"/>
      <c r="C486" s="11" t="s">
        <v>14</v>
      </c>
      <c r="D486" s="12" t="s">
        <v>35</v>
      </c>
      <c r="E486" s="13" t="s">
        <v>36</v>
      </c>
      <c r="F486" s="35" t="s">
        <v>363</v>
      </c>
      <c r="G486" s="12" t="s">
        <v>17</v>
      </c>
      <c r="H486" s="12" t="s">
        <v>18</v>
      </c>
      <c r="I486" s="14">
        <v>7700</v>
      </c>
      <c r="J486" s="14">
        <v>248001600</v>
      </c>
    </row>
    <row r="487" spans="1:10" hidden="1" x14ac:dyDescent="0.35">
      <c r="A487" s="15">
        <v>10</v>
      </c>
      <c r="B487" s="15"/>
      <c r="C487" s="11" t="s">
        <v>14</v>
      </c>
      <c r="D487" s="12" t="s">
        <v>210</v>
      </c>
      <c r="E487" s="13" t="s">
        <v>211</v>
      </c>
      <c r="F487" s="31" t="s">
        <v>366</v>
      </c>
      <c r="G487" s="12" t="s">
        <v>93</v>
      </c>
      <c r="H487" s="12" t="s">
        <v>94</v>
      </c>
      <c r="I487" s="14">
        <v>25</v>
      </c>
      <c r="J487" s="14">
        <v>500975</v>
      </c>
    </row>
    <row r="488" spans="1:10" hidden="1" x14ac:dyDescent="0.35">
      <c r="A488" s="15">
        <v>10</v>
      </c>
      <c r="B488" s="15"/>
      <c r="C488" s="11" t="s">
        <v>14</v>
      </c>
      <c r="D488" s="12" t="s">
        <v>210</v>
      </c>
      <c r="E488" s="13" t="s">
        <v>211</v>
      </c>
      <c r="F488" s="31" t="s">
        <v>366</v>
      </c>
      <c r="G488" s="12" t="s">
        <v>97</v>
      </c>
      <c r="H488" s="12" t="s">
        <v>98</v>
      </c>
      <c r="I488" s="14">
        <v>25</v>
      </c>
      <c r="J488" s="14">
        <v>500975</v>
      </c>
    </row>
    <row r="489" spans="1:10" hidden="1" x14ac:dyDescent="0.35">
      <c r="A489" s="15">
        <v>10</v>
      </c>
      <c r="B489" s="15"/>
      <c r="C489" s="11" t="s">
        <v>14</v>
      </c>
      <c r="D489" s="12" t="s">
        <v>210</v>
      </c>
      <c r="E489" s="13" t="s">
        <v>211</v>
      </c>
      <c r="F489" s="31" t="s">
        <v>366</v>
      </c>
      <c r="G489" s="12" t="s">
        <v>216</v>
      </c>
      <c r="H489" s="12" t="s">
        <v>217</v>
      </c>
      <c r="I489" s="14">
        <v>25</v>
      </c>
      <c r="J489" s="14">
        <v>500975</v>
      </c>
    </row>
    <row r="490" spans="1:10" hidden="1" x14ac:dyDescent="0.35">
      <c r="A490" s="15">
        <v>10</v>
      </c>
      <c r="B490" s="15"/>
      <c r="C490" s="11" t="s">
        <v>14</v>
      </c>
      <c r="D490" s="38" t="s">
        <v>210</v>
      </c>
      <c r="E490" s="13" t="s">
        <v>322</v>
      </c>
      <c r="F490" s="35" t="s">
        <v>364</v>
      </c>
      <c r="G490" s="12" t="s">
        <v>323</v>
      </c>
      <c r="H490" s="12" t="s">
        <v>324</v>
      </c>
      <c r="I490" s="14">
        <v>25</v>
      </c>
      <c r="J490" s="14">
        <v>679778</v>
      </c>
    </row>
    <row r="491" spans="1:10" hidden="1" x14ac:dyDescent="0.35">
      <c r="A491" s="15">
        <v>10</v>
      </c>
      <c r="B491" s="15"/>
      <c r="C491" s="11" t="s">
        <v>14</v>
      </c>
      <c r="D491" s="38" t="s">
        <v>210</v>
      </c>
      <c r="E491" s="13" t="s">
        <v>322</v>
      </c>
      <c r="F491" s="35" t="s">
        <v>364</v>
      </c>
      <c r="G491" s="12" t="s">
        <v>325</v>
      </c>
      <c r="H491" s="12" t="s">
        <v>326</v>
      </c>
      <c r="I491" s="14">
        <v>25</v>
      </c>
      <c r="J491" s="14">
        <v>679778</v>
      </c>
    </row>
    <row r="492" spans="1:10" hidden="1" x14ac:dyDescent="0.35">
      <c r="A492" s="15">
        <v>10</v>
      </c>
      <c r="B492" s="15"/>
      <c r="C492" s="11" t="s">
        <v>14</v>
      </c>
      <c r="D492" s="38" t="s">
        <v>210</v>
      </c>
      <c r="E492" s="13" t="s">
        <v>322</v>
      </c>
      <c r="F492" s="35" t="s">
        <v>364</v>
      </c>
      <c r="G492" s="12" t="s">
        <v>117</v>
      </c>
      <c r="H492" s="12" t="s">
        <v>118</v>
      </c>
      <c r="I492" s="14">
        <v>25</v>
      </c>
      <c r="J492" s="14">
        <v>412722</v>
      </c>
    </row>
    <row r="493" spans="1:10" hidden="1" x14ac:dyDescent="0.35">
      <c r="A493" s="15">
        <v>10</v>
      </c>
      <c r="B493" s="15"/>
      <c r="C493" s="11" t="s">
        <v>14</v>
      </c>
      <c r="D493" s="12" t="s">
        <v>210</v>
      </c>
      <c r="E493" s="13" t="s">
        <v>211</v>
      </c>
      <c r="F493" s="35" t="s">
        <v>365</v>
      </c>
      <c r="G493" s="12" t="s">
        <v>129</v>
      </c>
      <c r="H493" s="12" t="s">
        <v>130</v>
      </c>
      <c r="I493" s="14">
        <v>25</v>
      </c>
      <c r="J493" s="14">
        <v>500975</v>
      </c>
    </row>
    <row r="494" spans="1:10" x14ac:dyDescent="0.35">
      <c r="A494" s="15">
        <v>10</v>
      </c>
      <c r="B494" s="28" t="s">
        <v>2</v>
      </c>
      <c r="C494" s="11" t="s">
        <v>14</v>
      </c>
      <c r="D494" s="12" t="s">
        <v>41</v>
      </c>
      <c r="E494" s="13" t="s">
        <v>42</v>
      </c>
      <c r="F494" s="31" t="s">
        <v>366</v>
      </c>
      <c r="G494" s="12" t="s">
        <v>43</v>
      </c>
      <c r="H494" s="12" t="s">
        <v>44</v>
      </c>
      <c r="I494" s="14">
        <v>35750</v>
      </c>
      <c r="J494" s="14">
        <v>1334330250</v>
      </c>
    </row>
    <row r="495" spans="1:10" hidden="1" x14ac:dyDescent="0.35">
      <c r="A495" s="15">
        <v>10</v>
      </c>
      <c r="B495" s="15"/>
      <c r="C495" s="11" t="s">
        <v>14</v>
      </c>
      <c r="D495" s="12" t="s">
        <v>179</v>
      </c>
      <c r="E495" s="13" t="s">
        <v>180</v>
      </c>
      <c r="F495" s="35" t="s">
        <v>365</v>
      </c>
      <c r="G495" s="12" t="s">
        <v>123</v>
      </c>
      <c r="H495" s="12" t="s">
        <v>124</v>
      </c>
      <c r="I495" s="14">
        <v>17875</v>
      </c>
      <c r="J495" s="14">
        <v>347569444</v>
      </c>
    </row>
    <row r="496" spans="1:10" hidden="1" x14ac:dyDescent="0.35">
      <c r="A496" s="15">
        <v>10</v>
      </c>
      <c r="B496" s="15"/>
      <c r="C496" s="11" t="s">
        <v>14</v>
      </c>
      <c r="D496" s="12" t="s">
        <v>179</v>
      </c>
      <c r="E496" s="13" t="s">
        <v>180</v>
      </c>
      <c r="F496" s="31" t="s">
        <v>366</v>
      </c>
      <c r="G496" s="12" t="s">
        <v>80</v>
      </c>
      <c r="H496" s="12" t="s">
        <v>81</v>
      </c>
      <c r="I496" s="14">
        <v>14250</v>
      </c>
      <c r="J496" s="14">
        <v>230902778</v>
      </c>
    </row>
    <row r="497" spans="1:10" hidden="1" x14ac:dyDescent="0.35">
      <c r="A497" s="15">
        <v>10</v>
      </c>
      <c r="B497" s="15"/>
      <c r="C497" s="11" t="s">
        <v>14</v>
      </c>
      <c r="D497" s="12" t="s">
        <v>179</v>
      </c>
      <c r="E497" s="13" t="s">
        <v>180</v>
      </c>
      <c r="F497" s="31" t="s">
        <v>366</v>
      </c>
      <c r="G497" s="12" t="s">
        <v>82</v>
      </c>
      <c r="H497" s="12" t="s">
        <v>83</v>
      </c>
      <c r="I497" s="14">
        <v>8250</v>
      </c>
      <c r="J497" s="14">
        <v>133680556</v>
      </c>
    </row>
    <row r="498" spans="1:10" hidden="1" x14ac:dyDescent="0.35">
      <c r="A498" s="15">
        <v>10</v>
      </c>
      <c r="B498" s="15"/>
      <c r="C498" s="11" t="s">
        <v>14</v>
      </c>
      <c r="D498" s="12" t="s">
        <v>179</v>
      </c>
      <c r="E498" s="13" t="s">
        <v>180</v>
      </c>
      <c r="F498" s="31" t="s">
        <v>366</v>
      </c>
      <c r="G498" s="12" t="s">
        <v>119</v>
      </c>
      <c r="H498" s="12" t="s">
        <v>120</v>
      </c>
      <c r="I498" s="14">
        <v>5250</v>
      </c>
      <c r="J498" s="14">
        <v>85069444</v>
      </c>
    </row>
    <row r="499" spans="1:10" x14ac:dyDescent="0.35">
      <c r="A499" s="15">
        <v>10</v>
      </c>
      <c r="B499" s="28" t="s">
        <v>2</v>
      </c>
      <c r="C499" s="11" t="s">
        <v>14</v>
      </c>
      <c r="D499" s="12" t="s">
        <v>45</v>
      </c>
      <c r="E499" s="13" t="s">
        <v>46</v>
      </c>
      <c r="F499" s="31" t="s">
        <v>366</v>
      </c>
      <c r="G499" s="12" t="s">
        <v>43</v>
      </c>
      <c r="H499" s="12" t="s">
        <v>44</v>
      </c>
      <c r="I499" s="14">
        <v>143000</v>
      </c>
      <c r="J499" s="14">
        <v>5170930380</v>
      </c>
    </row>
    <row r="500" spans="1:10" hidden="1" x14ac:dyDescent="0.35">
      <c r="A500" s="15">
        <v>10</v>
      </c>
      <c r="B500" s="28" t="s">
        <v>2</v>
      </c>
      <c r="C500" s="11" t="s">
        <v>14</v>
      </c>
      <c r="D500" s="12" t="s">
        <v>45</v>
      </c>
      <c r="E500" s="13" t="s">
        <v>46</v>
      </c>
      <c r="F500" s="35" t="s">
        <v>363</v>
      </c>
      <c r="G500" s="12" t="s">
        <v>17</v>
      </c>
      <c r="H500" s="12" t="s">
        <v>18</v>
      </c>
      <c r="I500" s="14">
        <v>11000</v>
      </c>
      <c r="J500" s="14">
        <v>365699840</v>
      </c>
    </row>
    <row r="501" spans="1:10" x14ac:dyDescent="0.35">
      <c r="A501" s="15">
        <v>10</v>
      </c>
      <c r="B501" s="28" t="s">
        <v>2</v>
      </c>
      <c r="C501" s="11" t="s">
        <v>14</v>
      </c>
      <c r="D501" s="12" t="s">
        <v>45</v>
      </c>
      <c r="E501" s="13" t="s">
        <v>46</v>
      </c>
      <c r="F501" s="31" t="s">
        <v>366</v>
      </c>
      <c r="G501" s="12" t="s">
        <v>51</v>
      </c>
      <c r="H501" s="12" t="s">
        <v>52</v>
      </c>
      <c r="I501" s="14">
        <v>28875</v>
      </c>
      <c r="J501" s="14">
        <v>985829529</v>
      </c>
    </row>
    <row r="502" spans="1:10" x14ac:dyDescent="0.35">
      <c r="A502" s="15">
        <v>10</v>
      </c>
      <c r="B502" s="28" t="s">
        <v>2</v>
      </c>
      <c r="C502" s="11" t="s">
        <v>14</v>
      </c>
      <c r="D502" s="12" t="s">
        <v>45</v>
      </c>
      <c r="E502" s="13" t="s">
        <v>46</v>
      </c>
      <c r="F502" s="31" t="s">
        <v>366</v>
      </c>
      <c r="G502" s="12" t="s">
        <v>53</v>
      </c>
      <c r="H502" s="12" t="s">
        <v>54</v>
      </c>
      <c r="I502" s="14">
        <v>11000</v>
      </c>
      <c r="J502" s="14">
        <v>399947460</v>
      </c>
    </row>
    <row r="503" spans="1:10" hidden="1" x14ac:dyDescent="0.35">
      <c r="A503" s="15">
        <v>10</v>
      </c>
      <c r="B503" s="15"/>
      <c r="C503" s="11" t="s">
        <v>14</v>
      </c>
      <c r="D503" s="12" t="s">
        <v>308</v>
      </c>
      <c r="E503" s="13" t="s">
        <v>309</v>
      </c>
      <c r="F503" s="35" t="s">
        <v>365</v>
      </c>
      <c r="G503" s="12" t="s">
        <v>125</v>
      </c>
      <c r="H503" s="12" t="s">
        <v>126</v>
      </c>
      <c r="I503" s="14">
        <v>5500</v>
      </c>
      <c r="J503" s="14">
        <v>118250000</v>
      </c>
    </row>
    <row r="504" spans="1:10" hidden="1" x14ac:dyDescent="0.35">
      <c r="A504" s="15">
        <v>10</v>
      </c>
      <c r="B504" s="15"/>
      <c r="C504" s="11" t="s">
        <v>14</v>
      </c>
      <c r="D504" s="12" t="s">
        <v>62</v>
      </c>
      <c r="E504" s="13" t="s">
        <v>63</v>
      </c>
      <c r="F504" s="35" t="s">
        <v>363</v>
      </c>
      <c r="G504" s="12" t="s">
        <v>17</v>
      </c>
      <c r="H504" s="12" t="s">
        <v>18</v>
      </c>
      <c r="I504" s="14">
        <v>55000</v>
      </c>
      <c r="J504" s="14">
        <v>1822425000</v>
      </c>
    </row>
    <row r="505" spans="1:10" hidden="1" x14ac:dyDescent="0.35">
      <c r="A505" s="15">
        <v>10</v>
      </c>
      <c r="B505" s="15"/>
      <c r="C505" s="11" t="s">
        <v>14</v>
      </c>
      <c r="D505" s="12" t="s">
        <v>107</v>
      </c>
      <c r="E505" s="13" t="s">
        <v>108</v>
      </c>
      <c r="F505" s="35" t="s">
        <v>363</v>
      </c>
      <c r="G505" s="12" t="s">
        <v>31</v>
      </c>
      <c r="H505" s="12" t="s">
        <v>32</v>
      </c>
      <c r="I505" s="14">
        <v>27500</v>
      </c>
      <c r="J505" s="14">
        <v>923639345</v>
      </c>
    </row>
    <row r="506" spans="1:10" hidden="1" x14ac:dyDescent="0.35">
      <c r="A506" s="15">
        <v>10</v>
      </c>
      <c r="B506" s="15"/>
      <c r="C506" s="11" t="s">
        <v>14</v>
      </c>
      <c r="D506" s="12" t="s">
        <v>276</v>
      </c>
      <c r="E506" s="13" t="s">
        <v>277</v>
      </c>
      <c r="F506" s="35" t="s">
        <v>364</v>
      </c>
      <c r="G506" s="12" t="s">
        <v>117</v>
      </c>
      <c r="H506" s="12" t="s">
        <v>118</v>
      </c>
      <c r="I506" s="14">
        <v>173600</v>
      </c>
      <c r="J506" s="14">
        <v>3070080000</v>
      </c>
    </row>
    <row r="507" spans="1:10" hidden="1" x14ac:dyDescent="0.35">
      <c r="A507" s="15">
        <v>10</v>
      </c>
      <c r="B507" s="15"/>
      <c r="C507" s="11" t="s">
        <v>14</v>
      </c>
      <c r="D507" s="12" t="s">
        <v>327</v>
      </c>
      <c r="E507" s="13" t="s">
        <v>328</v>
      </c>
      <c r="F507" s="31" t="s">
        <v>366</v>
      </c>
      <c r="G507" s="12" t="s">
        <v>68</v>
      </c>
      <c r="H507" s="12" t="s">
        <v>69</v>
      </c>
      <c r="I507" s="14">
        <v>44000</v>
      </c>
      <c r="J507" s="14">
        <v>1408251240</v>
      </c>
    </row>
    <row r="508" spans="1:10" hidden="1" x14ac:dyDescent="0.35">
      <c r="A508" s="15">
        <v>10</v>
      </c>
      <c r="B508" s="15"/>
      <c r="C508" s="11" t="s">
        <v>14</v>
      </c>
      <c r="D508" s="12" t="s">
        <v>74</v>
      </c>
      <c r="E508" s="13" t="s">
        <v>75</v>
      </c>
      <c r="F508" s="31" t="s">
        <v>366</v>
      </c>
      <c r="G508" s="12" t="s">
        <v>76</v>
      </c>
      <c r="H508" s="12" t="s">
        <v>77</v>
      </c>
      <c r="I508" s="14">
        <v>2000</v>
      </c>
      <c r="J508" s="14">
        <v>55540000</v>
      </c>
    </row>
    <row r="509" spans="1:10" hidden="1" x14ac:dyDescent="0.35">
      <c r="A509" s="15">
        <v>10</v>
      </c>
      <c r="B509" s="15"/>
      <c r="C509" s="11" t="s">
        <v>14</v>
      </c>
      <c r="D509" s="12" t="s">
        <v>78</v>
      </c>
      <c r="E509" s="13" t="s">
        <v>79</v>
      </c>
      <c r="F509" s="31" t="s">
        <v>366</v>
      </c>
      <c r="G509" s="12" t="s">
        <v>80</v>
      </c>
      <c r="H509" s="12" t="s">
        <v>81</v>
      </c>
      <c r="I509" s="14">
        <v>10500</v>
      </c>
      <c r="J509" s="14">
        <v>162750000</v>
      </c>
    </row>
    <row r="510" spans="1:10" hidden="1" x14ac:dyDescent="0.35">
      <c r="A510" s="15">
        <v>10</v>
      </c>
      <c r="B510" s="15"/>
      <c r="C510" s="11" t="s">
        <v>14</v>
      </c>
      <c r="D510" s="12" t="s">
        <v>78</v>
      </c>
      <c r="E510" s="13" t="s">
        <v>79</v>
      </c>
      <c r="F510" s="31" t="s">
        <v>366</v>
      </c>
      <c r="G510" s="12" t="s">
        <v>103</v>
      </c>
      <c r="H510" s="12" t="s">
        <v>104</v>
      </c>
      <c r="I510" s="14">
        <v>6000</v>
      </c>
      <c r="J510" s="14">
        <v>90000000</v>
      </c>
    </row>
    <row r="511" spans="1:10" hidden="1" x14ac:dyDescent="0.35">
      <c r="A511" s="15">
        <v>10</v>
      </c>
      <c r="B511" s="15"/>
      <c r="C511" s="11" t="s">
        <v>14</v>
      </c>
      <c r="D511" s="12" t="s">
        <v>78</v>
      </c>
      <c r="E511" s="13" t="s">
        <v>79</v>
      </c>
      <c r="F511" s="31" t="s">
        <v>366</v>
      </c>
      <c r="G511" s="12" t="s">
        <v>82</v>
      </c>
      <c r="H511" s="12" t="s">
        <v>83</v>
      </c>
      <c r="I511" s="14">
        <v>3750</v>
      </c>
      <c r="J511" s="14">
        <v>58335000</v>
      </c>
    </row>
    <row r="512" spans="1:10" hidden="1" x14ac:dyDescent="0.35">
      <c r="A512" s="15">
        <v>10</v>
      </c>
      <c r="B512" s="15"/>
      <c r="C512" s="11" t="s">
        <v>14</v>
      </c>
      <c r="D512" s="12" t="s">
        <v>78</v>
      </c>
      <c r="E512" s="13" t="s">
        <v>79</v>
      </c>
      <c r="F512" s="31" t="s">
        <v>366</v>
      </c>
      <c r="G512" s="12" t="s">
        <v>196</v>
      </c>
      <c r="H512" s="12" t="s">
        <v>197</v>
      </c>
      <c r="I512" s="14">
        <v>9000</v>
      </c>
      <c r="J512" s="14">
        <v>108333333</v>
      </c>
    </row>
    <row r="513" spans="1:10" hidden="1" x14ac:dyDescent="0.35">
      <c r="A513" s="15">
        <v>10</v>
      </c>
      <c r="B513" s="15"/>
      <c r="C513" s="11" t="s">
        <v>14</v>
      </c>
      <c r="D513" s="12" t="s">
        <v>133</v>
      </c>
      <c r="E513" s="13" t="s">
        <v>134</v>
      </c>
      <c r="F513" s="35" t="s">
        <v>363</v>
      </c>
      <c r="G513" s="12" t="s">
        <v>316</v>
      </c>
      <c r="H513" s="12" t="s">
        <v>317</v>
      </c>
      <c r="I513" s="14">
        <v>12100</v>
      </c>
      <c r="J513" s="14">
        <v>252083333</v>
      </c>
    </row>
    <row r="514" spans="1:10" hidden="1" x14ac:dyDescent="0.35">
      <c r="A514" s="15">
        <v>10</v>
      </c>
      <c r="B514" s="15"/>
      <c r="C514" s="11" t="s">
        <v>14</v>
      </c>
      <c r="D514" s="12" t="s">
        <v>137</v>
      </c>
      <c r="E514" s="13" t="s">
        <v>138</v>
      </c>
      <c r="F514" s="31" t="s">
        <v>366</v>
      </c>
      <c r="G514" s="12" t="s">
        <v>105</v>
      </c>
      <c r="H514" s="12" t="s">
        <v>106</v>
      </c>
      <c r="I514" s="14">
        <v>6750</v>
      </c>
      <c r="J514" s="14">
        <v>106250000</v>
      </c>
    </row>
    <row r="515" spans="1:10" hidden="1" x14ac:dyDescent="0.35">
      <c r="A515" s="15">
        <v>10</v>
      </c>
      <c r="B515" s="15"/>
      <c r="C515" s="11" t="s">
        <v>14</v>
      </c>
      <c r="D515" s="12" t="s">
        <v>137</v>
      </c>
      <c r="E515" s="13" t="s">
        <v>138</v>
      </c>
      <c r="F515" s="31" t="s">
        <v>366</v>
      </c>
      <c r="G515" s="12" t="s">
        <v>119</v>
      </c>
      <c r="H515" s="12" t="s">
        <v>120</v>
      </c>
      <c r="I515" s="14">
        <v>5250</v>
      </c>
      <c r="J515" s="14">
        <v>82638890</v>
      </c>
    </row>
    <row r="516" spans="1:10" hidden="1" x14ac:dyDescent="0.35">
      <c r="A516" s="15">
        <v>10</v>
      </c>
      <c r="B516" s="15"/>
      <c r="C516" s="11" t="s">
        <v>14</v>
      </c>
      <c r="D516" s="12" t="s">
        <v>329</v>
      </c>
      <c r="E516" s="13" t="s">
        <v>330</v>
      </c>
      <c r="F516" s="31" t="s">
        <v>366</v>
      </c>
      <c r="G516" s="12" t="s">
        <v>113</v>
      </c>
      <c r="H516" s="12" t="s">
        <v>114</v>
      </c>
      <c r="I516" s="14">
        <v>3500</v>
      </c>
      <c r="J516" s="14">
        <v>69653334</v>
      </c>
    </row>
    <row r="517" spans="1:10" hidden="1" x14ac:dyDescent="0.35">
      <c r="A517" s="15">
        <v>10</v>
      </c>
      <c r="B517" s="15"/>
      <c r="C517" s="11" t="s">
        <v>14</v>
      </c>
      <c r="D517" s="12" t="s">
        <v>329</v>
      </c>
      <c r="E517" s="13" t="s">
        <v>330</v>
      </c>
      <c r="F517" s="31" t="s">
        <v>366</v>
      </c>
      <c r="G517" s="12" t="s">
        <v>331</v>
      </c>
      <c r="H517" s="12" t="s">
        <v>332</v>
      </c>
      <c r="I517" s="14">
        <v>3500</v>
      </c>
      <c r="J517" s="14">
        <v>74359641</v>
      </c>
    </row>
    <row r="518" spans="1:10" hidden="1" x14ac:dyDescent="0.35">
      <c r="A518" s="15">
        <v>10</v>
      </c>
      <c r="B518" s="15"/>
      <c r="C518" s="11" t="s">
        <v>14</v>
      </c>
      <c r="D518" s="12" t="s">
        <v>185</v>
      </c>
      <c r="E518" s="13" t="s">
        <v>186</v>
      </c>
      <c r="F518" s="31" t="s">
        <v>366</v>
      </c>
      <c r="G518" s="12" t="s">
        <v>93</v>
      </c>
      <c r="H518" s="12" t="s">
        <v>94</v>
      </c>
      <c r="I518" s="14">
        <v>11000</v>
      </c>
      <c r="J518" s="14">
        <v>209611110</v>
      </c>
    </row>
    <row r="519" spans="1:10" hidden="1" x14ac:dyDescent="0.35">
      <c r="A519" s="15">
        <v>10</v>
      </c>
      <c r="B519" s="15"/>
      <c r="C519" s="11" t="s">
        <v>14</v>
      </c>
      <c r="D519" s="12" t="s">
        <v>185</v>
      </c>
      <c r="E519" s="13" t="s">
        <v>186</v>
      </c>
      <c r="F519" s="31" t="s">
        <v>366</v>
      </c>
      <c r="G519" s="12" t="s">
        <v>97</v>
      </c>
      <c r="H519" s="12" t="s">
        <v>98</v>
      </c>
      <c r="I519" s="14">
        <v>6875</v>
      </c>
      <c r="J519" s="14">
        <v>131006944</v>
      </c>
    </row>
    <row r="520" spans="1:10" hidden="1" x14ac:dyDescent="0.35">
      <c r="A520" s="15">
        <v>10</v>
      </c>
      <c r="B520" s="15"/>
      <c r="C520" s="11" t="s">
        <v>14</v>
      </c>
      <c r="D520" s="12" t="s">
        <v>185</v>
      </c>
      <c r="E520" s="13" t="s">
        <v>186</v>
      </c>
      <c r="F520" s="31" t="s">
        <v>366</v>
      </c>
      <c r="G520" s="12" t="s">
        <v>216</v>
      </c>
      <c r="H520" s="12" t="s">
        <v>217</v>
      </c>
      <c r="I520" s="14">
        <v>16500</v>
      </c>
      <c r="J520" s="14">
        <v>314416665</v>
      </c>
    </row>
    <row r="521" spans="1:10" hidden="1" x14ac:dyDescent="0.35">
      <c r="A521" s="15">
        <v>10</v>
      </c>
      <c r="B521" s="15"/>
      <c r="C521" s="11" t="s">
        <v>14</v>
      </c>
      <c r="D521" s="12" t="s">
        <v>185</v>
      </c>
      <c r="E521" s="13" t="s">
        <v>186</v>
      </c>
      <c r="F521" s="31" t="s">
        <v>366</v>
      </c>
      <c r="G521" s="12" t="s">
        <v>333</v>
      </c>
      <c r="H521" s="12" t="s">
        <v>334</v>
      </c>
      <c r="I521" s="14">
        <v>11000</v>
      </c>
      <c r="J521" s="14">
        <v>209000000</v>
      </c>
    </row>
    <row r="522" spans="1:10" hidden="1" x14ac:dyDescent="0.35">
      <c r="A522" s="15">
        <v>10</v>
      </c>
      <c r="B522" s="15"/>
      <c r="C522" s="11" t="s">
        <v>14</v>
      </c>
      <c r="D522" s="12" t="s">
        <v>228</v>
      </c>
      <c r="E522" s="13" t="s">
        <v>229</v>
      </c>
      <c r="F522" s="31" t="s">
        <v>366</v>
      </c>
      <c r="G522" s="12" t="s">
        <v>113</v>
      </c>
      <c r="H522" s="12" t="s">
        <v>114</v>
      </c>
      <c r="I522" s="14">
        <v>47350</v>
      </c>
      <c r="J522" s="14">
        <v>745324077</v>
      </c>
    </row>
    <row r="523" spans="1:10" hidden="1" x14ac:dyDescent="0.35">
      <c r="A523" s="15">
        <v>10</v>
      </c>
      <c r="B523" s="28" t="s">
        <v>2</v>
      </c>
      <c r="C523" s="11" t="s">
        <v>14</v>
      </c>
      <c r="D523" s="12" t="s">
        <v>270</v>
      </c>
      <c r="E523" s="13" t="s">
        <v>271</v>
      </c>
      <c r="F523" s="35" t="s">
        <v>363</v>
      </c>
      <c r="G523" s="12" t="s">
        <v>17</v>
      </c>
      <c r="H523" s="12" t="s">
        <v>18</v>
      </c>
      <c r="I523" s="14">
        <v>132000</v>
      </c>
      <c r="J523" s="14">
        <v>4419954000</v>
      </c>
    </row>
    <row r="524" spans="1:10" hidden="1" x14ac:dyDescent="0.35">
      <c r="A524" s="15">
        <v>10</v>
      </c>
      <c r="B524" s="15"/>
      <c r="C524" s="11" t="s">
        <v>14</v>
      </c>
      <c r="D524" s="12" t="s">
        <v>284</v>
      </c>
      <c r="E524" s="13" t="s">
        <v>285</v>
      </c>
      <c r="F524" s="35" t="s">
        <v>363</v>
      </c>
      <c r="G524" s="12" t="s">
        <v>256</v>
      </c>
      <c r="H524" s="12" t="s">
        <v>292</v>
      </c>
      <c r="I524" s="14">
        <v>60</v>
      </c>
      <c r="J524" s="14">
        <v>2040000</v>
      </c>
    </row>
    <row r="525" spans="1:10" hidden="1" x14ac:dyDescent="0.35">
      <c r="A525" s="15">
        <v>10</v>
      </c>
      <c r="B525" s="15"/>
      <c r="C525" s="11" t="s">
        <v>14</v>
      </c>
      <c r="D525" s="12" t="s">
        <v>318</v>
      </c>
      <c r="E525" s="13" t="s">
        <v>319</v>
      </c>
      <c r="F525" s="35" t="s">
        <v>363</v>
      </c>
      <c r="G525" s="12" t="s">
        <v>316</v>
      </c>
      <c r="H525" s="12" t="s">
        <v>317</v>
      </c>
      <c r="I525" s="14">
        <v>9900</v>
      </c>
      <c r="J525" s="14">
        <v>192500000</v>
      </c>
    </row>
    <row r="526" spans="1:10" hidden="1" x14ac:dyDescent="0.35">
      <c r="A526" s="15">
        <v>10</v>
      </c>
      <c r="B526" s="15"/>
      <c r="C526" s="11" t="s">
        <v>14</v>
      </c>
      <c r="D526" s="12" t="s">
        <v>335</v>
      </c>
      <c r="E526" s="13" t="s">
        <v>336</v>
      </c>
      <c r="F526" s="31" t="s">
        <v>366</v>
      </c>
      <c r="G526" s="12" t="s">
        <v>103</v>
      </c>
      <c r="H526" s="12" t="s">
        <v>104</v>
      </c>
      <c r="I526" s="14">
        <v>182250</v>
      </c>
      <c r="J526" s="14">
        <v>2660850000</v>
      </c>
    </row>
    <row r="527" spans="1:10" hidden="1" x14ac:dyDescent="0.35">
      <c r="A527" s="15">
        <v>10</v>
      </c>
      <c r="B527" s="15"/>
      <c r="C527" s="11" t="s">
        <v>14</v>
      </c>
      <c r="D527" s="12" t="s">
        <v>337</v>
      </c>
      <c r="E527" s="13" t="s">
        <v>338</v>
      </c>
      <c r="F527" s="31" t="s">
        <v>366</v>
      </c>
      <c r="G527" s="12" t="s">
        <v>175</v>
      </c>
      <c r="H527" s="12" t="s">
        <v>176</v>
      </c>
      <c r="I527" s="14">
        <v>400</v>
      </c>
      <c r="J527" s="14">
        <v>13664712</v>
      </c>
    </row>
    <row r="528" spans="1:10" hidden="1" x14ac:dyDescent="0.35">
      <c r="A528" s="15">
        <v>10</v>
      </c>
      <c r="B528" s="15"/>
      <c r="C528" s="11" t="s">
        <v>14</v>
      </c>
      <c r="D528" s="12" t="s">
        <v>339</v>
      </c>
      <c r="E528" s="13" t="s">
        <v>340</v>
      </c>
      <c r="F528" s="31" t="s">
        <v>366</v>
      </c>
      <c r="G528" s="12" t="s">
        <v>103</v>
      </c>
      <c r="H528" s="12" t="s">
        <v>104</v>
      </c>
      <c r="I528" s="14">
        <v>15750</v>
      </c>
      <c r="J528" s="14">
        <v>250110000</v>
      </c>
    </row>
    <row r="529" spans="1:10" hidden="1" x14ac:dyDescent="0.35">
      <c r="A529" s="15">
        <v>10</v>
      </c>
      <c r="B529" s="15"/>
      <c r="C529" s="11" t="s">
        <v>14</v>
      </c>
      <c r="D529" s="12" t="s">
        <v>341</v>
      </c>
      <c r="E529" s="13" t="s">
        <v>342</v>
      </c>
      <c r="F529" s="35" t="s">
        <v>365</v>
      </c>
      <c r="G529" s="12" t="s">
        <v>343</v>
      </c>
      <c r="H529" s="12" t="s">
        <v>344</v>
      </c>
      <c r="I529" s="14">
        <v>50</v>
      </c>
      <c r="J529" s="14">
        <v>1431432</v>
      </c>
    </row>
    <row r="530" spans="1:10" hidden="1" x14ac:dyDescent="0.35">
      <c r="A530" s="15">
        <v>10</v>
      </c>
      <c r="B530" s="15"/>
      <c r="C530" s="11" t="s">
        <v>14</v>
      </c>
      <c r="D530" s="12" t="s">
        <v>341</v>
      </c>
      <c r="E530" s="13" t="s">
        <v>342</v>
      </c>
      <c r="F530" s="35" t="s">
        <v>365</v>
      </c>
      <c r="G530" s="12" t="s">
        <v>127</v>
      </c>
      <c r="H530" s="12" t="s">
        <v>128</v>
      </c>
      <c r="I530" s="14">
        <v>4125</v>
      </c>
      <c r="J530" s="14">
        <v>118093140</v>
      </c>
    </row>
    <row r="531" spans="1:10" hidden="1" x14ac:dyDescent="0.35">
      <c r="A531" s="15">
        <v>10</v>
      </c>
      <c r="B531" s="15"/>
      <c r="C531" s="11" t="s">
        <v>14</v>
      </c>
      <c r="D531" s="12" t="s">
        <v>345</v>
      </c>
      <c r="E531" s="13" t="s">
        <v>346</v>
      </c>
      <c r="F531" s="35" t="s">
        <v>365</v>
      </c>
      <c r="G531" s="12" t="s">
        <v>129</v>
      </c>
      <c r="H531" s="12" t="s">
        <v>130</v>
      </c>
      <c r="I531" s="14">
        <v>200</v>
      </c>
      <c r="J531" s="14">
        <v>4200000</v>
      </c>
    </row>
    <row r="532" spans="1:10" hidden="1" x14ac:dyDescent="0.35">
      <c r="A532" s="15">
        <v>10</v>
      </c>
      <c r="B532" s="15"/>
      <c r="C532" s="11" t="s">
        <v>84</v>
      </c>
      <c r="D532" s="12" t="s">
        <v>198</v>
      </c>
      <c r="E532" s="13" t="s">
        <v>199</v>
      </c>
      <c r="F532" s="35" t="s">
        <v>363</v>
      </c>
      <c r="G532" s="12" t="s">
        <v>17</v>
      </c>
      <c r="H532" s="12" t="s">
        <v>18</v>
      </c>
      <c r="I532" s="14">
        <v>88000</v>
      </c>
      <c r="J532" s="14">
        <v>2530822800</v>
      </c>
    </row>
    <row r="533" spans="1:10" hidden="1" x14ac:dyDescent="0.35">
      <c r="A533" s="15">
        <v>10</v>
      </c>
      <c r="B533" s="15"/>
      <c r="C533" s="11" t="s">
        <v>84</v>
      </c>
      <c r="D533" s="12" t="s">
        <v>85</v>
      </c>
      <c r="E533" s="13" t="s">
        <v>86</v>
      </c>
      <c r="F533" s="35" t="s">
        <v>363</v>
      </c>
      <c r="G533" s="12" t="s">
        <v>17</v>
      </c>
      <c r="H533" s="12" t="s">
        <v>18</v>
      </c>
      <c r="I533" s="14">
        <v>660000</v>
      </c>
      <c r="J533" s="14">
        <v>20729280000</v>
      </c>
    </row>
    <row r="534" spans="1:10" hidden="1" x14ac:dyDescent="0.35">
      <c r="A534" s="15">
        <v>10</v>
      </c>
      <c r="B534" s="15"/>
      <c r="C534" s="11" t="s">
        <v>84</v>
      </c>
      <c r="D534" s="12" t="s">
        <v>155</v>
      </c>
      <c r="E534" s="13" t="s">
        <v>156</v>
      </c>
      <c r="F534" s="35" t="s">
        <v>363</v>
      </c>
      <c r="G534" s="12" t="s">
        <v>31</v>
      </c>
      <c r="H534" s="12" t="s">
        <v>32</v>
      </c>
      <c r="I534" s="14">
        <v>22000</v>
      </c>
      <c r="J534" s="14">
        <v>719400000</v>
      </c>
    </row>
    <row r="535" spans="1:10" hidden="1" x14ac:dyDescent="0.35">
      <c r="A535" s="15">
        <v>10</v>
      </c>
      <c r="B535" s="15"/>
      <c r="C535" s="11" t="s">
        <v>84</v>
      </c>
      <c r="D535" s="12" t="s">
        <v>155</v>
      </c>
      <c r="E535" s="13" t="s">
        <v>156</v>
      </c>
      <c r="F535" s="35" t="s">
        <v>363</v>
      </c>
      <c r="G535" s="12" t="s">
        <v>135</v>
      </c>
      <c r="H535" s="12" t="s">
        <v>136</v>
      </c>
      <c r="I535" s="14">
        <v>44000</v>
      </c>
      <c r="J535" s="14">
        <v>1267596000</v>
      </c>
    </row>
    <row r="536" spans="1:10" hidden="1" x14ac:dyDescent="0.35">
      <c r="A536" s="15">
        <v>10</v>
      </c>
      <c r="B536" s="15"/>
      <c r="C536" s="11" t="s">
        <v>84</v>
      </c>
      <c r="D536" s="12" t="s">
        <v>242</v>
      </c>
      <c r="E536" s="13" t="s">
        <v>243</v>
      </c>
      <c r="F536" s="35" t="s">
        <v>363</v>
      </c>
      <c r="G536" s="12" t="s">
        <v>17</v>
      </c>
      <c r="H536" s="12" t="s">
        <v>18</v>
      </c>
      <c r="I536" s="14">
        <v>44000</v>
      </c>
      <c r="J536" s="14">
        <v>1397896720</v>
      </c>
    </row>
    <row r="537" spans="1:10" hidden="1" x14ac:dyDescent="0.35">
      <c r="A537" s="15">
        <v>10</v>
      </c>
      <c r="B537" s="15"/>
      <c r="C537" s="11" t="s">
        <v>84</v>
      </c>
      <c r="D537" s="12" t="s">
        <v>347</v>
      </c>
      <c r="E537" s="13" t="s">
        <v>249</v>
      </c>
      <c r="F537" s="35" t="s">
        <v>364</v>
      </c>
      <c r="G537" s="12" t="s">
        <v>117</v>
      </c>
      <c r="H537" s="12" t="s">
        <v>118</v>
      </c>
      <c r="I537" s="14">
        <v>21000</v>
      </c>
      <c r="J537" s="14">
        <v>411392520</v>
      </c>
    </row>
    <row r="538" spans="1:10" hidden="1" x14ac:dyDescent="0.35">
      <c r="A538" s="15">
        <v>11</v>
      </c>
      <c r="B538" s="15"/>
      <c r="C538" s="11" t="s">
        <v>14</v>
      </c>
      <c r="D538" s="12" t="s">
        <v>15</v>
      </c>
      <c r="E538" s="13" t="s">
        <v>16</v>
      </c>
      <c r="F538" s="35" t="s">
        <v>363</v>
      </c>
      <c r="G538" s="12" t="s">
        <v>17</v>
      </c>
      <c r="H538" s="12" t="s">
        <v>18</v>
      </c>
      <c r="I538" s="14">
        <v>24200</v>
      </c>
      <c r="J538" s="14">
        <v>742378560</v>
      </c>
    </row>
    <row r="539" spans="1:10" hidden="1" x14ac:dyDescent="0.35">
      <c r="A539" s="15">
        <v>11</v>
      </c>
      <c r="B539" s="15"/>
      <c r="C539" s="11" t="s">
        <v>14</v>
      </c>
      <c r="D539" s="12" t="s">
        <v>15</v>
      </c>
      <c r="E539" s="13" t="s">
        <v>16</v>
      </c>
      <c r="F539" s="31" t="s">
        <v>366</v>
      </c>
      <c r="G539" s="12" t="s">
        <v>47</v>
      </c>
      <c r="H539" s="12" t="s">
        <v>48</v>
      </c>
      <c r="I539" s="14">
        <v>33000</v>
      </c>
      <c r="J539" s="14">
        <v>660000000</v>
      </c>
    </row>
    <row r="540" spans="1:10" hidden="1" x14ac:dyDescent="0.35">
      <c r="A540" s="15">
        <v>11</v>
      </c>
      <c r="B540" s="15"/>
      <c r="C540" s="11" t="s">
        <v>14</v>
      </c>
      <c r="D540" s="12" t="s">
        <v>15</v>
      </c>
      <c r="E540" s="13" t="s">
        <v>16</v>
      </c>
      <c r="F540" s="31" t="s">
        <v>366</v>
      </c>
      <c r="G540" s="12" t="s">
        <v>93</v>
      </c>
      <c r="H540" s="12" t="s">
        <v>94</v>
      </c>
      <c r="I540" s="14">
        <v>4125</v>
      </c>
      <c r="J540" s="14">
        <v>82500000</v>
      </c>
    </row>
    <row r="541" spans="1:10" hidden="1" x14ac:dyDescent="0.35">
      <c r="A541" s="15">
        <v>11</v>
      </c>
      <c r="B541" s="15"/>
      <c r="C541" s="11" t="s">
        <v>14</v>
      </c>
      <c r="D541" s="12" t="s">
        <v>15</v>
      </c>
      <c r="E541" s="13" t="s">
        <v>16</v>
      </c>
      <c r="F541" s="31" t="s">
        <v>366</v>
      </c>
      <c r="G541" s="12" t="s">
        <v>95</v>
      </c>
      <c r="H541" s="14" t="s">
        <v>96</v>
      </c>
      <c r="I541" s="14">
        <v>1375</v>
      </c>
      <c r="J541" s="14">
        <v>27500000</v>
      </c>
    </row>
    <row r="542" spans="1:10" hidden="1" x14ac:dyDescent="0.35">
      <c r="A542" s="15">
        <v>11</v>
      </c>
      <c r="B542" s="15"/>
      <c r="C542" s="11" t="s">
        <v>14</v>
      </c>
      <c r="D542" s="12" t="s">
        <v>15</v>
      </c>
      <c r="E542" s="13" t="s">
        <v>16</v>
      </c>
      <c r="F542" s="31" t="s">
        <v>366</v>
      </c>
      <c r="G542" s="12" t="s">
        <v>97</v>
      </c>
      <c r="H542" s="39" t="s">
        <v>98</v>
      </c>
      <c r="I542" s="14">
        <v>5500</v>
      </c>
      <c r="J542" s="14">
        <v>110000000</v>
      </c>
    </row>
    <row r="543" spans="1:10" x14ac:dyDescent="0.35">
      <c r="A543" s="15">
        <v>11</v>
      </c>
      <c r="B543" s="28" t="s">
        <v>2</v>
      </c>
      <c r="C543" s="11" t="s">
        <v>14</v>
      </c>
      <c r="D543" s="12" t="s">
        <v>99</v>
      </c>
      <c r="E543" s="13" t="s">
        <v>100</v>
      </c>
      <c r="F543" s="31" t="s">
        <v>366</v>
      </c>
      <c r="G543" s="12" t="s">
        <v>53</v>
      </c>
      <c r="H543" s="12" t="s">
        <v>54</v>
      </c>
      <c r="I543" s="14">
        <v>1500</v>
      </c>
      <c r="J543" s="14">
        <v>54850500</v>
      </c>
    </row>
    <row r="544" spans="1:10" hidden="1" x14ac:dyDescent="0.35">
      <c r="A544" s="15">
        <v>11</v>
      </c>
      <c r="B544" s="28" t="s">
        <v>2</v>
      </c>
      <c r="C544" s="11" t="s">
        <v>14</v>
      </c>
      <c r="D544" s="12" t="s">
        <v>23</v>
      </c>
      <c r="E544" s="13" t="s">
        <v>24</v>
      </c>
      <c r="F544" s="35" t="s">
        <v>363</v>
      </c>
      <c r="G544" s="12" t="s">
        <v>17</v>
      </c>
      <c r="H544" s="12" t="s">
        <v>18</v>
      </c>
      <c r="I544" s="14">
        <v>176000</v>
      </c>
      <c r="J544" s="14">
        <v>5935424000</v>
      </c>
    </row>
    <row r="545" spans="1:10" hidden="1" x14ac:dyDescent="0.35">
      <c r="A545" s="15">
        <v>11</v>
      </c>
      <c r="B545" s="15"/>
      <c r="C545" s="11" t="s">
        <v>14</v>
      </c>
      <c r="D545" s="12" t="s">
        <v>25</v>
      </c>
      <c r="E545" s="13" t="s">
        <v>26</v>
      </c>
      <c r="F545" s="35" t="s">
        <v>363</v>
      </c>
      <c r="G545" s="12" t="s">
        <v>64</v>
      </c>
      <c r="H545" s="12" t="s">
        <v>65</v>
      </c>
      <c r="I545" s="14">
        <v>96800</v>
      </c>
      <c r="J545" s="14">
        <v>3328181472</v>
      </c>
    </row>
    <row r="546" spans="1:10" hidden="1" x14ac:dyDescent="0.35">
      <c r="A546" s="15">
        <v>11</v>
      </c>
      <c r="B546" s="15"/>
      <c r="C546" s="11" t="s">
        <v>14</v>
      </c>
      <c r="D546" s="12" t="s">
        <v>25</v>
      </c>
      <c r="E546" s="13" t="s">
        <v>26</v>
      </c>
      <c r="F546" s="35" t="s">
        <v>363</v>
      </c>
      <c r="G546" s="12" t="s">
        <v>288</v>
      </c>
      <c r="H546" s="12" t="s">
        <v>289</v>
      </c>
      <c r="I546" s="14">
        <v>216700</v>
      </c>
      <c r="J546" s="14">
        <v>7958582709</v>
      </c>
    </row>
    <row r="547" spans="1:10" hidden="1" x14ac:dyDescent="0.35">
      <c r="A547" s="15">
        <v>11</v>
      </c>
      <c r="B547" s="15"/>
      <c r="C547" s="11" t="s">
        <v>14</v>
      </c>
      <c r="D547" s="12" t="s">
        <v>33</v>
      </c>
      <c r="E547" s="13" t="s">
        <v>34</v>
      </c>
      <c r="F547" s="35" t="s">
        <v>363</v>
      </c>
      <c r="G547" s="12" t="s">
        <v>21</v>
      </c>
      <c r="H547" s="12" t="s">
        <v>22</v>
      </c>
      <c r="I547" s="14">
        <v>-41800</v>
      </c>
      <c r="J547" s="14">
        <v>-1479093000</v>
      </c>
    </row>
    <row r="548" spans="1:10" hidden="1" x14ac:dyDescent="0.35">
      <c r="A548" s="15">
        <v>11</v>
      </c>
      <c r="B548" s="15"/>
      <c r="C548" s="11" t="s">
        <v>14</v>
      </c>
      <c r="D548" s="12" t="s">
        <v>33</v>
      </c>
      <c r="E548" s="13" t="s">
        <v>34</v>
      </c>
      <c r="F548" s="35" t="s">
        <v>363</v>
      </c>
      <c r="G548" s="12" t="s">
        <v>21</v>
      </c>
      <c r="H548" s="12" t="s">
        <v>22</v>
      </c>
      <c r="I548" s="14">
        <v>517140</v>
      </c>
      <c r="J548" s="14">
        <v>18468662900</v>
      </c>
    </row>
    <row r="549" spans="1:10" hidden="1" x14ac:dyDescent="0.35">
      <c r="A549" s="15">
        <v>11</v>
      </c>
      <c r="B549" s="15"/>
      <c r="C549" s="11" t="s">
        <v>14</v>
      </c>
      <c r="D549" s="12" t="s">
        <v>37</v>
      </c>
      <c r="E549" s="13" t="s">
        <v>348</v>
      </c>
      <c r="F549" s="35" t="s">
        <v>363</v>
      </c>
      <c r="G549" s="12" t="s">
        <v>21</v>
      </c>
      <c r="H549" s="12" t="s">
        <v>22</v>
      </c>
      <c r="I549" s="14">
        <v>88000</v>
      </c>
      <c r="J549" s="14">
        <v>3109436000</v>
      </c>
    </row>
    <row r="550" spans="1:10" x14ac:dyDescent="0.35">
      <c r="A550" s="15">
        <v>11</v>
      </c>
      <c r="B550" s="28" t="s">
        <v>2</v>
      </c>
      <c r="C550" s="11" t="s">
        <v>14</v>
      </c>
      <c r="D550" s="12" t="s">
        <v>41</v>
      </c>
      <c r="E550" s="13" t="s">
        <v>42</v>
      </c>
      <c r="F550" s="31" t="s">
        <v>366</v>
      </c>
      <c r="G550" s="12" t="s">
        <v>43</v>
      </c>
      <c r="H550" s="12" t="s">
        <v>44</v>
      </c>
      <c r="I550" s="14">
        <v>11000</v>
      </c>
      <c r="J550" s="14">
        <v>414447000</v>
      </c>
    </row>
    <row r="551" spans="1:10" x14ac:dyDescent="0.35">
      <c r="A551" s="15">
        <v>11</v>
      </c>
      <c r="B551" s="28" t="s">
        <v>2</v>
      </c>
      <c r="C551" s="11" t="s">
        <v>14</v>
      </c>
      <c r="D551" s="12" t="s">
        <v>45</v>
      </c>
      <c r="E551" s="13" t="s">
        <v>46</v>
      </c>
      <c r="F551" s="31" t="s">
        <v>366</v>
      </c>
      <c r="G551" s="12" t="s">
        <v>43</v>
      </c>
      <c r="H551" s="12" t="s">
        <v>44</v>
      </c>
      <c r="I551" s="14">
        <v>55000</v>
      </c>
      <c r="J551" s="14">
        <v>1999737300</v>
      </c>
    </row>
    <row r="552" spans="1:10" hidden="1" x14ac:dyDescent="0.35">
      <c r="A552" s="15">
        <v>11</v>
      </c>
      <c r="B552" s="28" t="s">
        <v>2</v>
      </c>
      <c r="C552" s="11" t="s">
        <v>14</v>
      </c>
      <c r="D552" s="12" t="s">
        <v>45</v>
      </c>
      <c r="E552" s="13" t="s">
        <v>46</v>
      </c>
      <c r="F552" s="35" t="s">
        <v>363</v>
      </c>
      <c r="G552" s="12" t="s">
        <v>17</v>
      </c>
      <c r="H552" s="12" t="s">
        <v>18</v>
      </c>
      <c r="I552" s="14">
        <v>11000</v>
      </c>
      <c r="J552" s="14">
        <v>370965760</v>
      </c>
    </row>
    <row r="553" spans="1:10" x14ac:dyDescent="0.35">
      <c r="A553" s="15">
        <v>11</v>
      </c>
      <c r="B553" s="28" t="s">
        <v>2</v>
      </c>
      <c r="C553" s="11" t="s">
        <v>14</v>
      </c>
      <c r="D553" s="12" t="s">
        <v>45</v>
      </c>
      <c r="E553" s="13" t="s">
        <v>46</v>
      </c>
      <c r="F553" s="31" t="s">
        <v>366</v>
      </c>
      <c r="G553" s="12" t="s">
        <v>49</v>
      </c>
      <c r="H553" s="12" t="s">
        <v>50</v>
      </c>
      <c r="I553" s="14">
        <v>5500</v>
      </c>
      <c r="J553" s="14">
        <v>189830135</v>
      </c>
    </row>
    <row r="554" spans="1:10" x14ac:dyDescent="0.35">
      <c r="A554" s="15">
        <v>11</v>
      </c>
      <c r="B554" s="28" t="s">
        <v>2</v>
      </c>
      <c r="C554" s="11" t="s">
        <v>14</v>
      </c>
      <c r="D554" s="12" t="s">
        <v>45</v>
      </c>
      <c r="E554" s="13" t="s">
        <v>46</v>
      </c>
      <c r="F554" s="31" t="s">
        <v>366</v>
      </c>
      <c r="G554" s="12" t="s">
        <v>51</v>
      </c>
      <c r="H554" s="12" t="s">
        <v>52</v>
      </c>
      <c r="I554" s="14">
        <v>22000</v>
      </c>
      <c r="J554" s="14">
        <v>759320540</v>
      </c>
    </row>
    <row r="555" spans="1:10" x14ac:dyDescent="0.35">
      <c r="A555" s="15">
        <v>11</v>
      </c>
      <c r="B555" s="28" t="s">
        <v>2</v>
      </c>
      <c r="C555" s="11" t="s">
        <v>14</v>
      </c>
      <c r="D555" s="12" t="s">
        <v>45</v>
      </c>
      <c r="E555" s="13" t="s">
        <v>46</v>
      </c>
      <c r="F555" s="31" t="s">
        <v>366</v>
      </c>
      <c r="G555" s="12" t="s">
        <v>53</v>
      </c>
      <c r="H555" s="12" t="s">
        <v>54</v>
      </c>
      <c r="I555" s="14">
        <v>11000</v>
      </c>
      <c r="J555" s="14">
        <v>399947460</v>
      </c>
    </row>
    <row r="556" spans="1:10" hidden="1" x14ac:dyDescent="0.35">
      <c r="A556" s="15">
        <v>11</v>
      </c>
      <c r="B556" s="15"/>
      <c r="C556" s="11" t="s">
        <v>14</v>
      </c>
      <c r="D556" s="12" t="s">
        <v>304</v>
      </c>
      <c r="E556" s="13" t="s">
        <v>305</v>
      </c>
      <c r="F556" s="35" t="s">
        <v>363</v>
      </c>
      <c r="G556" s="12" t="s">
        <v>306</v>
      </c>
      <c r="H556" s="12" t="s">
        <v>307</v>
      </c>
      <c r="I556" s="14">
        <v>200</v>
      </c>
      <c r="J556" s="14">
        <v>6840800</v>
      </c>
    </row>
    <row r="557" spans="1:10" hidden="1" x14ac:dyDescent="0.35">
      <c r="A557" s="15">
        <v>11</v>
      </c>
      <c r="B557" s="15"/>
      <c r="C557" s="11" t="s">
        <v>14</v>
      </c>
      <c r="D557" s="12" t="s">
        <v>57</v>
      </c>
      <c r="E557" s="13" t="s">
        <v>349</v>
      </c>
      <c r="F557" s="35" t="s">
        <v>363</v>
      </c>
      <c r="G557" s="12" t="s">
        <v>21</v>
      </c>
      <c r="H557" s="12" t="s">
        <v>22</v>
      </c>
      <c r="I557" s="14">
        <v>110000</v>
      </c>
      <c r="J557" s="14">
        <v>3886740000</v>
      </c>
    </row>
    <row r="558" spans="1:10" hidden="1" x14ac:dyDescent="0.35">
      <c r="A558" s="15">
        <v>11</v>
      </c>
      <c r="B558" s="15"/>
      <c r="C558" s="11" t="s">
        <v>14</v>
      </c>
      <c r="D558" s="12" t="s">
        <v>62</v>
      </c>
      <c r="E558" s="13" t="s">
        <v>63</v>
      </c>
      <c r="F558" s="35" t="s">
        <v>363</v>
      </c>
      <c r="G558" s="12" t="s">
        <v>17</v>
      </c>
      <c r="H558" s="12" t="s">
        <v>18</v>
      </c>
      <c r="I558" s="14">
        <v>22000</v>
      </c>
      <c r="J558" s="14">
        <v>669210300</v>
      </c>
    </row>
    <row r="559" spans="1:10" hidden="1" x14ac:dyDescent="0.35">
      <c r="A559" s="15">
        <v>11</v>
      </c>
      <c r="B559" s="15"/>
      <c r="C559" s="11" t="s">
        <v>14</v>
      </c>
      <c r="D559" s="12" t="s">
        <v>107</v>
      </c>
      <c r="E559" s="13" t="s">
        <v>108</v>
      </c>
      <c r="F559" s="35" t="s">
        <v>363</v>
      </c>
      <c r="G559" s="12" t="s">
        <v>31</v>
      </c>
      <c r="H559" s="12" t="s">
        <v>32</v>
      </c>
      <c r="I559" s="14">
        <v>20900</v>
      </c>
      <c r="J559" s="14">
        <v>704094177</v>
      </c>
    </row>
    <row r="560" spans="1:10" hidden="1" x14ac:dyDescent="0.35">
      <c r="A560" s="15">
        <v>11</v>
      </c>
      <c r="B560" s="15"/>
      <c r="C560" s="11" t="s">
        <v>14</v>
      </c>
      <c r="D560" s="12" t="s">
        <v>72</v>
      </c>
      <c r="E560" s="13" t="s">
        <v>350</v>
      </c>
      <c r="F560" s="35" t="s">
        <v>363</v>
      </c>
      <c r="G560" s="12" t="s">
        <v>17</v>
      </c>
      <c r="H560" s="12" t="s">
        <v>18</v>
      </c>
      <c r="I560" s="14">
        <v>22000</v>
      </c>
      <c r="J560" s="14">
        <v>682465850</v>
      </c>
    </row>
    <row r="561" spans="1:10" hidden="1" x14ac:dyDescent="0.35">
      <c r="A561" s="15">
        <v>11</v>
      </c>
      <c r="B561" s="15"/>
      <c r="C561" s="11" t="s">
        <v>14</v>
      </c>
      <c r="D561" s="12" t="s">
        <v>327</v>
      </c>
      <c r="E561" s="13" t="s">
        <v>328</v>
      </c>
      <c r="F561" s="31" t="s">
        <v>366</v>
      </c>
      <c r="G561" s="12" t="s">
        <v>68</v>
      </c>
      <c r="H561" s="12" t="s">
        <v>69</v>
      </c>
      <c r="I561" s="14">
        <v>33000</v>
      </c>
      <c r="J561" s="14">
        <v>1056188430</v>
      </c>
    </row>
    <row r="562" spans="1:10" hidden="1" x14ac:dyDescent="0.35">
      <c r="A562" s="15">
        <v>11</v>
      </c>
      <c r="B562" s="15"/>
      <c r="C562" s="11" t="s">
        <v>14</v>
      </c>
      <c r="D562" s="12" t="s">
        <v>78</v>
      </c>
      <c r="E562" s="13" t="s">
        <v>79</v>
      </c>
      <c r="F562" s="31" t="s">
        <v>366</v>
      </c>
      <c r="G562" s="12" t="s">
        <v>80</v>
      </c>
      <c r="H562" s="12" t="s">
        <v>81</v>
      </c>
      <c r="I562" s="14">
        <v>10500</v>
      </c>
      <c r="J562" s="14">
        <v>162750000</v>
      </c>
    </row>
    <row r="563" spans="1:10" hidden="1" x14ac:dyDescent="0.35">
      <c r="A563" s="15">
        <v>11</v>
      </c>
      <c r="B563" s="15"/>
      <c r="C563" s="11" t="s">
        <v>14</v>
      </c>
      <c r="D563" s="12" t="s">
        <v>78</v>
      </c>
      <c r="E563" s="13" t="s">
        <v>79</v>
      </c>
      <c r="F563" s="31" t="s">
        <v>366</v>
      </c>
      <c r="G563" s="12" t="s">
        <v>82</v>
      </c>
      <c r="H563" s="12" t="s">
        <v>83</v>
      </c>
      <c r="I563" s="14">
        <v>5250</v>
      </c>
      <c r="J563" s="14">
        <v>82162500</v>
      </c>
    </row>
    <row r="564" spans="1:10" hidden="1" x14ac:dyDescent="0.35">
      <c r="A564" s="15">
        <v>11</v>
      </c>
      <c r="B564" s="15"/>
      <c r="C564" s="11" t="s">
        <v>14</v>
      </c>
      <c r="D564" s="12" t="s">
        <v>133</v>
      </c>
      <c r="E564" s="13" t="s">
        <v>134</v>
      </c>
      <c r="F564" s="35" t="s">
        <v>363</v>
      </c>
      <c r="G564" s="12" t="s">
        <v>316</v>
      </c>
      <c r="H564" s="12" t="s">
        <v>317</v>
      </c>
      <c r="I564" s="14">
        <v>30800</v>
      </c>
      <c r="J564" s="14">
        <v>669542133</v>
      </c>
    </row>
    <row r="565" spans="1:10" hidden="1" x14ac:dyDescent="0.35">
      <c r="A565" s="15">
        <v>11</v>
      </c>
      <c r="B565" s="15"/>
      <c r="C565" s="11" t="s">
        <v>14</v>
      </c>
      <c r="D565" s="12" t="s">
        <v>137</v>
      </c>
      <c r="E565" s="13" t="s">
        <v>138</v>
      </c>
      <c r="F565" s="31" t="s">
        <v>366</v>
      </c>
      <c r="G565" s="12" t="s">
        <v>82</v>
      </c>
      <c r="H565" s="12" t="s">
        <v>83</v>
      </c>
      <c r="I565" s="14">
        <v>4500</v>
      </c>
      <c r="J565" s="14">
        <v>70650000</v>
      </c>
    </row>
    <row r="566" spans="1:10" hidden="1" x14ac:dyDescent="0.35">
      <c r="A566" s="15">
        <v>11</v>
      </c>
      <c r="B566" s="15"/>
      <c r="C566" s="11" t="s">
        <v>14</v>
      </c>
      <c r="D566" s="12" t="s">
        <v>137</v>
      </c>
      <c r="E566" s="13" t="s">
        <v>138</v>
      </c>
      <c r="F566" s="31" t="s">
        <v>366</v>
      </c>
      <c r="G566" s="12" t="s">
        <v>105</v>
      </c>
      <c r="H566" s="12" t="s">
        <v>106</v>
      </c>
      <c r="I566" s="14">
        <v>14250</v>
      </c>
      <c r="J566" s="14">
        <v>224305556</v>
      </c>
    </row>
    <row r="567" spans="1:10" hidden="1" x14ac:dyDescent="0.35">
      <c r="A567" s="15">
        <v>11</v>
      </c>
      <c r="B567" s="15"/>
      <c r="C567" s="11" t="s">
        <v>14</v>
      </c>
      <c r="D567" s="12" t="s">
        <v>137</v>
      </c>
      <c r="E567" s="13" t="s">
        <v>138</v>
      </c>
      <c r="F567" s="31" t="s">
        <v>366</v>
      </c>
      <c r="G567" s="12" t="s">
        <v>119</v>
      </c>
      <c r="H567" s="12" t="s">
        <v>120</v>
      </c>
      <c r="I567" s="14">
        <v>4500</v>
      </c>
      <c r="J567" s="14">
        <v>70833334</v>
      </c>
    </row>
    <row r="568" spans="1:10" hidden="1" x14ac:dyDescent="0.35">
      <c r="A568" s="15">
        <v>11</v>
      </c>
      <c r="B568" s="15"/>
      <c r="C568" s="11" t="s">
        <v>14</v>
      </c>
      <c r="D568" s="12" t="s">
        <v>185</v>
      </c>
      <c r="E568" s="13" t="s">
        <v>186</v>
      </c>
      <c r="F568" s="31" t="s">
        <v>366</v>
      </c>
      <c r="G568" s="12" t="s">
        <v>93</v>
      </c>
      <c r="H568" s="12" t="s">
        <v>94</v>
      </c>
      <c r="I568" s="14">
        <v>8250</v>
      </c>
      <c r="J568" s="14">
        <v>157208334</v>
      </c>
    </row>
    <row r="569" spans="1:10" hidden="1" x14ac:dyDescent="0.35">
      <c r="A569" s="15">
        <v>11</v>
      </c>
      <c r="B569" s="15"/>
      <c r="C569" s="11" t="s">
        <v>14</v>
      </c>
      <c r="D569" s="12" t="s">
        <v>185</v>
      </c>
      <c r="E569" s="13" t="s">
        <v>186</v>
      </c>
      <c r="F569" s="31" t="s">
        <v>366</v>
      </c>
      <c r="G569" s="12" t="s">
        <v>216</v>
      </c>
      <c r="H569" s="12" t="s">
        <v>217</v>
      </c>
      <c r="I569" s="14">
        <v>22000</v>
      </c>
      <c r="J569" s="14">
        <v>419222220</v>
      </c>
    </row>
    <row r="570" spans="1:10" hidden="1" x14ac:dyDescent="0.35">
      <c r="A570" s="15">
        <v>11</v>
      </c>
      <c r="B570" s="15"/>
      <c r="C570" s="11" t="s">
        <v>14</v>
      </c>
      <c r="D570" s="12" t="s">
        <v>228</v>
      </c>
      <c r="E570" s="13" t="s">
        <v>229</v>
      </c>
      <c r="F570" s="31" t="s">
        <v>366</v>
      </c>
      <c r="G570" s="12" t="s">
        <v>113</v>
      </c>
      <c r="H570" s="12" t="s">
        <v>114</v>
      </c>
      <c r="I570" s="14">
        <v>20625</v>
      </c>
      <c r="J570" s="14">
        <v>324652779</v>
      </c>
    </row>
    <row r="571" spans="1:10" hidden="1" x14ac:dyDescent="0.35">
      <c r="A571" s="15">
        <v>11</v>
      </c>
      <c r="B571" s="28" t="s">
        <v>2</v>
      </c>
      <c r="C571" s="11" t="s">
        <v>14</v>
      </c>
      <c r="D571" s="12" t="s">
        <v>270</v>
      </c>
      <c r="E571" s="13" t="s">
        <v>271</v>
      </c>
      <c r="F571" s="35" t="s">
        <v>363</v>
      </c>
      <c r="G571" s="12" t="s">
        <v>17</v>
      </c>
      <c r="H571" s="12" t="s">
        <v>18</v>
      </c>
      <c r="I571" s="14">
        <v>66000</v>
      </c>
      <c r="J571" s="14">
        <v>2225784000</v>
      </c>
    </row>
    <row r="572" spans="1:10" hidden="1" x14ac:dyDescent="0.35">
      <c r="A572" s="15">
        <v>11</v>
      </c>
      <c r="B572" s="15"/>
      <c r="C572" s="11" t="s">
        <v>14</v>
      </c>
      <c r="D572" s="12" t="s">
        <v>284</v>
      </c>
      <c r="E572" s="13" t="s">
        <v>285</v>
      </c>
      <c r="F572" s="35" t="s">
        <v>363</v>
      </c>
      <c r="G572" s="12" t="s">
        <v>256</v>
      </c>
      <c r="H572" s="12" t="s">
        <v>292</v>
      </c>
      <c r="I572" s="14">
        <v>1100</v>
      </c>
      <c r="J572" s="14">
        <v>36300000</v>
      </c>
    </row>
    <row r="573" spans="1:10" hidden="1" x14ac:dyDescent="0.35">
      <c r="A573" s="15">
        <v>11</v>
      </c>
      <c r="B573" s="15"/>
      <c r="C573" s="11" t="s">
        <v>14</v>
      </c>
      <c r="D573" s="12" t="s">
        <v>293</v>
      </c>
      <c r="E573" s="13" t="s">
        <v>294</v>
      </c>
      <c r="F573" s="35" t="s">
        <v>364</v>
      </c>
      <c r="G573" s="12" t="s">
        <v>117</v>
      </c>
      <c r="H573" s="12" t="s">
        <v>351</v>
      </c>
      <c r="I573" s="14">
        <v>6300</v>
      </c>
      <c r="J573" s="14">
        <v>112140000</v>
      </c>
    </row>
    <row r="574" spans="1:10" hidden="1" x14ac:dyDescent="0.35">
      <c r="A574" s="15">
        <v>11</v>
      </c>
      <c r="B574" s="15"/>
      <c r="C574" s="11" t="s">
        <v>14</v>
      </c>
      <c r="D574" s="12" t="s">
        <v>335</v>
      </c>
      <c r="E574" s="13" t="s">
        <v>336</v>
      </c>
      <c r="F574" s="31" t="s">
        <v>366</v>
      </c>
      <c r="G574" s="12" t="s">
        <v>103</v>
      </c>
      <c r="H574" s="12" t="s">
        <v>104</v>
      </c>
      <c r="I574" s="14">
        <v>63000</v>
      </c>
      <c r="J574" s="14">
        <v>919800000</v>
      </c>
    </row>
    <row r="575" spans="1:10" hidden="1" x14ac:dyDescent="0.35">
      <c r="A575" s="15">
        <v>11</v>
      </c>
      <c r="B575" s="15"/>
      <c r="C575" s="11" t="s">
        <v>14</v>
      </c>
      <c r="D575" s="12" t="s">
        <v>352</v>
      </c>
      <c r="E575" s="13" t="s">
        <v>353</v>
      </c>
      <c r="F575" s="35" t="s">
        <v>363</v>
      </c>
      <c r="G575" s="12" t="s">
        <v>312</v>
      </c>
      <c r="H575" s="12" t="s">
        <v>313</v>
      </c>
      <c r="I575" s="14">
        <v>4400</v>
      </c>
      <c r="J575" s="14">
        <v>134515920</v>
      </c>
    </row>
    <row r="576" spans="1:10" hidden="1" x14ac:dyDescent="0.35">
      <c r="A576" s="15">
        <v>11</v>
      </c>
      <c r="B576" s="15"/>
      <c r="C576" s="11" t="s">
        <v>14</v>
      </c>
      <c r="D576" s="12" t="s">
        <v>354</v>
      </c>
      <c r="E576" s="13" t="s">
        <v>355</v>
      </c>
      <c r="F576" s="31" t="s">
        <v>366</v>
      </c>
      <c r="G576" s="12" t="s">
        <v>113</v>
      </c>
      <c r="H576" s="12" t="s">
        <v>114</v>
      </c>
      <c r="I576" s="14">
        <v>500</v>
      </c>
      <c r="J576" s="14">
        <v>9800000</v>
      </c>
    </row>
    <row r="577" spans="1:10" hidden="1" x14ac:dyDescent="0.35">
      <c r="A577" s="15">
        <v>11</v>
      </c>
      <c r="B577" s="15"/>
      <c r="C577" s="11" t="s">
        <v>14</v>
      </c>
      <c r="D577" s="12" t="s">
        <v>339</v>
      </c>
      <c r="E577" s="13" t="s">
        <v>340</v>
      </c>
      <c r="F577" s="31" t="s">
        <v>366</v>
      </c>
      <c r="G577" s="12" t="s">
        <v>103</v>
      </c>
      <c r="H577" s="12" t="s">
        <v>104</v>
      </c>
      <c r="I577" s="14">
        <v>10500</v>
      </c>
      <c r="J577" s="14">
        <v>166740000</v>
      </c>
    </row>
    <row r="578" spans="1:10" hidden="1" x14ac:dyDescent="0.35">
      <c r="A578" s="15">
        <v>11</v>
      </c>
      <c r="B578" s="15"/>
      <c r="C578" s="11" t="s">
        <v>14</v>
      </c>
      <c r="D578" s="12" t="s">
        <v>356</v>
      </c>
      <c r="E578" s="13" t="s">
        <v>357</v>
      </c>
      <c r="F578" s="31" t="s">
        <v>366</v>
      </c>
      <c r="G578" s="12" t="s">
        <v>331</v>
      </c>
      <c r="H578" s="12" t="s">
        <v>332</v>
      </c>
      <c r="I578" s="14">
        <v>600</v>
      </c>
      <c r="J578" s="14">
        <v>12540000</v>
      </c>
    </row>
    <row r="579" spans="1:10" hidden="1" x14ac:dyDescent="0.35">
      <c r="A579" s="15">
        <v>11</v>
      </c>
      <c r="B579" s="15"/>
      <c r="C579" s="11" t="s">
        <v>14</v>
      </c>
      <c r="D579" s="12" t="s">
        <v>358</v>
      </c>
      <c r="E579" s="13" t="s">
        <v>359</v>
      </c>
      <c r="F579" s="35" t="s">
        <v>363</v>
      </c>
      <c r="G579" s="12" t="s">
        <v>17</v>
      </c>
      <c r="H579" s="12" t="s">
        <v>18</v>
      </c>
      <c r="I579" s="14">
        <v>2200</v>
      </c>
      <c r="J579" s="14">
        <v>68200000</v>
      </c>
    </row>
    <row r="580" spans="1:10" hidden="1" x14ac:dyDescent="0.35">
      <c r="A580" s="15">
        <v>11</v>
      </c>
      <c r="B580" s="15"/>
      <c r="C580" s="11" t="s">
        <v>84</v>
      </c>
      <c r="D580" s="12" t="s">
        <v>198</v>
      </c>
      <c r="E580" s="13" t="s">
        <v>199</v>
      </c>
      <c r="F580" s="35" t="s">
        <v>363</v>
      </c>
      <c r="G580" s="12" t="s">
        <v>17</v>
      </c>
      <c r="H580" s="12" t="s">
        <v>18</v>
      </c>
      <c r="I580" s="14">
        <v>66000</v>
      </c>
      <c r="J580" s="14">
        <v>1901394000</v>
      </c>
    </row>
    <row r="581" spans="1:10" hidden="1" x14ac:dyDescent="0.35">
      <c r="A581" s="15">
        <v>11</v>
      </c>
      <c r="B581" s="15"/>
      <c r="C581" s="11" t="s">
        <v>84</v>
      </c>
      <c r="D581" s="12" t="s">
        <v>85</v>
      </c>
      <c r="E581" s="13" t="s">
        <v>86</v>
      </c>
      <c r="F581" s="35" t="s">
        <v>363</v>
      </c>
      <c r="G581" s="12" t="s">
        <v>17</v>
      </c>
      <c r="H581" s="12" t="s">
        <v>18</v>
      </c>
      <c r="I581" s="14">
        <v>330000</v>
      </c>
      <c r="J581" s="14">
        <v>10369920000</v>
      </c>
    </row>
    <row r="582" spans="1:10" hidden="1" x14ac:dyDescent="0.35">
      <c r="A582" s="15">
        <v>11</v>
      </c>
      <c r="B582" s="15"/>
      <c r="C582" s="11" t="s">
        <v>84</v>
      </c>
      <c r="D582" s="12" t="s">
        <v>250</v>
      </c>
      <c r="E582" s="13" t="s">
        <v>251</v>
      </c>
      <c r="F582" s="35" t="s">
        <v>363</v>
      </c>
      <c r="G582" s="12" t="s">
        <v>135</v>
      </c>
      <c r="H582" s="12" t="s">
        <v>136</v>
      </c>
      <c r="I582" s="14">
        <v>220000</v>
      </c>
      <c r="J582" s="14">
        <v>5184630000</v>
      </c>
    </row>
    <row r="583" spans="1:10" hidden="1" x14ac:dyDescent="0.35">
      <c r="A583" s="15">
        <v>11</v>
      </c>
      <c r="B583" s="15"/>
      <c r="C583" s="11" t="s">
        <v>84</v>
      </c>
      <c r="D583" s="12" t="s">
        <v>347</v>
      </c>
      <c r="E583" s="13" t="s">
        <v>249</v>
      </c>
      <c r="F583" s="35" t="s">
        <v>364</v>
      </c>
      <c r="G583" s="12" t="s">
        <v>117</v>
      </c>
      <c r="H583" s="12" t="s">
        <v>118</v>
      </c>
      <c r="I583" s="14">
        <v>21000</v>
      </c>
      <c r="J583" s="14">
        <v>395992800</v>
      </c>
    </row>
    <row r="584" spans="1:10" hidden="1" x14ac:dyDescent="0.35">
      <c r="A584" s="15">
        <v>11</v>
      </c>
      <c r="B584" s="15"/>
      <c r="C584" s="11" t="s">
        <v>84</v>
      </c>
      <c r="D584" s="12" t="s">
        <v>301</v>
      </c>
      <c r="E584" s="13" t="s">
        <v>302</v>
      </c>
      <c r="F584" s="31" t="s">
        <v>366</v>
      </c>
      <c r="G584" s="12" t="s">
        <v>113</v>
      </c>
      <c r="H584" s="12" t="s">
        <v>114</v>
      </c>
      <c r="I584" s="14">
        <v>108000</v>
      </c>
      <c r="J584" s="14">
        <v>2263680000</v>
      </c>
    </row>
    <row r="585" spans="1:10" hidden="1" x14ac:dyDescent="0.35">
      <c r="A585" s="15">
        <v>11</v>
      </c>
      <c r="B585" s="15"/>
      <c r="C585" s="11" t="s">
        <v>84</v>
      </c>
      <c r="D585" s="12" t="s">
        <v>360</v>
      </c>
      <c r="E585" s="13" t="s">
        <v>361</v>
      </c>
      <c r="F585" s="35" t="s">
        <v>363</v>
      </c>
      <c r="G585" s="12" t="s">
        <v>21</v>
      </c>
      <c r="H585" s="12" t="s">
        <v>22</v>
      </c>
      <c r="I585" s="14">
        <v>44000</v>
      </c>
      <c r="J585" s="14">
        <v>1509591600</v>
      </c>
    </row>
    <row r="586" spans="1:10" x14ac:dyDescent="0.35">
      <c r="A586" s="15"/>
      <c r="B586" s="15"/>
      <c r="C586" s="11"/>
      <c r="D586" s="12"/>
      <c r="E586" s="13"/>
      <c r="F586" s="13"/>
      <c r="G586" s="12"/>
      <c r="H586" s="12"/>
      <c r="I586" s="14"/>
      <c r="J586" s="14"/>
    </row>
    <row r="587" spans="1:10" x14ac:dyDescent="0.35">
      <c r="A587" s="15"/>
      <c r="B587" s="15"/>
      <c r="C587" s="11"/>
      <c r="D587" s="12"/>
      <c r="E587" s="13"/>
      <c r="F587" s="13"/>
      <c r="G587" s="12"/>
      <c r="H587" s="12"/>
      <c r="I587" s="14"/>
      <c r="J587" s="14"/>
    </row>
    <row r="588" spans="1:10" x14ac:dyDescent="0.35">
      <c r="A588" s="15"/>
      <c r="B588" s="15"/>
      <c r="C588" s="11"/>
      <c r="D588" s="12"/>
      <c r="E588" s="13"/>
      <c r="F588" s="13"/>
      <c r="G588" s="12"/>
      <c r="H588" s="12"/>
      <c r="I588" s="14"/>
      <c r="J588" s="14"/>
    </row>
    <row r="589" spans="1:10" x14ac:dyDescent="0.35">
      <c r="A589" s="15"/>
      <c r="B589" s="15"/>
      <c r="C589" s="11"/>
      <c r="D589" s="12"/>
      <c r="E589" s="13"/>
      <c r="F589" s="13"/>
      <c r="G589" s="12"/>
      <c r="H589" s="12"/>
      <c r="I589" s="14"/>
      <c r="J589" s="14"/>
    </row>
    <row r="590" spans="1:10" x14ac:dyDescent="0.35">
      <c r="A590" s="15"/>
      <c r="B590" s="15"/>
      <c r="C590" s="11"/>
      <c r="D590" s="12"/>
      <c r="E590" s="13"/>
      <c r="F590" s="13"/>
      <c r="G590" s="12"/>
      <c r="H590" s="12"/>
      <c r="I590" s="14"/>
      <c r="J590" s="14"/>
    </row>
    <row r="591" spans="1:10" x14ac:dyDescent="0.35">
      <c r="A591" s="15"/>
      <c r="B591" s="15"/>
      <c r="C591" s="11"/>
      <c r="D591" s="12"/>
      <c r="E591" s="13"/>
      <c r="F591" s="13"/>
      <c r="G591" s="12"/>
      <c r="H591" s="12"/>
      <c r="I591" s="14"/>
      <c r="J591" s="14"/>
    </row>
    <row r="592" spans="1:10" x14ac:dyDescent="0.35">
      <c r="A592" s="15"/>
      <c r="B592" s="15"/>
      <c r="C592" s="11"/>
      <c r="D592" s="12"/>
      <c r="E592" s="13"/>
      <c r="F592" s="13"/>
      <c r="G592" s="12"/>
      <c r="H592" s="12"/>
      <c r="I592" s="14"/>
      <c r="J592" s="14"/>
    </row>
    <row r="593" spans="1:10" x14ac:dyDescent="0.35">
      <c r="A593" s="15"/>
      <c r="B593" s="15"/>
      <c r="C593" s="11"/>
      <c r="D593" s="12"/>
      <c r="E593" s="13"/>
      <c r="F593" s="13"/>
      <c r="G593" s="12"/>
      <c r="H593" s="12"/>
      <c r="I593" s="14"/>
      <c r="J593" s="14"/>
    </row>
    <row r="594" spans="1:10" x14ac:dyDescent="0.35">
      <c r="A594" s="15"/>
      <c r="B594" s="15"/>
      <c r="C594" s="11"/>
      <c r="D594" s="12"/>
      <c r="E594" s="13"/>
      <c r="F594" s="13"/>
      <c r="G594" s="12"/>
      <c r="H594" s="12"/>
      <c r="I594" s="14"/>
      <c r="J594" s="14"/>
    </row>
    <row r="595" spans="1:10" x14ac:dyDescent="0.35">
      <c r="A595" s="15"/>
      <c r="B595" s="15"/>
      <c r="C595" s="11"/>
      <c r="D595" s="12"/>
      <c r="E595" s="13"/>
      <c r="F595" s="13"/>
      <c r="G595" s="12"/>
      <c r="H595" s="12"/>
      <c r="I595" s="14"/>
      <c r="J595" s="14"/>
    </row>
    <row r="596" spans="1:10" x14ac:dyDescent="0.35">
      <c r="A596" s="15"/>
      <c r="B596" s="15"/>
      <c r="C596" s="11"/>
      <c r="D596" s="12"/>
      <c r="E596" s="13"/>
      <c r="F596" s="13"/>
      <c r="G596" s="12"/>
      <c r="H596" s="12"/>
      <c r="I596" s="14"/>
      <c r="J596" s="14"/>
    </row>
    <row r="597" spans="1:10" x14ac:dyDescent="0.35">
      <c r="A597" s="15"/>
      <c r="B597" s="15"/>
      <c r="C597" s="11"/>
      <c r="D597" s="12"/>
      <c r="E597" s="13"/>
      <c r="F597" s="13"/>
      <c r="G597" s="12"/>
      <c r="H597" s="12"/>
      <c r="I597" s="14"/>
      <c r="J597" s="14"/>
    </row>
    <row r="598" spans="1:10" x14ac:dyDescent="0.35">
      <c r="A598" s="15"/>
      <c r="B598" s="15"/>
      <c r="C598" s="11"/>
      <c r="D598" s="12"/>
      <c r="E598" s="13"/>
      <c r="F598" s="13"/>
      <c r="G598" s="12"/>
      <c r="H598" s="12"/>
      <c r="I598" s="14"/>
      <c r="J598" s="14"/>
    </row>
    <row r="599" spans="1:10" x14ac:dyDescent="0.35">
      <c r="A599" s="15"/>
      <c r="B599" s="15"/>
      <c r="C599" s="11"/>
      <c r="D599" s="12"/>
      <c r="E599" s="13"/>
      <c r="F599" s="13"/>
      <c r="G599" s="12"/>
      <c r="H599" s="12"/>
      <c r="I599" s="14"/>
      <c r="J599" s="14"/>
    </row>
    <row r="600" spans="1:10" x14ac:dyDescent="0.35">
      <c r="A600" s="15"/>
      <c r="B600" s="15"/>
      <c r="C600" s="11"/>
      <c r="D600" s="12"/>
      <c r="E600" s="13"/>
      <c r="F600" s="13"/>
      <c r="G600" s="12"/>
      <c r="H600" s="12"/>
      <c r="I600" s="14"/>
      <c r="J600" s="14"/>
    </row>
    <row r="601" spans="1:10" x14ac:dyDescent="0.35">
      <c r="A601" s="15"/>
      <c r="B601" s="15"/>
      <c r="C601" s="11"/>
      <c r="D601" s="12"/>
      <c r="E601" s="13"/>
      <c r="F601" s="13"/>
      <c r="G601" s="12"/>
      <c r="H601" s="12"/>
      <c r="I601" s="14"/>
      <c r="J601" s="14"/>
    </row>
    <row r="602" spans="1:10" x14ac:dyDescent="0.35">
      <c r="A602" s="15"/>
      <c r="B602" s="15"/>
      <c r="C602" s="11"/>
      <c r="D602" s="12"/>
      <c r="E602" s="13"/>
      <c r="F602" s="13"/>
      <c r="G602" s="12"/>
      <c r="H602" s="12"/>
      <c r="I602" s="14"/>
      <c r="J602" s="14"/>
    </row>
    <row r="603" spans="1:10" x14ac:dyDescent="0.35">
      <c r="A603" s="15"/>
      <c r="B603" s="15"/>
      <c r="C603" s="11"/>
      <c r="D603" s="12"/>
      <c r="E603" s="13"/>
      <c r="F603" s="13"/>
      <c r="G603" s="12"/>
      <c r="H603" s="12"/>
      <c r="I603" s="14"/>
      <c r="J603" s="14"/>
    </row>
    <row r="604" spans="1:10" x14ac:dyDescent="0.35">
      <c r="A604" s="15"/>
      <c r="B604" s="15"/>
      <c r="C604" s="11"/>
      <c r="D604" s="12"/>
      <c r="E604" s="13"/>
      <c r="F604" s="13"/>
      <c r="G604" s="12"/>
      <c r="H604" s="12"/>
      <c r="I604" s="14"/>
      <c r="J604" s="14"/>
    </row>
    <row r="605" spans="1:10" x14ac:dyDescent="0.35">
      <c r="A605" s="15"/>
      <c r="B605" s="15"/>
      <c r="C605" s="11"/>
      <c r="D605" s="12"/>
      <c r="E605" s="13"/>
      <c r="F605" s="13"/>
      <c r="G605" s="12"/>
      <c r="H605" s="12"/>
      <c r="I605" s="14"/>
      <c r="J605" s="14"/>
    </row>
    <row r="606" spans="1:10" x14ac:dyDescent="0.35">
      <c r="A606" s="15"/>
      <c r="B606" s="15"/>
      <c r="C606" s="11"/>
      <c r="D606" s="12"/>
      <c r="E606" s="13"/>
      <c r="F606" s="13"/>
      <c r="G606" s="12"/>
      <c r="H606" s="12"/>
      <c r="I606" s="14"/>
      <c r="J606" s="14"/>
    </row>
    <row r="607" spans="1:10" x14ac:dyDescent="0.35">
      <c r="A607" s="15"/>
      <c r="B607" s="15"/>
      <c r="C607" s="11"/>
      <c r="D607" s="12"/>
      <c r="E607" s="13"/>
      <c r="F607" s="13"/>
      <c r="G607" s="12"/>
      <c r="H607" s="12"/>
      <c r="I607" s="14"/>
      <c r="J607" s="14"/>
    </row>
    <row r="608" spans="1:10" x14ac:dyDescent="0.35">
      <c r="A608" s="15"/>
      <c r="B608" s="15"/>
      <c r="C608" s="11"/>
      <c r="D608" s="12"/>
      <c r="E608" s="13"/>
      <c r="F608" s="13"/>
      <c r="G608" s="12"/>
      <c r="H608" s="12"/>
      <c r="I608" s="14"/>
      <c r="J608" s="14"/>
    </row>
    <row r="609" spans="1:10" x14ac:dyDescent="0.35">
      <c r="A609" s="15"/>
      <c r="B609" s="15"/>
      <c r="C609" s="11"/>
      <c r="D609" s="12"/>
      <c r="E609" s="13"/>
      <c r="F609" s="13"/>
      <c r="G609" s="12"/>
      <c r="H609" s="12"/>
      <c r="I609" s="14"/>
      <c r="J609" s="14"/>
    </row>
    <row r="610" spans="1:10" x14ac:dyDescent="0.35">
      <c r="A610" s="15"/>
      <c r="B610" s="15"/>
      <c r="C610" s="11"/>
      <c r="D610" s="12"/>
      <c r="E610" s="13"/>
      <c r="F610" s="13"/>
      <c r="G610" s="12"/>
      <c r="H610" s="12"/>
      <c r="I610" s="14"/>
      <c r="J610" s="14"/>
    </row>
    <row r="611" spans="1:10" x14ac:dyDescent="0.35">
      <c r="A611" s="15"/>
      <c r="B611" s="15"/>
      <c r="C611" s="11"/>
      <c r="D611" s="12"/>
      <c r="E611" s="13"/>
      <c r="F611" s="13"/>
      <c r="G611" s="12"/>
      <c r="H611" s="12"/>
      <c r="I611" s="14"/>
      <c r="J611" s="14"/>
    </row>
    <row r="612" spans="1:10" x14ac:dyDescent="0.35">
      <c r="A612" s="15"/>
      <c r="B612" s="15"/>
      <c r="C612" s="11"/>
      <c r="D612" s="12"/>
      <c r="E612" s="13"/>
      <c r="F612" s="13"/>
      <c r="G612" s="12"/>
      <c r="H612" s="12"/>
      <c r="I612" s="14"/>
      <c r="J612" s="14"/>
    </row>
    <row r="613" spans="1:10" x14ac:dyDescent="0.35">
      <c r="A613" s="15"/>
      <c r="B613" s="15"/>
      <c r="C613" s="11"/>
      <c r="D613" s="12"/>
      <c r="E613" s="13"/>
      <c r="F613" s="13"/>
      <c r="G613" s="12"/>
      <c r="H613" s="12"/>
      <c r="I613" s="14"/>
      <c r="J613" s="14"/>
    </row>
    <row r="614" spans="1:10" x14ac:dyDescent="0.35">
      <c r="A614" s="15"/>
      <c r="B614" s="15"/>
      <c r="C614" s="11"/>
      <c r="D614" s="12"/>
      <c r="E614" s="13"/>
      <c r="F614" s="13"/>
      <c r="G614" s="12"/>
      <c r="H614" s="12"/>
      <c r="I614" s="14"/>
      <c r="J614" s="14"/>
    </row>
    <row r="615" spans="1:10" x14ac:dyDescent="0.35">
      <c r="A615" s="15"/>
      <c r="B615" s="15"/>
      <c r="C615" s="11"/>
      <c r="D615" s="12"/>
      <c r="E615" s="13"/>
      <c r="F615" s="13"/>
      <c r="G615" s="12"/>
      <c r="H615" s="12"/>
      <c r="I615" s="14"/>
      <c r="J615" s="14"/>
    </row>
    <row r="616" spans="1:10" x14ac:dyDescent="0.35">
      <c r="A616" s="15"/>
      <c r="B616" s="15"/>
      <c r="C616" s="11"/>
      <c r="D616" s="12"/>
      <c r="E616" s="13"/>
      <c r="F616" s="13"/>
      <c r="G616" s="12"/>
      <c r="H616" s="12"/>
      <c r="I616" s="14"/>
      <c r="J616" s="14"/>
    </row>
    <row r="617" spans="1:10" x14ac:dyDescent="0.35">
      <c r="A617" s="15"/>
      <c r="B617" s="15"/>
      <c r="C617" s="11"/>
      <c r="D617" s="12"/>
      <c r="E617" s="13"/>
      <c r="F617" s="13"/>
      <c r="G617" s="12"/>
      <c r="H617" s="12"/>
      <c r="I617" s="14"/>
      <c r="J617" s="14"/>
    </row>
    <row r="618" spans="1:10" x14ac:dyDescent="0.35">
      <c r="A618" s="15"/>
      <c r="B618" s="15"/>
      <c r="C618" s="11"/>
      <c r="D618" s="12"/>
      <c r="E618" s="13"/>
      <c r="F618" s="13"/>
      <c r="G618" s="12"/>
      <c r="H618" s="12"/>
      <c r="I618" s="14"/>
      <c r="J618" s="14"/>
    </row>
    <row r="619" spans="1:10" x14ac:dyDescent="0.35">
      <c r="A619" s="15"/>
      <c r="B619" s="15"/>
      <c r="C619" s="11"/>
      <c r="D619" s="12"/>
      <c r="E619" s="13"/>
      <c r="F619" s="13"/>
      <c r="G619" s="12"/>
      <c r="H619" s="12"/>
      <c r="I619" s="14"/>
      <c r="J619" s="14"/>
    </row>
    <row r="620" spans="1:10" x14ac:dyDescent="0.35">
      <c r="A620" s="15"/>
      <c r="B620" s="15"/>
      <c r="C620" s="11"/>
      <c r="D620" s="12"/>
      <c r="E620" s="13"/>
      <c r="F620" s="13"/>
      <c r="G620" s="12"/>
      <c r="H620" s="12"/>
      <c r="I620" s="14"/>
      <c r="J620" s="14"/>
    </row>
    <row r="621" spans="1:10" x14ac:dyDescent="0.35">
      <c r="A621" s="15"/>
      <c r="B621" s="15"/>
      <c r="C621" s="11"/>
      <c r="D621" s="12"/>
      <c r="E621" s="13"/>
      <c r="F621" s="13"/>
      <c r="G621" s="12"/>
      <c r="H621" s="12"/>
      <c r="I621" s="14"/>
      <c r="J621" s="14"/>
    </row>
    <row r="622" spans="1:10" x14ac:dyDescent="0.35">
      <c r="A622" s="15"/>
      <c r="B622" s="15"/>
      <c r="C622" s="11"/>
      <c r="D622" s="12"/>
      <c r="E622" s="13"/>
      <c r="F622" s="13"/>
      <c r="G622" s="12"/>
      <c r="H622" s="12"/>
      <c r="I622" s="14"/>
      <c r="J622" s="14"/>
    </row>
    <row r="623" spans="1:10" x14ac:dyDescent="0.35">
      <c r="A623" s="15"/>
      <c r="B623" s="15"/>
      <c r="C623" s="11"/>
      <c r="D623" s="12"/>
      <c r="E623" s="13"/>
      <c r="F623" s="13"/>
      <c r="G623" s="12"/>
      <c r="H623" s="12"/>
      <c r="I623" s="14"/>
      <c r="J623" s="14"/>
    </row>
    <row r="624" spans="1:10" x14ac:dyDescent="0.35">
      <c r="A624" s="15"/>
      <c r="B624" s="15"/>
      <c r="C624" s="11"/>
      <c r="D624" s="12"/>
      <c r="E624" s="13"/>
      <c r="F624" s="13"/>
      <c r="G624" s="12"/>
      <c r="H624" s="12"/>
      <c r="I624" s="14"/>
      <c r="J624" s="14"/>
    </row>
    <row r="625" spans="1:10" x14ac:dyDescent="0.35">
      <c r="A625" s="15"/>
      <c r="B625" s="15"/>
      <c r="C625" s="11"/>
      <c r="D625" s="12"/>
      <c r="E625" s="13"/>
      <c r="F625" s="13"/>
      <c r="G625" s="12"/>
      <c r="H625" s="12"/>
      <c r="I625" s="14"/>
      <c r="J625" s="14"/>
    </row>
    <row r="626" spans="1:10" x14ac:dyDescent="0.35">
      <c r="A626" s="15"/>
      <c r="B626" s="15"/>
      <c r="C626" s="11"/>
      <c r="D626" s="12"/>
      <c r="E626" s="13"/>
      <c r="F626" s="13"/>
      <c r="G626" s="12"/>
      <c r="H626" s="12"/>
      <c r="I626" s="14"/>
      <c r="J626" s="14"/>
    </row>
    <row r="627" spans="1:10" x14ac:dyDescent="0.35">
      <c r="A627" s="15"/>
      <c r="B627" s="15"/>
      <c r="C627" s="11"/>
      <c r="D627" s="12"/>
      <c r="E627" s="13"/>
      <c r="F627" s="13"/>
      <c r="G627" s="12"/>
      <c r="H627" s="12"/>
      <c r="I627" s="14"/>
      <c r="J627" s="14"/>
    </row>
    <row r="628" spans="1:10" x14ac:dyDescent="0.35">
      <c r="A628" s="15"/>
      <c r="B628" s="15"/>
      <c r="C628" s="11"/>
      <c r="D628" s="12"/>
      <c r="E628" s="13"/>
      <c r="F628" s="13"/>
      <c r="G628" s="12"/>
      <c r="H628" s="12"/>
      <c r="I628" s="14"/>
      <c r="J628" s="14"/>
    </row>
    <row r="629" spans="1:10" x14ac:dyDescent="0.35">
      <c r="A629" s="15"/>
      <c r="B629" s="15"/>
      <c r="C629" s="11"/>
      <c r="D629" s="12"/>
      <c r="E629" s="13"/>
      <c r="F629" s="13"/>
      <c r="G629" s="12"/>
      <c r="H629" s="12"/>
      <c r="I629" s="14"/>
      <c r="J629" s="14"/>
    </row>
    <row r="630" spans="1:10" x14ac:dyDescent="0.35">
      <c r="A630" s="15"/>
      <c r="B630" s="15"/>
      <c r="C630" s="11"/>
      <c r="D630" s="12"/>
      <c r="E630" s="13"/>
      <c r="F630" s="13"/>
      <c r="G630" s="12"/>
      <c r="H630" s="12"/>
      <c r="I630" s="14"/>
      <c r="J630" s="14"/>
    </row>
    <row r="631" spans="1:10" x14ac:dyDescent="0.35">
      <c r="A631" s="15"/>
      <c r="B631" s="15"/>
      <c r="C631" s="11"/>
      <c r="D631" s="12"/>
      <c r="E631" s="13"/>
      <c r="F631" s="13"/>
      <c r="G631" s="12"/>
      <c r="H631" s="12"/>
      <c r="I631" s="14"/>
      <c r="J631" s="14"/>
    </row>
    <row r="632" spans="1:10" x14ac:dyDescent="0.35">
      <c r="A632" s="15"/>
      <c r="B632" s="15"/>
      <c r="C632" s="11"/>
      <c r="D632" s="12"/>
      <c r="E632" s="13"/>
      <c r="F632" s="13"/>
      <c r="G632" s="12"/>
      <c r="H632" s="12"/>
      <c r="I632" s="14"/>
      <c r="J632" s="14"/>
    </row>
    <row r="633" spans="1:10" x14ac:dyDescent="0.35">
      <c r="A633" s="15"/>
      <c r="B633" s="15"/>
      <c r="C633" s="11"/>
      <c r="D633" s="12"/>
      <c r="E633" s="13"/>
      <c r="F633" s="13"/>
      <c r="G633" s="12"/>
      <c r="H633" s="12"/>
      <c r="I633" s="14"/>
      <c r="J633" s="14"/>
    </row>
    <row r="634" spans="1:10" x14ac:dyDescent="0.35">
      <c r="A634" s="15"/>
      <c r="B634" s="15"/>
      <c r="C634" s="11"/>
      <c r="D634" s="12"/>
      <c r="E634" s="13"/>
      <c r="F634" s="13"/>
      <c r="G634" s="12"/>
      <c r="H634" s="12"/>
      <c r="I634" s="14"/>
      <c r="J634" s="14"/>
    </row>
    <row r="635" spans="1:10" x14ac:dyDescent="0.35">
      <c r="A635" s="15"/>
      <c r="B635" s="15"/>
      <c r="C635" s="11"/>
      <c r="D635" s="12"/>
      <c r="E635" s="13"/>
      <c r="F635" s="13"/>
      <c r="G635" s="12"/>
      <c r="H635" s="12"/>
      <c r="I635" s="14"/>
      <c r="J635" s="14"/>
    </row>
    <row r="636" spans="1:10" x14ac:dyDescent="0.35">
      <c r="A636" s="15"/>
      <c r="B636" s="15"/>
      <c r="C636" s="11"/>
      <c r="D636" s="12"/>
      <c r="E636" s="13"/>
      <c r="F636" s="13"/>
      <c r="G636" s="12"/>
      <c r="H636" s="12"/>
      <c r="I636" s="14"/>
      <c r="J636" s="14"/>
    </row>
    <row r="637" spans="1:10" x14ac:dyDescent="0.35">
      <c r="A637" s="15"/>
      <c r="B637" s="15"/>
      <c r="C637" s="11"/>
      <c r="D637" s="12"/>
      <c r="E637" s="13"/>
      <c r="F637" s="13"/>
      <c r="G637" s="12"/>
      <c r="H637" s="12"/>
      <c r="I637" s="14"/>
      <c r="J637" s="14"/>
    </row>
    <row r="638" spans="1:10" x14ac:dyDescent="0.35">
      <c r="A638" s="15"/>
      <c r="B638" s="15"/>
      <c r="C638" s="11"/>
      <c r="D638" s="12"/>
      <c r="E638" s="13"/>
      <c r="F638" s="13"/>
      <c r="G638" s="12"/>
      <c r="H638" s="12"/>
      <c r="I638" s="14"/>
      <c r="J638" s="14"/>
    </row>
    <row r="639" spans="1:10" x14ac:dyDescent="0.35">
      <c r="A639" s="15"/>
      <c r="B639" s="15"/>
      <c r="C639" s="11"/>
      <c r="D639" s="12"/>
      <c r="E639" s="13"/>
      <c r="F639" s="13"/>
      <c r="G639" s="12"/>
      <c r="H639" s="12"/>
      <c r="I639" s="14"/>
      <c r="J639" s="14"/>
    </row>
    <row r="640" spans="1:10" x14ac:dyDescent="0.35">
      <c r="A640" s="15"/>
      <c r="B640" s="15"/>
      <c r="C640" s="11"/>
      <c r="D640" s="12"/>
      <c r="E640" s="13"/>
      <c r="F640" s="13"/>
      <c r="G640" s="12"/>
      <c r="H640" s="12"/>
      <c r="I640" s="14"/>
      <c r="J640" s="14"/>
    </row>
    <row r="641" spans="1:10" x14ac:dyDescent="0.35">
      <c r="A641" s="15"/>
      <c r="B641" s="15"/>
      <c r="C641" s="11"/>
      <c r="D641" s="12"/>
      <c r="E641" s="13"/>
      <c r="F641" s="13"/>
      <c r="G641" s="12"/>
      <c r="H641" s="12"/>
      <c r="I641" s="14"/>
      <c r="J641" s="14"/>
    </row>
    <row r="642" spans="1:10" x14ac:dyDescent="0.35">
      <c r="A642" s="15"/>
      <c r="B642" s="15"/>
      <c r="C642" s="11"/>
      <c r="D642" s="12"/>
      <c r="E642" s="13"/>
      <c r="F642" s="13"/>
      <c r="G642" s="12"/>
      <c r="H642" s="12"/>
      <c r="I642" s="14"/>
      <c r="J642" s="14"/>
    </row>
    <row r="643" spans="1:10" x14ac:dyDescent="0.35">
      <c r="A643" s="15"/>
      <c r="B643" s="15"/>
      <c r="C643" s="11"/>
      <c r="D643" s="12"/>
      <c r="E643" s="13"/>
      <c r="F643" s="13"/>
      <c r="G643" s="12"/>
      <c r="H643" s="12"/>
      <c r="I643" s="14"/>
      <c r="J643" s="14"/>
    </row>
    <row r="644" spans="1:10" x14ac:dyDescent="0.35">
      <c r="A644" s="15"/>
      <c r="B644" s="15"/>
      <c r="C644" s="11"/>
      <c r="D644" s="12"/>
      <c r="E644" s="13"/>
      <c r="F644" s="13"/>
      <c r="G644" s="12"/>
      <c r="H644" s="12"/>
      <c r="I644" s="14"/>
      <c r="J644" s="14"/>
    </row>
    <row r="645" spans="1:10" x14ac:dyDescent="0.35">
      <c r="A645" s="15"/>
      <c r="B645" s="15"/>
      <c r="C645" s="11"/>
      <c r="D645" s="12"/>
      <c r="E645" s="13"/>
      <c r="F645" s="13"/>
      <c r="G645" s="12"/>
      <c r="H645" s="12"/>
      <c r="I645" s="14"/>
      <c r="J645" s="14"/>
    </row>
    <row r="646" spans="1:10" x14ac:dyDescent="0.35">
      <c r="A646" s="15"/>
      <c r="B646" s="15"/>
      <c r="C646" s="11"/>
      <c r="D646" s="12"/>
      <c r="E646" s="13"/>
      <c r="F646" s="13"/>
      <c r="G646" s="12"/>
      <c r="H646" s="12"/>
      <c r="I646" s="14"/>
      <c r="J646" s="14"/>
    </row>
    <row r="647" spans="1:10" x14ac:dyDescent="0.35">
      <c r="A647" s="15"/>
      <c r="B647" s="15"/>
      <c r="C647" s="11"/>
      <c r="D647" s="12"/>
      <c r="E647" s="13"/>
      <c r="F647" s="13"/>
      <c r="G647" s="12"/>
      <c r="H647" s="12"/>
      <c r="I647" s="14"/>
      <c r="J647" s="14"/>
    </row>
    <row r="648" spans="1:10" x14ac:dyDescent="0.35">
      <c r="A648" s="15"/>
      <c r="B648" s="15"/>
      <c r="C648" s="11"/>
      <c r="D648" s="12"/>
      <c r="E648" s="13"/>
      <c r="F648" s="13"/>
      <c r="G648" s="12"/>
      <c r="H648" s="12"/>
      <c r="I648" s="14"/>
      <c r="J648" s="14"/>
    </row>
    <row r="649" spans="1:10" x14ac:dyDescent="0.35">
      <c r="A649" s="15"/>
      <c r="B649" s="15"/>
      <c r="C649" s="11"/>
      <c r="D649" s="12"/>
      <c r="E649" s="13"/>
      <c r="F649" s="13"/>
      <c r="G649" s="12"/>
      <c r="H649" s="12"/>
      <c r="I649" s="14"/>
      <c r="J649" s="14"/>
    </row>
    <row r="650" spans="1:10" x14ac:dyDescent="0.35">
      <c r="A650" s="15"/>
      <c r="B650" s="15"/>
      <c r="C650" s="11"/>
      <c r="D650" s="12"/>
      <c r="E650" s="13"/>
      <c r="F650" s="13"/>
      <c r="G650" s="12"/>
      <c r="H650" s="12"/>
      <c r="I650" s="14"/>
      <c r="J650" s="14"/>
    </row>
    <row r="651" spans="1:10" x14ac:dyDescent="0.35">
      <c r="A651" s="15"/>
      <c r="B651" s="15"/>
      <c r="C651" s="11"/>
      <c r="D651" s="12"/>
      <c r="E651" s="13"/>
      <c r="F651" s="13"/>
      <c r="G651" s="12"/>
      <c r="H651" s="12"/>
      <c r="I651" s="14"/>
      <c r="J651" s="14"/>
    </row>
    <row r="652" spans="1:10" x14ac:dyDescent="0.35">
      <c r="A652" s="15"/>
      <c r="B652" s="15"/>
      <c r="C652" s="11"/>
      <c r="D652" s="12"/>
      <c r="E652" s="13"/>
      <c r="F652" s="13"/>
      <c r="G652" s="12"/>
      <c r="H652" s="12"/>
      <c r="I652" s="14"/>
      <c r="J652" s="14"/>
    </row>
    <row r="653" spans="1:10" x14ac:dyDescent="0.35">
      <c r="A653" s="15"/>
      <c r="B653" s="15"/>
      <c r="C653" s="11"/>
      <c r="D653" s="12"/>
      <c r="E653" s="13"/>
      <c r="F653" s="13"/>
      <c r="G653" s="12"/>
      <c r="H653" s="12"/>
      <c r="I653" s="14"/>
      <c r="J653" s="14"/>
    </row>
    <row r="654" spans="1:10" x14ac:dyDescent="0.35">
      <c r="A654" s="15"/>
      <c r="B654" s="15"/>
      <c r="C654" s="11"/>
      <c r="D654" s="12"/>
      <c r="E654" s="13"/>
      <c r="F654" s="13"/>
      <c r="G654" s="12"/>
      <c r="H654" s="12"/>
      <c r="I654" s="14"/>
      <c r="J654" s="14"/>
    </row>
    <row r="655" spans="1:10" x14ac:dyDescent="0.35">
      <c r="A655" s="15"/>
      <c r="B655" s="15"/>
      <c r="C655" s="11"/>
      <c r="D655" s="12"/>
      <c r="E655" s="13"/>
      <c r="F655" s="13"/>
      <c r="G655" s="12"/>
      <c r="H655" s="12"/>
      <c r="I655" s="14"/>
      <c r="J655" s="14"/>
    </row>
    <row r="656" spans="1:10" x14ac:dyDescent="0.35">
      <c r="A656" s="15"/>
      <c r="B656" s="15"/>
      <c r="C656" s="11"/>
      <c r="D656" s="12"/>
      <c r="E656" s="13"/>
      <c r="F656" s="13"/>
      <c r="G656" s="12"/>
      <c r="H656" s="12"/>
      <c r="I656" s="14"/>
      <c r="J656" s="14"/>
    </row>
    <row r="657" spans="1:10" x14ac:dyDescent="0.35">
      <c r="A657" s="15"/>
      <c r="B657" s="15"/>
      <c r="C657" s="11"/>
      <c r="D657" s="12"/>
      <c r="E657" s="13"/>
      <c r="F657" s="13"/>
      <c r="G657" s="12"/>
      <c r="H657" s="12"/>
      <c r="I657" s="14"/>
      <c r="J657" s="14"/>
    </row>
    <row r="658" spans="1:10" x14ac:dyDescent="0.35">
      <c r="A658" s="15"/>
      <c r="B658" s="15"/>
      <c r="C658" s="11"/>
      <c r="D658" s="12"/>
      <c r="E658" s="13"/>
      <c r="F658" s="13"/>
      <c r="G658" s="12"/>
      <c r="H658" s="12"/>
      <c r="I658" s="14"/>
      <c r="J658" s="14"/>
    </row>
    <row r="659" spans="1:10" x14ac:dyDescent="0.35">
      <c r="A659" s="15"/>
      <c r="B659" s="15"/>
      <c r="C659" s="11"/>
      <c r="D659" s="12"/>
      <c r="E659" s="13"/>
      <c r="F659" s="13"/>
      <c r="G659" s="12"/>
      <c r="H659" s="12"/>
      <c r="I659" s="14"/>
      <c r="J659" s="14"/>
    </row>
    <row r="660" spans="1:10" x14ac:dyDescent="0.35">
      <c r="A660" s="15"/>
      <c r="B660" s="15"/>
      <c r="C660" s="11"/>
      <c r="D660" s="12"/>
      <c r="E660" s="13"/>
      <c r="F660" s="13"/>
      <c r="G660" s="12"/>
      <c r="H660" s="12"/>
      <c r="I660" s="14"/>
      <c r="J660" s="14"/>
    </row>
    <row r="661" spans="1:10" x14ac:dyDescent="0.35">
      <c r="A661" s="15"/>
      <c r="B661" s="15"/>
      <c r="C661" s="11"/>
      <c r="D661" s="12"/>
      <c r="E661" s="13"/>
      <c r="F661" s="13"/>
      <c r="G661" s="12"/>
      <c r="H661" s="12"/>
      <c r="I661" s="14"/>
      <c r="J661" s="14"/>
    </row>
    <row r="662" spans="1:10" x14ac:dyDescent="0.35">
      <c r="A662" s="15"/>
      <c r="B662" s="15"/>
      <c r="C662" s="11"/>
      <c r="D662" s="12"/>
      <c r="E662" s="13"/>
      <c r="F662" s="13"/>
      <c r="G662" s="12"/>
      <c r="H662" s="12"/>
      <c r="I662" s="14"/>
      <c r="J662" s="14"/>
    </row>
    <row r="663" spans="1:10" x14ac:dyDescent="0.35">
      <c r="A663" s="15"/>
      <c r="B663" s="15"/>
      <c r="C663" s="11"/>
      <c r="D663" s="12"/>
      <c r="E663" s="13"/>
      <c r="F663" s="13"/>
      <c r="G663" s="12"/>
      <c r="H663" s="12"/>
      <c r="I663" s="14"/>
      <c r="J663" s="14"/>
    </row>
    <row r="664" spans="1:10" x14ac:dyDescent="0.35">
      <c r="A664" s="15"/>
      <c r="B664" s="15"/>
      <c r="C664" s="11"/>
      <c r="D664" s="12"/>
      <c r="E664" s="13"/>
      <c r="F664" s="13"/>
      <c r="G664" s="12"/>
      <c r="H664" s="12"/>
      <c r="I664" s="14"/>
      <c r="J664" s="14"/>
    </row>
    <row r="665" spans="1:10" x14ac:dyDescent="0.35">
      <c r="A665" s="15"/>
      <c r="B665" s="15"/>
      <c r="C665" s="11"/>
      <c r="D665" s="12"/>
      <c r="E665" s="13"/>
      <c r="F665" s="13"/>
      <c r="G665" s="12"/>
      <c r="H665" s="12"/>
      <c r="I665" s="14"/>
      <c r="J665" s="14"/>
    </row>
    <row r="666" spans="1:10" x14ac:dyDescent="0.35">
      <c r="A666" s="15"/>
      <c r="B666" s="15"/>
      <c r="C666" s="11"/>
      <c r="D666" s="12"/>
      <c r="E666" s="13"/>
      <c r="F666" s="13"/>
      <c r="G666" s="12"/>
      <c r="H666" s="12"/>
      <c r="I666" s="14"/>
      <c r="J666" s="14"/>
    </row>
    <row r="667" spans="1:10" x14ac:dyDescent="0.35">
      <c r="A667" s="15"/>
      <c r="B667" s="15"/>
      <c r="C667" s="11"/>
      <c r="D667" s="12"/>
      <c r="E667" s="13"/>
      <c r="F667" s="13"/>
      <c r="G667" s="12"/>
      <c r="H667" s="12"/>
      <c r="I667" s="14"/>
      <c r="J667" s="14"/>
    </row>
    <row r="668" spans="1:10" x14ac:dyDescent="0.35">
      <c r="A668" s="15"/>
      <c r="B668" s="15"/>
      <c r="C668" s="11"/>
      <c r="D668" s="12"/>
      <c r="E668" s="13"/>
      <c r="F668" s="13"/>
      <c r="G668" s="12"/>
      <c r="H668" s="12"/>
      <c r="I668" s="14"/>
      <c r="J668" s="14"/>
    </row>
    <row r="669" spans="1:10" x14ac:dyDescent="0.35">
      <c r="A669" s="15"/>
      <c r="B669" s="15"/>
      <c r="C669" s="11"/>
      <c r="D669" s="12"/>
      <c r="E669" s="13"/>
      <c r="F669" s="13"/>
      <c r="G669" s="12"/>
      <c r="H669" s="12"/>
      <c r="I669" s="14"/>
      <c r="J669" s="14"/>
    </row>
    <row r="670" spans="1:10" x14ac:dyDescent="0.35">
      <c r="A670" s="15"/>
      <c r="B670" s="15"/>
      <c r="C670" s="11"/>
      <c r="D670" s="12"/>
      <c r="E670" s="13"/>
      <c r="F670" s="13"/>
      <c r="G670" s="12"/>
      <c r="H670" s="12"/>
      <c r="I670" s="14"/>
      <c r="J670" s="14"/>
    </row>
    <row r="671" spans="1:10" x14ac:dyDescent="0.35">
      <c r="A671" s="15"/>
      <c r="B671" s="15"/>
      <c r="C671" s="11"/>
      <c r="D671" s="12"/>
      <c r="E671" s="13"/>
      <c r="F671" s="13"/>
      <c r="G671" s="12"/>
      <c r="H671" s="12"/>
      <c r="I671" s="14"/>
      <c r="J671" s="14"/>
    </row>
    <row r="672" spans="1:10" x14ac:dyDescent="0.35">
      <c r="A672" s="15"/>
      <c r="B672" s="15"/>
      <c r="C672" s="11"/>
      <c r="D672" s="12"/>
      <c r="E672" s="13"/>
      <c r="F672" s="13"/>
      <c r="G672" s="12"/>
      <c r="H672" s="12"/>
      <c r="I672" s="14"/>
      <c r="J672" s="14"/>
    </row>
    <row r="673" spans="1:10" x14ac:dyDescent="0.35">
      <c r="A673" s="15"/>
      <c r="B673" s="15"/>
      <c r="C673" s="11"/>
      <c r="D673" s="12"/>
      <c r="E673" s="13"/>
      <c r="F673" s="13"/>
      <c r="G673" s="12"/>
      <c r="H673" s="12"/>
      <c r="I673" s="14"/>
      <c r="J673" s="14"/>
    </row>
    <row r="674" spans="1:10" x14ac:dyDescent="0.35">
      <c r="A674" s="15"/>
      <c r="B674" s="15"/>
      <c r="C674" s="11"/>
      <c r="D674" s="12"/>
      <c r="E674" s="13"/>
      <c r="F674" s="13"/>
      <c r="G674" s="12"/>
      <c r="H674" s="12"/>
      <c r="I674" s="14"/>
      <c r="J674" s="14"/>
    </row>
    <row r="675" spans="1:10" x14ac:dyDescent="0.35">
      <c r="A675" s="15"/>
      <c r="B675" s="15"/>
      <c r="C675" s="11"/>
      <c r="D675" s="12"/>
      <c r="E675" s="13"/>
      <c r="F675" s="13"/>
      <c r="G675" s="12"/>
      <c r="H675" s="12"/>
      <c r="I675" s="14"/>
      <c r="J675" s="14"/>
    </row>
    <row r="676" spans="1:10" x14ac:dyDescent="0.35">
      <c r="A676" s="15"/>
      <c r="B676" s="15"/>
      <c r="C676" s="11"/>
      <c r="D676" s="12"/>
      <c r="E676" s="13"/>
      <c r="F676" s="13"/>
      <c r="G676" s="12"/>
      <c r="H676" s="12"/>
      <c r="I676" s="14"/>
      <c r="J676" s="14"/>
    </row>
    <row r="677" spans="1:10" x14ac:dyDescent="0.35">
      <c r="A677" s="15"/>
      <c r="B677" s="15"/>
      <c r="C677" s="11"/>
      <c r="D677" s="12"/>
      <c r="E677" s="13"/>
      <c r="F677" s="13"/>
      <c r="G677" s="12"/>
      <c r="H677" s="12"/>
      <c r="I677" s="14"/>
      <c r="J677" s="14"/>
    </row>
    <row r="678" spans="1:10" x14ac:dyDescent="0.35">
      <c r="A678" s="15"/>
      <c r="B678" s="15"/>
      <c r="C678" s="11"/>
      <c r="D678" s="12"/>
      <c r="E678" s="13"/>
      <c r="F678" s="13"/>
      <c r="G678" s="12"/>
      <c r="H678" s="12"/>
      <c r="I678" s="14"/>
      <c r="J678" s="14"/>
    </row>
    <row r="679" spans="1:10" x14ac:dyDescent="0.35">
      <c r="A679" s="15"/>
      <c r="B679" s="15"/>
      <c r="C679" s="11"/>
      <c r="D679" s="12"/>
      <c r="E679" s="13"/>
      <c r="F679" s="13"/>
      <c r="G679" s="12"/>
      <c r="H679" s="12"/>
      <c r="I679" s="14"/>
      <c r="J679" s="14"/>
    </row>
    <row r="680" spans="1:10" x14ac:dyDescent="0.35">
      <c r="A680" s="15"/>
      <c r="B680" s="15"/>
      <c r="C680" s="11"/>
      <c r="D680" s="12"/>
      <c r="E680" s="13"/>
      <c r="F680" s="13"/>
      <c r="G680" s="12"/>
      <c r="H680" s="12"/>
      <c r="I680" s="14"/>
      <c r="J680" s="14"/>
    </row>
    <row r="681" spans="1:10" x14ac:dyDescent="0.35">
      <c r="A681" s="15"/>
      <c r="B681" s="15"/>
      <c r="C681" s="11"/>
      <c r="D681" s="12"/>
      <c r="E681" s="13"/>
      <c r="F681" s="13"/>
      <c r="G681" s="12"/>
      <c r="H681" s="12"/>
      <c r="I681" s="14"/>
      <c r="J681" s="14"/>
    </row>
    <row r="682" spans="1:10" x14ac:dyDescent="0.35">
      <c r="A682" s="15"/>
      <c r="B682" s="15"/>
      <c r="C682" s="11"/>
      <c r="D682" s="12"/>
      <c r="E682" s="13"/>
      <c r="F682" s="13"/>
      <c r="G682" s="12"/>
      <c r="H682" s="12"/>
      <c r="I682" s="14"/>
      <c r="J682" s="14"/>
    </row>
    <row r="683" spans="1:10" x14ac:dyDescent="0.35">
      <c r="A683" s="15"/>
      <c r="B683" s="15"/>
      <c r="C683" s="11"/>
      <c r="D683" s="12"/>
      <c r="E683" s="13"/>
      <c r="F683" s="13"/>
      <c r="G683" s="12"/>
      <c r="H683" s="12"/>
      <c r="I683" s="14"/>
      <c r="J683" s="14"/>
    </row>
    <row r="684" spans="1:10" x14ac:dyDescent="0.35">
      <c r="A684" s="15"/>
      <c r="B684" s="15"/>
      <c r="C684" s="11"/>
      <c r="D684" s="12"/>
      <c r="E684" s="13"/>
      <c r="F684" s="13"/>
      <c r="G684" s="12"/>
      <c r="H684" s="12"/>
      <c r="I684" s="14"/>
      <c r="J684" s="14"/>
    </row>
    <row r="685" spans="1:10" x14ac:dyDescent="0.35">
      <c r="A685" s="15"/>
      <c r="B685" s="15"/>
      <c r="C685" s="11"/>
      <c r="D685" s="12"/>
      <c r="E685" s="13"/>
      <c r="F685" s="13"/>
      <c r="G685" s="12"/>
      <c r="H685" s="12"/>
      <c r="I685" s="14"/>
      <c r="J685" s="14"/>
    </row>
    <row r="686" spans="1:10" x14ac:dyDescent="0.35">
      <c r="A686" s="15"/>
      <c r="B686" s="15"/>
      <c r="C686" s="11"/>
      <c r="D686" s="12"/>
      <c r="E686" s="13"/>
      <c r="F686" s="13"/>
      <c r="G686" s="12"/>
      <c r="H686" s="12"/>
      <c r="I686" s="14"/>
      <c r="J686" s="14"/>
    </row>
    <row r="687" spans="1:10" x14ac:dyDescent="0.35">
      <c r="A687" s="15"/>
      <c r="B687" s="15"/>
      <c r="C687" s="11"/>
      <c r="D687" s="12"/>
      <c r="E687" s="13"/>
      <c r="F687" s="13"/>
      <c r="G687" s="12"/>
      <c r="H687" s="12"/>
      <c r="I687" s="14"/>
      <c r="J687" s="14"/>
    </row>
    <row r="688" spans="1:10" x14ac:dyDescent="0.35">
      <c r="A688" s="15"/>
      <c r="B688" s="15"/>
      <c r="C688" s="11"/>
      <c r="D688" s="12"/>
      <c r="E688" s="13"/>
      <c r="F688" s="13"/>
      <c r="G688" s="12"/>
      <c r="H688" s="12"/>
      <c r="I688" s="14"/>
      <c r="J688" s="14"/>
    </row>
    <row r="689" spans="1:10" x14ac:dyDescent="0.35">
      <c r="A689" s="15"/>
      <c r="B689" s="15"/>
      <c r="C689" s="11"/>
      <c r="D689" s="12"/>
      <c r="E689" s="13"/>
      <c r="F689" s="13"/>
      <c r="G689" s="12"/>
      <c r="H689" s="12"/>
      <c r="I689" s="14"/>
      <c r="J689" s="14"/>
    </row>
    <row r="690" spans="1:10" x14ac:dyDescent="0.35">
      <c r="A690" s="15"/>
      <c r="B690" s="15"/>
      <c r="C690" s="11"/>
      <c r="D690" s="12"/>
      <c r="E690" s="13"/>
      <c r="F690" s="13"/>
      <c r="G690" s="12"/>
      <c r="H690" s="12"/>
      <c r="I690" s="14"/>
      <c r="J690" s="14"/>
    </row>
    <row r="691" spans="1:10" x14ac:dyDescent="0.35">
      <c r="A691" s="15"/>
      <c r="B691" s="15"/>
      <c r="C691" s="11"/>
      <c r="D691" s="12"/>
      <c r="E691" s="13"/>
      <c r="F691" s="13"/>
      <c r="G691" s="12"/>
      <c r="H691" s="12"/>
      <c r="I691" s="14"/>
      <c r="J691" s="14"/>
    </row>
    <row r="692" spans="1:10" x14ac:dyDescent="0.35">
      <c r="A692" s="15"/>
      <c r="B692" s="15"/>
      <c r="C692" s="11"/>
      <c r="D692" s="12"/>
      <c r="E692" s="13"/>
      <c r="F692" s="13"/>
      <c r="G692" s="12"/>
      <c r="H692" s="12"/>
      <c r="I692" s="14"/>
      <c r="J692" s="14"/>
    </row>
    <row r="693" spans="1:10" x14ac:dyDescent="0.35">
      <c r="A693" s="15"/>
      <c r="B693" s="15"/>
      <c r="C693" s="11"/>
      <c r="D693" s="12"/>
      <c r="E693" s="13"/>
      <c r="F693" s="13"/>
      <c r="G693" s="12"/>
      <c r="H693" s="12"/>
      <c r="I693" s="14"/>
      <c r="J693" s="14"/>
    </row>
    <row r="694" spans="1:10" x14ac:dyDescent="0.35">
      <c r="A694" s="15"/>
      <c r="B694" s="15"/>
      <c r="C694" s="11"/>
      <c r="D694" s="12"/>
      <c r="E694" s="13"/>
      <c r="F694" s="13"/>
      <c r="G694" s="12"/>
      <c r="H694" s="12"/>
      <c r="I694" s="14"/>
      <c r="J694" s="14"/>
    </row>
    <row r="695" spans="1:10" x14ac:dyDescent="0.35">
      <c r="A695" s="15"/>
      <c r="B695" s="15"/>
      <c r="C695" s="11"/>
      <c r="D695" s="12"/>
      <c r="E695" s="13"/>
      <c r="F695" s="13"/>
      <c r="G695" s="12"/>
      <c r="H695" s="12"/>
      <c r="I695" s="14"/>
      <c r="J695" s="14"/>
    </row>
    <row r="696" spans="1:10" x14ac:dyDescent="0.35">
      <c r="A696" s="15"/>
      <c r="B696" s="15"/>
      <c r="C696" s="11"/>
      <c r="D696" s="12"/>
      <c r="E696" s="13"/>
      <c r="F696" s="13"/>
      <c r="G696" s="12"/>
      <c r="H696" s="12"/>
      <c r="I696" s="14"/>
      <c r="J696" s="14"/>
    </row>
    <row r="697" spans="1:10" x14ac:dyDescent="0.35">
      <c r="A697" s="15"/>
      <c r="B697" s="15"/>
      <c r="C697" s="11"/>
      <c r="D697" s="12"/>
      <c r="E697" s="13"/>
      <c r="F697" s="13"/>
      <c r="G697" s="12"/>
      <c r="H697" s="12"/>
      <c r="I697" s="14"/>
      <c r="J697" s="14"/>
    </row>
    <row r="698" spans="1:10" x14ac:dyDescent="0.35">
      <c r="A698" s="15"/>
      <c r="B698" s="15"/>
      <c r="C698" s="11"/>
      <c r="D698" s="12"/>
      <c r="E698" s="13"/>
      <c r="F698" s="13"/>
      <c r="G698" s="12"/>
      <c r="H698" s="12"/>
      <c r="I698" s="14"/>
      <c r="J698" s="14"/>
    </row>
    <row r="699" spans="1:10" x14ac:dyDescent="0.35">
      <c r="A699" s="15"/>
      <c r="B699" s="15"/>
      <c r="C699" s="11"/>
      <c r="D699" s="12"/>
      <c r="E699" s="13"/>
      <c r="F699" s="13"/>
      <c r="G699" s="12"/>
      <c r="H699" s="12"/>
      <c r="I699" s="14"/>
      <c r="J699" s="14"/>
    </row>
    <row r="700" spans="1:10" x14ac:dyDescent="0.35">
      <c r="A700" s="15"/>
      <c r="B700" s="15"/>
      <c r="C700" s="11"/>
      <c r="D700" s="12"/>
      <c r="E700" s="13"/>
      <c r="F700" s="13"/>
      <c r="G700" s="12"/>
      <c r="H700" s="12"/>
      <c r="I700" s="14"/>
      <c r="J700" s="14"/>
    </row>
    <row r="701" spans="1:10" x14ac:dyDescent="0.35">
      <c r="A701" s="15"/>
      <c r="B701" s="15"/>
      <c r="C701" s="11"/>
      <c r="D701" s="12"/>
      <c r="E701" s="13"/>
      <c r="F701" s="13"/>
      <c r="G701" s="12"/>
      <c r="H701" s="12"/>
      <c r="I701" s="14"/>
      <c r="J701" s="14"/>
    </row>
    <row r="702" spans="1:10" x14ac:dyDescent="0.35">
      <c r="A702" s="15"/>
      <c r="B702" s="15"/>
      <c r="C702" s="11"/>
      <c r="D702" s="12"/>
      <c r="E702" s="13"/>
      <c r="F702" s="13"/>
      <c r="G702" s="12"/>
      <c r="H702" s="12"/>
      <c r="I702" s="14"/>
      <c r="J702" s="14"/>
    </row>
    <row r="703" spans="1:10" x14ac:dyDescent="0.35">
      <c r="A703" s="15"/>
      <c r="B703" s="15"/>
      <c r="C703" s="11"/>
      <c r="D703" s="12"/>
      <c r="E703" s="13"/>
      <c r="F703" s="13"/>
      <c r="G703" s="12"/>
      <c r="H703" s="12"/>
      <c r="I703" s="14"/>
      <c r="J703" s="14"/>
    </row>
    <row r="704" spans="1:10" x14ac:dyDescent="0.35">
      <c r="A704" s="15"/>
      <c r="B704" s="15"/>
      <c r="C704" s="11"/>
      <c r="D704" s="12"/>
      <c r="E704" s="13"/>
      <c r="F704" s="13"/>
      <c r="G704" s="12"/>
      <c r="H704" s="12"/>
      <c r="I704" s="14"/>
      <c r="J704" s="14"/>
    </row>
    <row r="705" spans="1:10" x14ac:dyDescent="0.35">
      <c r="A705" s="15"/>
      <c r="B705" s="15"/>
      <c r="C705" s="11"/>
      <c r="D705" s="12"/>
      <c r="E705" s="13"/>
      <c r="F705" s="13"/>
      <c r="G705" s="12"/>
      <c r="H705" s="12"/>
      <c r="I705" s="14"/>
      <c r="J705" s="14"/>
    </row>
    <row r="706" spans="1:10" x14ac:dyDescent="0.35">
      <c r="A706" s="15"/>
      <c r="B706" s="15"/>
      <c r="C706" s="11"/>
      <c r="D706" s="12"/>
      <c r="E706" s="13"/>
      <c r="F706" s="13"/>
      <c r="G706" s="12"/>
      <c r="H706" s="12"/>
      <c r="I706" s="14"/>
      <c r="J706" s="14"/>
    </row>
    <row r="707" spans="1:10" x14ac:dyDescent="0.35">
      <c r="A707" s="15"/>
      <c r="B707" s="15"/>
      <c r="C707" s="11"/>
      <c r="D707" s="12"/>
      <c r="E707" s="13"/>
      <c r="F707" s="13"/>
      <c r="G707" s="12"/>
      <c r="H707" s="12"/>
      <c r="I707" s="14"/>
      <c r="J707" s="14"/>
    </row>
    <row r="708" spans="1:10" x14ac:dyDescent="0.35">
      <c r="A708" s="15"/>
      <c r="B708" s="15"/>
      <c r="C708" s="11"/>
      <c r="D708" s="12"/>
      <c r="E708" s="13"/>
      <c r="F708" s="13"/>
      <c r="G708" s="12"/>
      <c r="H708" s="12"/>
      <c r="I708" s="14"/>
      <c r="J708" s="14"/>
    </row>
    <row r="709" spans="1:10" x14ac:dyDescent="0.35">
      <c r="A709" s="15"/>
      <c r="B709" s="15"/>
      <c r="C709" s="11"/>
      <c r="D709" s="12"/>
      <c r="E709" s="13"/>
      <c r="F709" s="13"/>
      <c r="G709" s="12"/>
      <c r="H709" s="12"/>
      <c r="I709" s="14"/>
      <c r="J709" s="14"/>
    </row>
    <row r="710" spans="1:10" x14ac:dyDescent="0.35">
      <c r="A710" s="15"/>
      <c r="B710" s="15"/>
      <c r="C710" s="11"/>
      <c r="D710" s="12"/>
      <c r="E710" s="13"/>
      <c r="F710" s="13"/>
      <c r="G710" s="12"/>
      <c r="H710" s="12"/>
      <c r="I710" s="14"/>
      <c r="J710" s="14"/>
    </row>
    <row r="711" spans="1:10" x14ac:dyDescent="0.35">
      <c r="A711" s="15"/>
      <c r="B711" s="15"/>
      <c r="C711" s="11"/>
      <c r="D711" s="12"/>
      <c r="E711" s="13"/>
      <c r="F711" s="13"/>
      <c r="G711" s="12"/>
      <c r="H711" s="12"/>
      <c r="I711" s="14"/>
      <c r="J711" s="14"/>
    </row>
    <row r="712" spans="1:10" x14ac:dyDescent="0.35">
      <c r="A712" s="15"/>
      <c r="B712" s="15"/>
      <c r="C712" s="11"/>
      <c r="D712" s="12"/>
      <c r="E712" s="13"/>
      <c r="F712" s="13"/>
      <c r="G712" s="12"/>
      <c r="H712" s="12"/>
      <c r="I712" s="14"/>
      <c r="J712" s="14"/>
    </row>
    <row r="713" spans="1:10" x14ac:dyDescent="0.35">
      <c r="A713" s="15"/>
      <c r="B713" s="15"/>
      <c r="C713" s="11"/>
      <c r="D713" s="12"/>
      <c r="E713" s="13"/>
      <c r="F713" s="13"/>
      <c r="G713" s="12"/>
      <c r="H713" s="12"/>
      <c r="I713" s="14"/>
      <c r="J713" s="14"/>
    </row>
    <row r="714" spans="1:10" x14ac:dyDescent="0.35">
      <c r="A714" s="15"/>
      <c r="B714" s="15"/>
      <c r="C714" s="11"/>
      <c r="D714" s="12"/>
      <c r="E714" s="13"/>
      <c r="F714" s="13"/>
      <c r="G714" s="12"/>
      <c r="H714" s="12"/>
      <c r="I714" s="14"/>
      <c r="J714" s="14"/>
    </row>
    <row r="715" spans="1:10" x14ac:dyDescent="0.35">
      <c r="A715" s="15"/>
      <c r="B715" s="15"/>
      <c r="C715" s="11"/>
      <c r="D715" s="12"/>
      <c r="E715" s="13"/>
      <c r="F715" s="13"/>
      <c r="G715" s="12"/>
      <c r="H715" s="12"/>
      <c r="I715" s="14"/>
      <c r="J715" s="14"/>
    </row>
    <row r="716" spans="1:10" x14ac:dyDescent="0.35">
      <c r="A716" s="15"/>
      <c r="B716" s="15"/>
      <c r="C716" s="11"/>
      <c r="D716" s="12"/>
      <c r="E716" s="13"/>
      <c r="F716" s="13"/>
      <c r="G716" s="12"/>
      <c r="H716" s="12"/>
      <c r="I716" s="14"/>
      <c r="J716" s="14"/>
    </row>
    <row r="717" spans="1:10" x14ac:dyDescent="0.35">
      <c r="A717" s="15"/>
      <c r="B717" s="15"/>
      <c r="C717" s="11"/>
      <c r="D717" s="12"/>
      <c r="E717" s="13"/>
      <c r="F717" s="13"/>
      <c r="G717" s="12"/>
      <c r="H717" s="12"/>
      <c r="I717" s="14"/>
      <c r="J717" s="14"/>
    </row>
    <row r="718" spans="1:10" x14ac:dyDescent="0.35">
      <c r="A718" s="15"/>
      <c r="B718" s="15"/>
      <c r="C718" s="11"/>
      <c r="D718" s="12"/>
      <c r="E718" s="13"/>
      <c r="F718" s="13"/>
      <c r="G718" s="12"/>
      <c r="H718" s="12"/>
      <c r="I718" s="14"/>
      <c r="J718" s="14"/>
    </row>
    <row r="719" spans="1:10" x14ac:dyDescent="0.35">
      <c r="A719" s="15"/>
      <c r="B719" s="15"/>
      <c r="C719" s="11"/>
      <c r="D719" s="12"/>
      <c r="E719" s="13"/>
      <c r="F719" s="13"/>
      <c r="G719" s="12"/>
      <c r="H719" s="12"/>
      <c r="I719" s="14"/>
      <c r="J719" s="14"/>
    </row>
    <row r="720" spans="1:10" x14ac:dyDescent="0.35">
      <c r="A720" s="15"/>
      <c r="B720" s="15"/>
      <c r="C720" s="11"/>
      <c r="D720" s="12"/>
      <c r="E720" s="13"/>
      <c r="F720" s="13"/>
      <c r="G720" s="12"/>
      <c r="H720" s="12"/>
      <c r="I720" s="14"/>
      <c r="J720" s="14"/>
    </row>
    <row r="721" spans="1:10" x14ac:dyDescent="0.35">
      <c r="A721" s="15"/>
      <c r="B721" s="15"/>
      <c r="C721" s="11"/>
      <c r="D721" s="12"/>
      <c r="E721" s="13"/>
      <c r="F721" s="13"/>
      <c r="G721" s="12"/>
      <c r="H721" s="12"/>
      <c r="I721" s="14"/>
      <c r="J721" s="14"/>
    </row>
    <row r="722" spans="1:10" x14ac:dyDescent="0.35">
      <c r="A722" s="15"/>
      <c r="B722" s="15"/>
      <c r="C722" s="11"/>
      <c r="D722" s="12"/>
      <c r="E722" s="13"/>
      <c r="F722" s="13"/>
      <c r="G722" s="12"/>
      <c r="H722" s="12"/>
      <c r="I722" s="14"/>
      <c r="J722" s="14"/>
    </row>
    <row r="723" spans="1:10" x14ac:dyDescent="0.35">
      <c r="A723" s="15"/>
      <c r="B723" s="15"/>
      <c r="C723" s="11"/>
      <c r="D723" s="12"/>
      <c r="E723" s="13"/>
      <c r="F723" s="13"/>
      <c r="G723" s="12"/>
      <c r="H723" s="12"/>
      <c r="I723" s="14"/>
      <c r="J723" s="14"/>
    </row>
    <row r="724" spans="1:10" x14ac:dyDescent="0.35">
      <c r="A724" s="15"/>
      <c r="B724" s="15"/>
      <c r="C724" s="11"/>
      <c r="D724" s="12"/>
      <c r="E724" s="13"/>
      <c r="F724" s="13"/>
      <c r="G724" s="12"/>
      <c r="H724" s="12"/>
      <c r="I724" s="14"/>
      <c r="J724" s="14"/>
    </row>
    <row r="725" spans="1:10" x14ac:dyDescent="0.35">
      <c r="A725" s="15"/>
      <c r="B725" s="15"/>
      <c r="C725" s="11"/>
      <c r="D725" s="12"/>
      <c r="E725" s="13"/>
      <c r="F725" s="13"/>
      <c r="G725" s="12"/>
      <c r="H725" s="12"/>
      <c r="I725" s="14"/>
      <c r="J725" s="14"/>
    </row>
    <row r="726" spans="1:10" x14ac:dyDescent="0.35">
      <c r="A726" s="15"/>
      <c r="B726" s="15"/>
      <c r="C726" s="11"/>
      <c r="D726" s="12"/>
      <c r="E726" s="13"/>
      <c r="F726" s="13"/>
      <c r="G726" s="12"/>
      <c r="H726" s="12"/>
      <c r="I726" s="14"/>
      <c r="J726" s="14"/>
    </row>
    <row r="727" spans="1:10" x14ac:dyDescent="0.35">
      <c r="A727" s="15"/>
      <c r="B727" s="15"/>
      <c r="C727" s="11"/>
      <c r="D727" s="12"/>
      <c r="E727" s="13"/>
      <c r="F727" s="13"/>
      <c r="G727" s="12"/>
      <c r="H727" s="12"/>
      <c r="I727" s="14"/>
      <c r="J727" s="14"/>
    </row>
    <row r="728" spans="1:10" x14ac:dyDescent="0.35">
      <c r="A728" s="15"/>
      <c r="B728" s="15"/>
      <c r="C728" s="11"/>
      <c r="D728" s="12"/>
      <c r="E728" s="13"/>
      <c r="F728" s="13"/>
      <c r="G728" s="12"/>
      <c r="H728" s="12"/>
      <c r="I728" s="14"/>
      <c r="J728" s="14"/>
    </row>
    <row r="729" spans="1:10" x14ac:dyDescent="0.35">
      <c r="A729" s="15"/>
      <c r="B729" s="15"/>
      <c r="C729" s="11"/>
      <c r="D729" s="12"/>
      <c r="E729" s="13"/>
      <c r="F729" s="13"/>
      <c r="G729" s="12"/>
      <c r="H729" s="12"/>
      <c r="I729" s="14"/>
      <c r="J729" s="14"/>
    </row>
    <row r="730" spans="1:10" x14ac:dyDescent="0.35">
      <c r="A730" s="15"/>
      <c r="B730" s="15"/>
      <c r="C730" s="11"/>
      <c r="D730" s="12"/>
      <c r="E730" s="13"/>
      <c r="F730" s="13"/>
      <c r="G730" s="12"/>
      <c r="H730" s="12"/>
      <c r="I730" s="14"/>
      <c r="J730" s="14"/>
    </row>
    <row r="731" spans="1:10" x14ac:dyDescent="0.35">
      <c r="A731" s="15"/>
      <c r="B731" s="15"/>
      <c r="C731" s="11"/>
      <c r="D731" s="12"/>
      <c r="E731" s="13"/>
      <c r="F731" s="13"/>
      <c r="G731" s="12"/>
      <c r="H731" s="12"/>
      <c r="I731" s="14"/>
      <c r="J731" s="14"/>
    </row>
    <row r="732" spans="1:10" x14ac:dyDescent="0.35">
      <c r="A732" s="15"/>
      <c r="B732" s="15"/>
      <c r="C732" s="11"/>
      <c r="D732" s="12"/>
      <c r="E732" s="13"/>
      <c r="F732" s="13"/>
      <c r="G732" s="12"/>
      <c r="H732" s="12"/>
      <c r="I732" s="14"/>
      <c r="J732" s="14"/>
    </row>
    <row r="733" spans="1:10" x14ac:dyDescent="0.35">
      <c r="A733" s="15"/>
      <c r="B733" s="15"/>
      <c r="C733" s="11"/>
      <c r="D733" s="12"/>
      <c r="E733" s="13"/>
      <c r="F733" s="13"/>
      <c r="G733" s="12"/>
      <c r="H733" s="12"/>
      <c r="I733" s="14"/>
      <c r="J733" s="14"/>
    </row>
    <row r="734" spans="1:10" x14ac:dyDescent="0.35">
      <c r="A734" s="15"/>
      <c r="B734" s="15"/>
      <c r="C734" s="11"/>
      <c r="D734" s="12"/>
      <c r="E734" s="13"/>
      <c r="F734" s="13"/>
      <c r="G734" s="12"/>
      <c r="H734" s="12"/>
      <c r="I734" s="14"/>
      <c r="J734" s="14"/>
    </row>
    <row r="735" spans="1:10" x14ac:dyDescent="0.35">
      <c r="A735" s="15"/>
      <c r="B735" s="15"/>
      <c r="C735" s="11"/>
      <c r="D735" s="12"/>
      <c r="E735" s="13"/>
      <c r="F735" s="13"/>
      <c r="G735" s="12"/>
      <c r="H735" s="12"/>
      <c r="I735" s="14"/>
      <c r="J735" s="14"/>
    </row>
    <row r="736" spans="1:10" x14ac:dyDescent="0.35">
      <c r="A736" s="15"/>
      <c r="B736" s="15"/>
      <c r="C736" s="11"/>
      <c r="D736" s="12"/>
      <c r="E736" s="13"/>
      <c r="F736" s="13"/>
      <c r="G736" s="12"/>
      <c r="H736" s="12"/>
      <c r="I736" s="14"/>
      <c r="J736" s="14"/>
    </row>
    <row r="737" spans="1:10" x14ac:dyDescent="0.35">
      <c r="A737" s="15"/>
      <c r="B737" s="15"/>
      <c r="C737" s="11"/>
      <c r="D737" s="12"/>
      <c r="E737" s="13"/>
      <c r="F737" s="13"/>
      <c r="G737" s="12"/>
      <c r="H737" s="12"/>
      <c r="I737" s="14"/>
      <c r="J737" s="14"/>
    </row>
    <row r="738" spans="1:10" x14ac:dyDescent="0.35">
      <c r="A738" s="15"/>
      <c r="B738" s="15"/>
      <c r="C738" s="11"/>
      <c r="D738" s="12"/>
      <c r="E738" s="13"/>
      <c r="F738" s="13"/>
      <c r="G738" s="12"/>
      <c r="H738" s="12"/>
      <c r="I738" s="14"/>
      <c r="J738" s="14"/>
    </row>
    <row r="739" spans="1:10" x14ac:dyDescent="0.35">
      <c r="A739" s="15"/>
      <c r="B739" s="15"/>
      <c r="C739" s="11"/>
      <c r="D739" s="12"/>
      <c r="E739" s="13"/>
      <c r="F739" s="13"/>
      <c r="G739" s="12"/>
      <c r="H739" s="12"/>
      <c r="I739" s="14"/>
      <c r="J739" s="14"/>
    </row>
    <row r="740" spans="1:10" x14ac:dyDescent="0.35">
      <c r="A740" s="15"/>
      <c r="B740" s="15"/>
      <c r="C740" s="11"/>
      <c r="D740" s="12"/>
      <c r="E740" s="13"/>
      <c r="F740" s="13"/>
      <c r="G740" s="12"/>
      <c r="H740" s="12"/>
      <c r="I740" s="14"/>
      <c r="J740" s="14"/>
    </row>
    <row r="741" spans="1:10" x14ac:dyDescent="0.35">
      <c r="A741" s="15"/>
      <c r="B741" s="15"/>
      <c r="C741" s="11"/>
      <c r="D741" s="12"/>
      <c r="E741" s="13"/>
      <c r="F741" s="13"/>
      <c r="G741" s="12"/>
      <c r="H741" s="12"/>
      <c r="I741" s="14"/>
      <c r="J741" s="14"/>
    </row>
    <row r="742" spans="1:10" x14ac:dyDescent="0.35">
      <c r="A742" s="15"/>
      <c r="B742" s="15"/>
      <c r="C742" s="11"/>
      <c r="D742" s="12"/>
      <c r="E742" s="13"/>
      <c r="F742" s="13"/>
      <c r="G742" s="12"/>
      <c r="H742" s="12"/>
      <c r="I742" s="14"/>
      <c r="J742" s="14"/>
    </row>
    <row r="743" spans="1:10" x14ac:dyDescent="0.35">
      <c r="A743" s="15"/>
      <c r="B743" s="15"/>
      <c r="C743" s="11"/>
      <c r="D743" s="12"/>
      <c r="E743" s="13"/>
      <c r="F743" s="13"/>
      <c r="G743" s="12"/>
      <c r="H743" s="12"/>
      <c r="I743" s="14"/>
      <c r="J743" s="14"/>
    </row>
    <row r="744" spans="1:10" x14ac:dyDescent="0.35">
      <c r="A744" s="15"/>
      <c r="B744" s="15"/>
      <c r="C744" s="11"/>
      <c r="D744" s="12"/>
      <c r="E744" s="13"/>
      <c r="F744" s="13"/>
      <c r="G744" s="12"/>
      <c r="H744" s="12"/>
      <c r="I744" s="14"/>
      <c r="J744" s="14"/>
    </row>
    <row r="745" spans="1:10" x14ac:dyDescent="0.35">
      <c r="A745" s="15"/>
      <c r="B745" s="15"/>
      <c r="C745" s="11"/>
      <c r="D745" s="12"/>
      <c r="E745" s="13"/>
      <c r="F745" s="13"/>
      <c r="G745" s="12"/>
      <c r="H745" s="12"/>
      <c r="I745" s="14"/>
      <c r="J745" s="14"/>
    </row>
    <row r="746" spans="1:10" x14ac:dyDescent="0.35">
      <c r="A746" s="15"/>
      <c r="B746" s="15"/>
      <c r="C746" s="11"/>
      <c r="D746" s="12"/>
      <c r="E746" s="13"/>
      <c r="F746" s="13"/>
      <c r="G746" s="12"/>
      <c r="H746" s="12"/>
      <c r="I746" s="14"/>
      <c r="J746" s="14"/>
    </row>
    <row r="747" spans="1:10" x14ac:dyDescent="0.35">
      <c r="A747" s="15"/>
      <c r="B747" s="15"/>
      <c r="C747" s="11"/>
      <c r="D747" s="12"/>
      <c r="E747" s="13"/>
      <c r="F747" s="13"/>
      <c r="G747" s="12"/>
      <c r="H747" s="12"/>
      <c r="I747" s="14"/>
      <c r="J747" s="14"/>
    </row>
    <row r="748" spans="1:10" ht="15" thickBot="1" x14ac:dyDescent="0.4">
      <c r="A748" s="40" t="s">
        <v>362</v>
      </c>
      <c r="B748" s="40"/>
      <c r="C748" s="41" t="s">
        <v>362</v>
      </c>
      <c r="D748" s="41" t="s">
        <v>362</v>
      </c>
      <c r="E748" s="41" t="s">
        <v>362</v>
      </c>
      <c r="F748" s="41" t="s">
        <v>362</v>
      </c>
      <c r="G748" s="41" t="s">
        <v>362</v>
      </c>
      <c r="H748" s="41" t="s">
        <v>362</v>
      </c>
      <c r="I748" s="41" t="s">
        <v>362</v>
      </c>
      <c r="J748" s="41" t="s">
        <v>362</v>
      </c>
    </row>
    <row r="749" spans="1:10" ht="15" thickTop="1" x14ac:dyDescent="0.35"/>
  </sheetData>
  <autoFilter ref="A3:J585" xr:uid="{6C1E195B-537D-4DB3-A3C5-62DFE47145D4}">
    <filterColumn colId="1">
      <customFilters>
        <customFilter operator="notEqual" val=" "/>
      </customFilters>
    </filterColumn>
    <filterColumn colId="5">
      <filters>
        <filter val="rHDPE"/>
      </filters>
    </filterColumn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Cư, Lê Hoành</cp:lastModifiedBy>
  <dcterms:created xsi:type="dcterms:W3CDTF">2025-12-08T02:22:03Z</dcterms:created>
  <dcterms:modified xsi:type="dcterms:W3CDTF">2025-12-08T13:52:59Z</dcterms:modified>
</cp:coreProperties>
</file>