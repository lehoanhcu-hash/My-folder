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phamngocphuongphuong_duytanrecycling_com/Documents/2. Data/2. Report 2023/22. Công nghệ cao/15. Giai thuong/"/>
    </mc:Choice>
  </mc:AlternateContent>
  <xr:revisionPtr revIDLastSave="160" documentId="13_ncr:1_{F59C1112-855F-42EF-8AC9-80FA8D7765BD}" xr6:coauthVersionLast="47" xr6:coauthVersionMax="47" xr10:uidLastSave="{C343EE99-44DD-4A7A-9929-2F1D3854C5D1}"/>
  <bookViews>
    <workbookView xWindow="-110" yWindow="-110" windowWidth="19420" windowHeight="10300" xr2:uid="{DE7D3B64-1E55-4B3D-BB9F-393BA2F58704}"/>
  </bookViews>
  <sheets>
    <sheet name="Pivot" sheetId="2" r:id="rId1"/>
    <sheet name="DS Phong (2)" sheetId="3" state="hidden" r:id="rId2"/>
    <sheet name="DS Phong (3)" sheetId="4" r:id="rId3"/>
    <sheet name="DS Phong" sheetId="1" state="hidden" r:id="rId4"/>
  </sheets>
  <externalReferences>
    <externalReference r:id="rId5"/>
    <externalReference r:id="rId6"/>
    <externalReference r:id="rId7"/>
  </externalReferences>
  <definedNames>
    <definedName name="_xlnm._FilterDatabase" localSheetId="3" hidden="1">'DS Phong'!$A$6:$T$38</definedName>
    <definedName name="_xlnm._FilterDatabase" localSheetId="1" hidden="1">'DS Phong (2)'!$A$6:$T$37</definedName>
    <definedName name="_xlnm._FilterDatabase" localSheetId="2" hidden="1">'DS Phong (3)'!$A$6:$U$37</definedName>
    <definedName name="BO0011F31BEFB747768F5B180C87BFAC26" hidden="1">#REF!</definedName>
    <definedName name="BO00D4E6AC0FDC429EA8FEA6BD16A668F0" hidden="1">[1]data1!#REF!</definedName>
    <definedName name="BO02F9B01DFC144AD48C9E0B213F11D013" hidden="1">[1]data1!#REF!</definedName>
    <definedName name="BO03FA8E0BFCA24D32AC2396B85FC5A1D3" hidden="1">[1]data1!#REF!</definedName>
    <definedName name="BO0622FAB6F74941B4B957138B10B9A45A" hidden="1">#REF!</definedName>
    <definedName name="BO06BA2289E9214AA1BD3C031F7AE24B66" hidden="1">[1]data1!#REF!</definedName>
    <definedName name="BO06F5161D598B4BD8A643D22CA723DC57" hidden="1">[1]data1!#REF!</definedName>
    <definedName name="BO0A3E60EBD9644235822B014E8A10129A" hidden="1">[1]data1!#REF!</definedName>
    <definedName name="BO0A61807B7F6644A6945F14E9498E433C" hidden="1">[1]data1!#REF!</definedName>
    <definedName name="BO0D83429D91594404816F2A472DBAD2F5" hidden="1">[1]data1!#REF!</definedName>
    <definedName name="BO0E0008CEFB8041C68880EAF71D06B027" hidden="1">[1]data1!#REF!</definedName>
    <definedName name="BO140C94447AD24A9698E5FA512D0F8140" hidden="1">#REF!</definedName>
    <definedName name="BO1637069FF78F4703B614B61D4764703C" hidden="1">[1]data1!#REF!</definedName>
    <definedName name="BO16A8CC48812B4356BAAA74F27B83CA33" hidden="1">[1]data1!#REF!</definedName>
    <definedName name="BO18560FD2B8C6416E9CD1E1C55F161784" hidden="1">[1]data1!#REF!</definedName>
    <definedName name="BO19107E8B185D43558057418CECA89E98" hidden="1">[1]data1!#REF!</definedName>
    <definedName name="BO199D7885931543C2973353D35255EC98" hidden="1">#REF!</definedName>
    <definedName name="BO1B794A93D41F48909F0651E32FA54FE2" hidden="1">#REF!</definedName>
    <definedName name="BO1CB7505C4AD842559D9385D4F45E4122" hidden="1">[1]data1!#REF!</definedName>
    <definedName name="BO1CE97F21B7074B8DA6705FC7C424CC26" hidden="1">#REF!</definedName>
    <definedName name="BO1DDFBF49B5934AF4B763B3F0A2E0D737" hidden="1">[1]data1!#REF!</definedName>
    <definedName name="BO1F82F7BDE2C2465CA45DDCC3099B9CE9" hidden="1">[1]data1!#REF!</definedName>
    <definedName name="BO1F94CEA9098640FE9CF43D2D9CD3DCC8" hidden="1">[1]data1!#REF!</definedName>
    <definedName name="BO2122E3AD777747C794571A265C0F3B0D" hidden="1">#REF!</definedName>
    <definedName name="BO22F6A8A2557143C5A9197CA47CACA0A5" hidden="1">#REF!</definedName>
    <definedName name="BO24562CDBAA8349A2958E4E221DF6A02F" hidden="1">#REF!</definedName>
    <definedName name="BO27033E01C6AC4FCFB0B8B872E495E5C1" hidden="1">[1]data1!#REF!</definedName>
    <definedName name="BO29B55F47F2EA4DBB8A680B8F4F828FDC" hidden="1">[1]data1!#REF!</definedName>
    <definedName name="BO29F61DD3699D4B4EB9578B6EE5ED851F" hidden="1">[1]data1!#REF!</definedName>
    <definedName name="BO2B2A72322F7C4D0C9ADACC2106ED4DB1" hidden="1">[1]data1!#REF!</definedName>
    <definedName name="BO2F5D973806BA48429D85FDBE8822C125" hidden="1">[1]data1!#REF!</definedName>
    <definedName name="BO3033C188E5514166A23C8F0C49E978CE" hidden="1">#REF!</definedName>
    <definedName name="BO331B3BD4576C40B19FB4F1606C8BDF50" hidden="1">'[2]BI NS'!#REF!</definedName>
    <definedName name="BO345B3D3BD8EB451FA78AFDC55A4CE621" hidden="1">[1]data1!#REF!</definedName>
    <definedName name="BO363CFB3686BB47CBB1DFF91CDA713483" hidden="1">[1]data1!#REF!</definedName>
    <definedName name="BO370ACF7B2E394337921EE579BD9AA7B0" hidden="1">[1]data1!#REF!</definedName>
    <definedName name="BO3776B75757FD4FE4B6D7888D724A9225" hidden="1">[1]data1!#REF!</definedName>
    <definedName name="BO3799B0AB91914E7A93A4DEC55582C13E" hidden="1">#REF!</definedName>
    <definedName name="BO394B9BF33D364900AE58A624CF23D111" hidden="1">#REF!</definedName>
    <definedName name="BO39BFFB453CB34181AADA5023F9399679" hidden="1">[1]data1!#REF!</definedName>
    <definedName name="BO39F2D2E129754C88AD9CDFB3DE9E6EB9" hidden="1">[1]data1!#REF!</definedName>
    <definedName name="BO3C2F729F5CDA480AAA3DE83B96CFC284" hidden="1">[1]data1!#REF!</definedName>
    <definedName name="BO3CEEE11800FA442CA998DF0400E41D9F" hidden="1">[1]data1!#REF!</definedName>
    <definedName name="BO3D652FBB1E584722A25D1ED555269F6A" hidden="1">[1]data1!#REF!</definedName>
    <definedName name="BO3D723C27838749AC9ABE3FEA2804752E" hidden="1">[1]data1!#REF!</definedName>
    <definedName name="BO3DE85CCE0BEF47E5A6698A40E7CC31D4" hidden="1">[1]data1!#REF!</definedName>
    <definedName name="BO3DE9B641EF5A4F219DAFD0F519FB41BE" hidden="1">#REF!</definedName>
    <definedName name="BO3EF52A61BBE54FAE94391F7A82DF90E5" hidden="1">#REF!</definedName>
    <definedName name="BO434262452CAD48E780CB4EA3A1E35159" hidden="1">[1]data1!#REF!</definedName>
    <definedName name="BO450E99A7CE8147518650595065BD5AA7" hidden="1">[1]data1!#REF!</definedName>
    <definedName name="BO4624B5B57B054931BFC78CCB453A11C4" hidden="1">#REF!</definedName>
    <definedName name="BO46E55705C2134210889D43EF97DC58C1" hidden="1">#REF!</definedName>
    <definedName name="BO470080AA53294ABCBCB86E3E61C6E674" hidden="1">[1]data1!#REF!</definedName>
    <definedName name="BO474A69FDFF1042018A79237B7E116542" hidden="1">[1]data1!#REF!</definedName>
    <definedName name="BO474CC64ADC5F470892476D73F4B1A6B1" hidden="1">#REF!</definedName>
    <definedName name="BO482C3D98CA484899A8B7287EA274CA6A" hidden="1">[1]data1!#REF!</definedName>
    <definedName name="BO4BF2A5EE00BE497CA9E2D43933F7FF3D" hidden="1">[1]data1!#REF!</definedName>
    <definedName name="BO4E51E74BC9B84C789E50C079DD8C9DB9" hidden="1">[1]data1!#REF!</definedName>
    <definedName name="BO4EDBADA7B15D4204A58AFB38E9618419" hidden="1">[1]data1!#REF!</definedName>
    <definedName name="BO506778994DF44B7F8B5E61CB28BF2C10" hidden="1">#REF!</definedName>
    <definedName name="BO53164B2390BA41908DA10A182708308E" hidden="1">#REF!</definedName>
    <definedName name="BO5382CDB57C6C4A73A98687F46EBF28CC" hidden="1">[1]data1!#REF!</definedName>
    <definedName name="BO5409586742D84C17A1E60E22F977B5AB" hidden="1">#REF!</definedName>
    <definedName name="BO5474F4A5200B4051B7FAEA5ABCDDBC0A" hidden="1">#REF!</definedName>
    <definedName name="BO57991E9C4CCD407E9550F725EB6645FD" hidden="1">[1]data1!#REF!</definedName>
    <definedName name="BO57D43C7A2EA14551B10CCBA64004EF1C" hidden="1">[1]data1!#REF!</definedName>
    <definedName name="BO586ABA1AA0934A4DB43E406B36061A4B" hidden="1">[1]data1!#REF!</definedName>
    <definedName name="BO590BAAB8F6EF4F4B9F0C4FFCE1AEA457" hidden="1">[1]data1!#REF!</definedName>
    <definedName name="BO5A5E898314AE448E9513B3A02B5FEAD6" hidden="1">#REF!</definedName>
    <definedName name="BO5A94035E3CD14FD998AA2D9A2F1D7091" hidden="1">[1]data1!#REF!</definedName>
    <definedName name="BO5ACC283D720F42C79882F88C46860157" hidden="1">[1]data1!#REF!</definedName>
    <definedName name="BO5D33402FAEFA47139A195E20A1F3FE79" hidden="1">#REF!</definedName>
    <definedName name="BO601745F18F0147F4ACFBEFF916C9E1FB" hidden="1">[1]data1!#REF!</definedName>
    <definedName name="BO60B5956E567B486B90250C4000D8BFB5" hidden="1">[1]data1!#REF!</definedName>
    <definedName name="BO61A806C31D404F2DAC7412F834C90F97" hidden="1">[1]data1!#REF!</definedName>
    <definedName name="BO62598659FC7A425C8B6A58E6937819EB" hidden="1">[1]data1!#REF!</definedName>
    <definedName name="BO63024BC34C774C2DB6FCC318BFEA45C8" hidden="1">[1]data1!#REF!</definedName>
    <definedName name="BO630493DB2F904AF48733D433E331A666" hidden="1">[1]data1!#REF!</definedName>
    <definedName name="BO63DCEEB1866E4D4E8D8C3F1303BA1E2C" hidden="1">[1]data1!#REF!</definedName>
    <definedName name="BO643AFE6D98D74A149C93EB7BAC016C28" hidden="1">[1]data1!#REF!</definedName>
    <definedName name="BO6527EC5C52F643D59928A990D082C326" hidden="1">[1]data1!#REF!</definedName>
    <definedName name="BO694F8FA807574D0A89B629AA496AFD07" hidden="1">[1]data1!#REF!</definedName>
    <definedName name="BO6B1FB3C08FAE414BA500D99CE9ED5198" hidden="1">[1]data1!#REF!</definedName>
    <definedName name="BO6B5BA7F960AA4E01889FEB3A045E9E6E" hidden="1">[1]data1!#REF!</definedName>
    <definedName name="BO6B9B7C4899FE4E58808836280604DF1A" hidden="1">#REF!</definedName>
    <definedName name="BO6C3491C219B045C7896DC6E7485F6EBE" hidden="1">[1]data1!#REF!</definedName>
    <definedName name="BO6D58D1CAD5914B6A8BCFA072A4145116" hidden="1">[1]data1!#REF!</definedName>
    <definedName name="BO70A8061826234F47A1B217D44F464D53" hidden="1">[1]data1!#REF!</definedName>
    <definedName name="BO7112B7E1B2FA4113890A5F14617C5C2B" hidden="1">#REF!</definedName>
    <definedName name="BO7191641F490B43858EEF45916E56DFFE" hidden="1">[1]data1!#REF!</definedName>
    <definedName name="BO71EFC93761E64AC9875168C956032C46" hidden="1">#REF!</definedName>
    <definedName name="BO729CB0C3A45F483B965C0AAED2B93AF9" hidden="1">[1]data1!#REF!</definedName>
    <definedName name="BO72D73115B9324389B3211DFA95D796E1" hidden="1">[1]data1!#REF!</definedName>
    <definedName name="BO7468C0719055446FBA3DD5DAA1D2C07A" hidden="1">[1]data1!#REF!</definedName>
    <definedName name="BO74C97FCEA0594A6B9E070731EBD92CEF" hidden="1">[1]data1!#REF!</definedName>
    <definedName name="BO75E2D6826E2E40189BE6AB2D1D3CD360" hidden="1">[1]data1!#REF!</definedName>
    <definedName name="BO7807CE606AD34A07B2184A427769941C" hidden="1">#REF!</definedName>
    <definedName name="BO79E4CC5406144E8FB64A069AB864E8C5" hidden="1">#REF!</definedName>
    <definedName name="BO7B6299E35C5A47D9AD01AE6DC5B64F58" hidden="1">[1]data1!#REF!</definedName>
    <definedName name="BO7BAC1557F2F24D7097BB72BF57567147" hidden="1">[1]data1!#REF!</definedName>
    <definedName name="BO7C3FF4CE27574A7EBD49E7B4A7092659" hidden="1">[1]data1!#REF!</definedName>
    <definedName name="BO7DEFA18F012949BBA223FFFDA31A0AC4" hidden="1">#REF!</definedName>
    <definedName name="BO80FC8C4B2040469785646DED46F890FC" hidden="1">#REF!</definedName>
    <definedName name="BO82DCB81042B0496395591CBB08B70D33" hidden="1">[1]data1!#REF!</definedName>
    <definedName name="BO830B0E9988F24C2EBD34CCB6BE4C29E9" hidden="1">[1]data1!#REF!</definedName>
    <definedName name="BO853EC0BFB29544D18B112E45133D05E9" hidden="1">[1]data1!#REF!</definedName>
    <definedName name="BO860FA0BE2157476BA47667F67DDEE048" hidden="1">[1]data1!#REF!</definedName>
    <definedName name="BO8627DB0E38934B8E9EC82F879642ABA6" hidden="1">#REF!</definedName>
    <definedName name="BO86450E35513845FAABF66F7ABA3B7187" hidden="1">#REF!</definedName>
    <definedName name="BO876746AA10F248ABBFF3906FF498D0F5" hidden="1">#REF!</definedName>
    <definedName name="BO87AE861D495C4218954616881BE4F496" hidden="1">[1]data1!#REF!</definedName>
    <definedName name="BO89B1D3386DBA4A44BC48C568EA666CF1" hidden="1">[1]data1!#REF!</definedName>
    <definedName name="BO8EBB3D2C90C14C1E98C28C8E3ADC2D04" hidden="1">[1]data1!#REF!</definedName>
    <definedName name="BO8F4F3D40AC5C4FD486636CA16A3DC562" hidden="1">[1]data1!#REF!</definedName>
    <definedName name="BO8FE54CF8BD3E432F8014778DD26DC86E" hidden="1">[1]data1!#REF!</definedName>
    <definedName name="BO9002E31751234205B3465B17A931E84A" hidden="1">#REF!</definedName>
    <definedName name="BO9074880A497A4DD58641850A4542BEF5" hidden="1">#REF!</definedName>
    <definedName name="BO9146878952E1484BAC183B1ABD26C8AD" hidden="1">[1]data1!#REF!</definedName>
    <definedName name="BO94804F4FC8FE41EFAB06E8592E3C8753" hidden="1">[1]data1!#REF!</definedName>
    <definedName name="BO94E28C6CAD08401099EE3E325105E869" hidden="1">#REF!</definedName>
    <definedName name="BO96354CDDFF944CC0975724BB058E1826" hidden="1">#REF!</definedName>
    <definedName name="BO9661C14DE1634FA18D272EFC98102EC2" hidden="1">[1]data1!#REF!</definedName>
    <definedName name="BO967DCA391F4246578A916034D394FF67" hidden="1">[1]data1!#REF!</definedName>
    <definedName name="BO9735A83D652C4C25BD7FF4C2ED9DEAF6" hidden="1">[1]data1!#REF!</definedName>
    <definedName name="BO983CB861C2A245D1A9D5A23A3DBCD94B" hidden="1">[1]data1!#REF!</definedName>
    <definedName name="BOA335CBBAABB74277878D022BD8DE14B6" hidden="1">#REF!</definedName>
    <definedName name="BOA3E124048BA341E781917713EEA32A32" hidden="1">[1]data1!#REF!</definedName>
    <definedName name="BOA6D04E3EF5AE4D1FB9262C785555E27C" hidden="1">[1]data1!#REF!</definedName>
    <definedName name="BOA7F9D2525BA94E5E8C12FD4B59682BA4" hidden="1">#REF!</definedName>
    <definedName name="BOAB32870360DA4B868517568937ED7F92" hidden="1">[1]data1!#REF!</definedName>
    <definedName name="BOAC8EFEB14159495C9A5AA92A2E13B436" hidden="1">#REF!</definedName>
    <definedName name="BOAE9B9265E8F648B789C890004DC86651" hidden="1">[1]data1!#REF!</definedName>
    <definedName name="BOAF9985D2794C4A5694A4E4A0E117C2FF" hidden="1">[1]data1!#REF!</definedName>
    <definedName name="BOB1750FE191DA4B89BCFECD1A676815A4" hidden="1">[1]data1!#REF!</definedName>
    <definedName name="BOB2005477BE6740CD8F3638ED2CE8E9C8" hidden="1">[1]data1!#REF!</definedName>
    <definedName name="BOB278FD7A3FB64D1B829C67DCACE949C3" hidden="1">[1]data1!#REF!</definedName>
    <definedName name="BOB2B2E545DA944B38BCFBD28954544345" hidden="1">[1]data1!#REF!</definedName>
    <definedName name="BOB3BA810E9AA9438C8DDCB9678AA4A396" hidden="1">[1]data1!#REF!</definedName>
    <definedName name="BOB6C34A78E93440C4BD9EEAD9748BCE4A" hidden="1">[1]data1!#REF!</definedName>
    <definedName name="BOB72FE7DC6ED74CE4BA7F96088E6138FB" hidden="1">#REF!</definedName>
    <definedName name="BOB8E4FA0EAAC14D36B7508C2F1A743B11" hidden="1">#REF!</definedName>
    <definedName name="BOB992DE68A56C45029FDDABA0F4AD7EA8" hidden="1">[1]data1!#REF!</definedName>
    <definedName name="BOB9DB1A243C8745FD98BF02747D01241D" hidden="1">[1]data1!#REF!</definedName>
    <definedName name="BOB9FB02A1A3FB4579913B23C2375FDD4C" hidden="1">[1]data1!#REF!</definedName>
    <definedName name="BOBA891C5DBC6446929B4E1A94D8992442" hidden="1">[1]data1!#REF!</definedName>
    <definedName name="BOBB05BB6CC37E48CE979E302E4206E2B3" hidden="1">[1]data1!#REF!</definedName>
    <definedName name="BOBBD4BBCD03034CC7B39DC55A3D47B61B" hidden="1">#REF!</definedName>
    <definedName name="BOBC2A8E03967F4A1D808AD2C9F54B73FA" hidden="1">[1]data1!#REF!</definedName>
    <definedName name="BOBF4A4485DB6F4692B867F6B25BC45D23" hidden="1">[1]data1!#REF!</definedName>
    <definedName name="BOBF74525DBF6943D79955BCA4EAD9627D" hidden="1">#REF!</definedName>
    <definedName name="BOC0DC6ADA8A7549A698ED4746A1BC4F01" hidden="1">[1]data1!#REF!</definedName>
    <definedName name="BOC14C29CE0DE04904B3EDF2F46B9D6A91" hidden="1">#REF!</definedName>
    <definedName name="BOC2CB80C76FF44FFDA9A10CC0DF1304F5" hidden="1">#REF!</definedName>
    <definedName name="BOC5692A0609C44656AF4399569F11D232" hidden="1">[1]data1!#REF!</definedName>
    <definedName name="BOC90E7A083DB04F29963D15407DD530BE" hidden="1">[1]data1!#REF!</definedName>
    <definedName name="BOC9C1AD9FEBCC4F7BA6D9D985C98B6891" hidden="1">[1]data1!#REF!</definedName>
    <definedName name="BOC9FCFF67CC16498285D9FA4A8A5FAF36" hidden="1">[1]data1!#REF!</definedName>
    <definedName name="BOCAAF3A63B3D44ED58075D12F594EBCB6" hidden="1">#REF!</definedName>
    <definedName name="BOCBA5CD5D9AB74B538B094FA3C626F6AB" hidden="1">[1]data1!#REF!</definedName>
    <definedName name="BOCBADA2520269469C9EAE09FFFF5ADC23" hidden="1">[1]data1!#REF!</definedName>
    <definedName name="BOCE079E5DF3554D56BA29A8EEC54A4E1C" hidden="1">[1]data1!#REF!</definedName>
    <definedName name="BOD12B5B7AF94E44D6878561019B504A09" hidden="1">#REF!</definedName>
    <definedName name="BOD22C69BF175E486FB890108AF947D4E3" hidden="1">[1]data1!#REF!</definedName>
    <definedName name="BOD2A1CC1CB8104390AEB408F818FC8F54" hidden="1">[1]data1!#REF!</definedName>
    <definedName name="BOD2ECB4BCF4EE43D59F8DA30B56A9EBD5" hidden="1">[1]data1!#REF!</definedName>
    <definedName name="BOD312E781862142B9AB1202DCC2FF7168" hidden="1">[1]data1!#REF!</definedName>
    <definedName name="BOD5A85A27C4B24A42A8C846D427705B47" hidden="1">[1]data1!#REF!</definedName>
    <definedName name="BOD61FCBF53D5C4BDE866D8D5A7CF5D55B" hidden="1">[1]data1!#REF!</definedName>
    <definedName name="BOD6FC605BEDD144028177046E76134A6F" hidden="1">[1]data1!#REF!</definedName>
    <definedName name="BOD885CD5423A54B58ABCF4918522E3631" hidden="1">[1]data1!#REF!</definedName>
    <definedName name="BODA8ADF06D7A14D7B97A04911ACD99605" hidden="1">[1]data1!#REF!</definedName>
    <definedName name="BODA8B7363579E499990C5B5324FBE929E" hidden="1">[1]data1!#REF!</definedName>
    <definedName name="BODAC1FBE0A6D0460DA4D5E6CD88D29171" hidden="1">[1]data1!#REF!</definedName>
    <definedName name="BODCA7083B76C24832979A30856B8C02EC" hidden="1">#REF!</definedName>
    <definedName name="BODDD9A025D34D4951BA45730798DA5F51" hidden="1">#REF!</definedName>
    <definedName name="BODEB788FC81A241EB9CD73BD32E973195" hidden="1">#REF!</definedName>
    <definedName name="BODF3601F31CFE4224B69EDF4117612F84" hidden="1">[1]data1!#REF!</definedName>
    <definedName name="BODF652C2D59F345A3BBA81AFDE4AC520F" hidden="1">[1]data1!#REF!</definedName>
    <definedName name="BOE05F7F84742F422EB2FF01019BBD7351" hidden="1">#REF!</definedName>
    <definedName name="BOE1C09D2C5BAB4474A4CA0E46F6E65A17" hidden="1">#REF!</definedName>
    <definedName name="BOE5F7C2E9FD1A4BF1AACEDAEC8C30388C" hidden="1">[1]data1!#REF!</definedName>
    <definedName name="BOE7DD6709EC934C23812EF96FCF7D0547" hidden="1">[1]data1!#REF!</definedName>
    <definedName name="BOE91387E57B9D43229C29582087B686C7" hidden="1">[1]data1!#REF!</definedName>
    <definedName name="BOE9F3F99CEC9B408A9386F06C2CDA75C6" hidden="1">[1]data1!#REF!</definedName>
    <definedName name="BOEA31700F7ACA412A9DB14E04C7C7CA6E" hidden="1">[1]data1!#REF!</definedName>
    <definedName name="BOEA472C95700F4E9A9C388ECFF3E685D9" hidden="1">[1]data1!#REF!</definedName>
    <definedName name="BOED185A8AD0564871BD8102CA14CD5DD8" hidden="1">#REF!</definedName>
    <definedName name="BOED1C3D0705E544E3AF724651442B272D" hidden="1">[1]data1!#REF!</definedName>
    <definedName name="BOEE79F473537041CEB065C7CCD9537FA7" hidden="1">#REF!</definedName>
    <definedName name="BOEE7B5998EF684C3FA6D45A28AC0FD2ED" hidden="1">#REF!</definedName>
    <definedName name="BOEEA991ED12C849F994DBE0D2595CE14E" hidden="1">[1]data1!#REF!</definedName>
    <definedName name="BOEFE13416E9C544CF98A7D65BBE6837BA" hidden="1">[1]data1!#REF!</definedName>
    <definedName name="BOF0E554E8E85B446AA2ECCDEC0C741D9F" hidden="1">[1]data1!#REF!</definedName>
    <definedName name="BOF0E6299BBDCA4CF982311E0321675D6D" hidden="1">#REF!</definedName>
    <definedName name="BOF1764D1D269643E7AB317D573B09EF1C" hidden="1">#REF!</definedName>
    <definedName name="BOF47AB92045A5473FB2130B1C69E630C3" hidden="1">[1]data1!#REF!</definedName>
    <definedName name="BOF83E9FDB7A4A4BA5AC052F46109D886B" hidden="1">[1]data1!#REF!</definedName>
    <definedName name="BOFCCCD9823F9746199135DC885AA6CE65" hidden="1">#REF!</definedName>
    <definedName name="BOFE769301449941138A01F272CD5F5512" hidden="1">#REF!</definedName>
    <definedName name="BOFEE9B8D240BE4597B5C4B055A3F09323" hidden="1">[1]data1!#REF!</definedName>
    <definedName name="BOFEFAC663D1CA418786333DC7B30DB728" hidden="1">[1]data1!#REF!</definedName>
    <definedName name="BOFFC2FB4729384720BB4673A2D1187BEF" hidden="1">#REF!</definedName>
    <definedName name="GRID">[3]HCM3!$C$49:$C$51</definedName>
    <definedName name="_xlnm.Print_Area" localSheetId="3">'DS Phong'!$A$1:$M$35</definedName>
    <definedName name="_xlnm.Print_Area" localSheetId="1">'DS Phong (2)'!$A$1:$M$34</definedName>
    <definedName name="_xlnm.Print_Area" localSheetId="2">'DS Phong (3)'!$A$1:$Y$37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4" l="1"/>
  <c r="X9" i="4"/>
  <c r="X11" i="4" s="1"/>
  <c r="Y11" i="4" s="1"/>
  <c r="W9" i="4"/>
  <c r="AC16" i="4"/>
  <c r="AC15" i="4"/>
  <c r="AC14" i="4"/>
  <c r="AC10" i="4"/>
  <c r="AC9" i="4"/>
  <c r="AC8" i="4"/>
  <c r="H25" i="4"/>
  <c r="K25" i="4" s="1"/>
  <c r="A25" i="4"/>
  <c r="H24" i="4"/>
  <c r="A24" i="4"/>
  <c r="H23" i="4"/>
  <c r="K23" i="4" s="1"/>
  <c r="A23" i="4"/>
  <c r="H37" i="4"/>
  <c r="F37" i="4"/>
  <c r="A37" i="4"/>
  <c r="H36" i="4"/>
  <c r="F36" i="4"/>
  <c r="A36" i="4"/>
  <c r="H35" i="4"/>
  <c r="A35" i="4"/>
  <c r="H34" i="4"/>
  <c r="A34" i="4"/>
  <c r="H33" i="4"/>
  <c r="A33" i="4"/>
  <c r="H32" i="4"/>
  <c r="K32" i="4" s="1"/>
  <c r="A32" i="4"/>
  <c r="H31" i="4"/>
  <c r="K31" i="4" s="1"/>
  <c r="A31" i="4"/>
  <c r="H30" i="4"/>
  <c r="K30" i="4" s="1"/>
  <c r="A30" i="4"/>
  <c r="H29" i="4"/>
  <c r="K29" i="4" s="1"/>
  <c r="A29" i="4"/>
  <c r="H28" i="4"/>
  <c r="A28" i="4"/>
  <c r="H27" i="4"/>
  <c r="K27" i="4" s="1"/>
  <c r="A27" i="4"/>
  <c r="H26" i="4"/>
  <c r="K26" i="4" s="1"/>
  <c r="A26" i="4"/>
  <c r="H22" i="4"/>
  <c r="K22" i="4" s="1"/>
  <c r="A22" i="4"/>
  <c r="H21" i="4"/>
  <c r="F21" i="4"/>
  <c r="A21" i="4"/>
  <c r="H20" i="4"/>
  <c r="F20" i="4"/>
  <c r="A20" i="4"/>
  <c r="H19" i="4"/>
  <c r="K19" i="4" s="1"/>
  <c r="F19" i="4"/>
  <c r="A19" i="4"/>
  <c r="H18" i="4"/>
  <c r="A18" i="4"/>
  <c r="H17" i="4"/>
  <c r="A17" i="4"/>
  <c r="H16" i="4"/>
  <c r="F16" i="4"/>
  <c r="A16" i="4"/>
  <c r="H15" i="4"/>
  <c r="K15" i="4" s="1"/>
  <c r="F15" i="4"/>
  <c r="A15" i="4"/>
  <c r="H14" i="4"/>
  <c r="F14" i="4"/>
  <c r="A14" i="4"/>
  <c r="H13" i="4"/>
  <c r="F13" i="4"/>
  <c r="A13" i="4"/>
  <c r="H12" i="4"/>
  <c r="A12" i="4"/>
  <c r="T11" i="4"/>
  <c r="U11" i="4" s="1"/>
  <c r="J37" i="4" s="1"/>
  <c r="H11" i="4"/>
  <c r="A11" i="4"/>
  <c r="H10" i="4"/>
  <c r="F10" i="4"/>
  <c r="A10" i="4"/>
  <c r="T9" i="4"/>
  <c r="T10" i="4" s="1"/>
  <c r="U10" i="4" s="1"/>
  <c r="S9" i="4"/>
  <c r="H9" i="4"/>
  <c r="F9" i="4"/>
  <c r="A9" i="4"/>
  <c r="U8" i="4"/>
  <c r="J30" i="4" s="1"/>
  <c r="H8" i="4"/>
  <c r="F8" i="4"/>
  <c r="A8" i="4"/>
  <c r="H7" i="4"/>
  <c r="K7" i="4" s="1"/>
  <c r="A7" i="4"/>
  <c r="I5" i="4"/>
  <c r="D5" i="4"/>
  <c r="K18" i="4" l="1"/>
  <c r="K37" i="4"/>
  <c r="K14" i="4"/>
  <c r="K21" i="4"/>
  <c r="K11" i="4"/>
  <c r="K28" i="4"/>
  <c r="K34" i="4"/>
  <c r="K24" i="4"/>
  <c r="K8" i="4"/>
  <c r="K20" i="4"/>
  <c r="K17" i="4"/>
  <c r="K35" i="4"/>
  <c r="K12" i="4"/>
  <c r="Y9" i="4"/>
  <c r="K13" i="4" s="1"/>
  <c r="X10" i="4"/>
  <c r="Y10" i="4" s="1"/>
  <c r="K36" i="4" s="1"/>
  <c r="J24" i="4"/>
  <c r="J25" i="4"/>
  <c r="J26" i="4"/>
  <c r="J23" i="4"/>
  <c r="J17" i="4"/>
  <c r="J8" i="4"/>
  <c r="J32" i="4"/>
  <c r="J27" i="4"/>
  <c r="J20" i="4"/>
  <c r="J29" i="4"/>
  <c r="U9" i="4"/>
  <c r="J13" i="4" s="1"/>
  <c r="J31" i="4"/>
  <c r="J7" i="4"/>
  <c r="J34" i="4"/>
  <c r="J15" i="4"/>
  <c r="J22" i="4"/>
  <c r="J19" i="4"/>
  <c r="J12" i="4"/>
  <c r="J35" i="4"/>
  <c r="J11" i="4"/>
  <c r="J14" i="4"/>
  <c r="J18" i="4"/>
  <c r="J21" i="4"/>
  <c r="J28" i="4"/>
  <c r="K16" i="4" l="1"/>
  <c r="K33" i="4"/>
  <c r="J10" i="4"/>
  <c r="J5" i="4" s="1"/>
  <c r="K5" i="4" l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H37" i="3"/>
  <c r="F37" i="3"/>
  <c r="H36" i="3"/>
  <c r="F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F21" i="3"/>
  <c r="H20" i="3"/>
  <c r="F20" i="3"/>
  <c r="H19" i="3"/>
  <c r="F19" i="3"/>
  <c r="H18" i="3"/>
  <c r="H17" i="3"/>
  <c r="H16" i="3"/>
  <c r="F16" i="3"/>
  <c r="H15" i="3"/>
  <c r="F15" i="3"/>
  <c r="H14" i="3"/>
  <c r="F14" i="3"/>
  <c r="H13" i="3"/>
  <c r="F13" i="3"/>
  <c r="H12" i="3"/>
  <c r="S11" i="3"/>
  <c r="T11" i="3" s="1"/>
  <c r="J37" i="3" s="1"/>
  <c r="H11" i="3"/>
  <c r="H10" i="3"/>
  <c r="F10" i="3"/>
  <c r="S9" i="3"/>
  <c r="S10" i="3" s="1"/>
  <c r="T10" i="3" s="1"/>
  <c r="R9" i="3"/>
  <c r="H9" i="3"/>
  <c r="F9" i="3"/>
  <c r="T8" i="3"/>
  <c r="J29" i="3" s="1"/>
  <c r="H8" i="3"/>
  <c r="F8" i="3"/>
  <c r="H7" i="3"/>
  <c r="I5" i="3"/>
  <c r="D5" i="3"/>
  <c r="H25" i="1"/>
  <c r="H24" i="1"/>
  <c r="D5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I5" i="1"/>
  <c r="J22" i="1"/>
  <c r="J21" i="1"/>
  <c r="J25" i="1"/>
  <c r="J24" i="1"/>
  <c r="J19" i="1"/>
  <c r="S11" i="1"/>
  <c r="T11" i="1" s="1"/>
  <c r="J38" i="1" s="1"/>
  <c r="S9" i="1"/>
  <c r="R9" i="1"/>
  <c r="T8" i="1"/>
  <c r="J30" i="1" s="1"/>
  <c r="T9" i="3" l="1"/>
  <c r="J31" i="3"/>
  <c r="J21" i="3"/>
  <c r="J32" i="3"/>
  <c r="J13" i="3"/>
  <c r="J10" i="3"/>
  <c r="J8" i="3"/>
  <c r="J34" i="3"/>
  <c r="J22" i="3"/>
  <c r="J30" i="3"/>
  <c r="J19" i="3"/>
  <c r="J17" i="3"/>
  <c r="J26" i="3"/>
  <c r="J11" i="3"/>
  <c r="J14" i="3"/>
  <c r="J23" i="3"/>
  <c r="J27" i="3"/>
  <c r="J35" i="3"/>
  <c r="J18" i="3"/>
  <c r="J20" i="3"/>
  <c r="J7" i="3"/>
  <c r="J24" i="3"/>
  <c r="J28" i="3"/>
  <c r="J12" i="3"/>
  <c r="J15" i="3"/>
  <c r="J25" i="3"/>
  <c r="J26" i="1"/>
  <c r="J7" i="1"/>
  <c r="J27" i="1"/>
  <c r="J8" i="1"/>
  <c r="J28" i="1"/>
  <c r="J11" i="1"/>
  <c r="J29" i="1"/>
  <c r="J12" i="1"/>
  <c r="J31" i="1"/>
  <c r="J14" i="1"/>
  <c r="J32" i="1"/>
  <c r="J33" i="1"/>
  <c r="J20" i="1"/>
  <c r="J35" i="1"/>
  <c r="J36" i="1"/>
  <c r="J23" i="1"/>
  <c r="J15" i="1"/>
  <c r="J17" i="1"/>
  <c r="J18" i="1"/>
  <c r="T9" i="1"/>
  <c r="S10" i="1"/>
  <c r="T10" i="1" s="1"/>
  <c r="F38" i="1"/>
  <c r="F37" i="1"/>
  <c r="F22" i="1"/>
  <c r="F21" i="1"/>
  <c r="F20" i="1"/>
  <c r="F19" i="1"/>
  <c r="F16" i="1"/>
  <c r="F15" i="1"/>
  <c r="F14" i="1"/>
  <c r="F13" i="1"/>
  <c r="F10" i="1"/>
  <c r="F9" i="1"/>
  <c r="F8" i="1"/>
  <c r="J5" i="3" l="1"/>
  <c r="J37" i="1"/>
  <c r="J34" i="1"/>
  <c r="J16" i="1"/>
  <c r="J13" i="1"/>
  <c r="J10" i="1"/>
  <c r="J5" i="1" l="1"/>
</calcChain>
</file>

<file path=xl/sharedStrings.xml><?xml version="1.0" encoding="utf-8"?>
<sst xmlns="http://schemas.openxmlformats.org/spreadsheetml/2006/main" count="485" uniqueCount="91">
  <si>
    <t>DANH SÁCH SẮP XẾP PHÒNG NGHỈ DU LỊCH
V/v Giải thưởng Dự án Công nghệ cao và Duy trì hệ thống chứng nhận</t>
  </si>
  <si>
    <t xml:space="preserve">Tổng kinh phí dự kiến: </t>
  </si>
  <si>
    <t>STT</t>
  </si>
  <si>
    <t>Người đại diện phòng</t>
  </si>
  <si>
    <t>Chức danh</t>
  </si>
  <si>
    <t>Họ và Tên</t>
  </si>
  <si>
    <t>Ngày tháng năm sinh</t>
  </si>
  <si>
    <t>Tuổi</t>
  </si>
  <si>
    <t>Chi phí dự kiến</t>
  </si>
  <si>
    <t>Loại vé tour</t>
  </si>
  <si>
    <t>Loại phí</t>
  </si>
  <si>
    <t>Loại phòng</t>
  </si>
  <si>
    <t>Huỳnh Ngọc Thạch</t>
  </si>
  <si>
    <t>Giám đốc Điều Hành</t>
  </si>
  <si>
    <t>DTR</t>
  </si>
  <si>
    <t>Phòng 2 giường đôi</t>
  </si>
  <si>
    <t>Tự trả</t>
  </si>
  <si>
    <t>Đái Trung Quân</t>
  </si>
  <si>
    <t>Giám đốc Kỹ thuật</t>
  </si>
  <si>
    <t>Phòng 1 giường đôi</t>
  </si>
  <si>
    <t>Phạm Ngọc Phương Phương</t>
  </si>
  <si>
    <t>Trợ Lý Giám Đốc</t>
  </si>
  <si>
    <t>Lê Minh Anh</t>
  </si>
  <si>
    <t>Lê Văn Ty</t>
  </si>
  <si>
    <t>Trưởng phòng Kỹ Thuật</t>
  </si>
  <si>
    <t>Trần Thị Kim Thanh</t>
  </si>
  <si>
    <t>Giám Đốc Thạnh Phát</t>
  </si>
  <si>
    <t>Võ Thế Tính</t>
  </si>
  <si>
    <t>Tư vấn</t>
  </si>
  <si>
    <t>Võ Thị Bích Phượng</t>
  </si>
  <si>
    <t>Lâm Hoàng Hảo</t>
  </si>
  <si>
    <t>Tổ trưởng Nghiên cứu &amp; Phát triển</t>
  </si>
  <si>
    <t>Đặng Lê Châu Đoan</t>
  </si>
  <si>
    <t>Phó Phòng Chất Lượng PET</t>
  </si>
  <si>
    <t>Đỗ Tấn Phát</t>
  </si>
  <si>
    <t>Nguyễn Diệu Hiền</t>
  </si>
  <si>
    <t>Chuyên viên Quản trị Hệ Thống</t>
  </si>
  <si>
    <t>Trương Thành Được</t>
  </si>
  <si>
    <t>Trương Nguyễn Khánh An</t>
  </si>
  <si>
    <t>Vé tour bé 5-11 tuổi</t>
  </si>
  <si>
    <t>Trương Nguyễn Tú Anh</t>
  </si>
  <si>
    <t>Phó Giám Đốc Chất Lượng</t>
  </si>
  <si>
    <t>Đặng Lê Tuyết Trinh</t>
  </si>
  <si>
    <t>Hoàng Thị Hiên</t>
  </si>
  <si>
    <t>Huỳnh Ngọc Minh Thành</t>
  </si>
  <si>
    <t>Huỳnh Ngọc Minh Đạt</t>
  </si>
  <si>
    <t>Phan Công Bình</t>
  </si>
  <si>
    <t>Nguyễn Thành Nam</t>
  </si>
  <si>
    <t>Lê Thanh Tâm</t>
  </si>
  <si>
    <t>Giá vé</t>
  </si>
  <si>
    <t>Người lớn</t>
  </si>
  <si>
    <t>Tour</t>
  </si>
  <si>
    <t>Máy bay</t>
  </si>
  <si>
    <t>Chi phí duyệt</t>
  </si>
  <si>
    <t>&gt;12</t>
  </si>
  <si>
    <t>&lt;2</t>
  </si>
  <si>
    <t>5-11</t>
  </si>
  <si>
    <t>2-5</t>
  </si>
  <si>
    <t>Nhóm tuổi</t>
  </si>
  <si>
    <t>Chuyển vé người lớn để có giường phụ</t>
  </si>
  <si>
    <t>Ngô Thị Nguyên Ngọc</t>
  </si>
  <si>
    <t>Đái Tú Anh</t>
  </si>
  <si>
    <t>Trần Chí Kiên</t>
  </si>
  <si>
    <t>Trần Đăng Phong</t>
  </si>
  <si>
    <t>Row Labels</t>
  </si>
  <si>
    <t>Grand Total</t>
  </si>
  <si>
    <t>Tổng</t>
  </si>
  <si>
    <t>Chi phí thực tế</t>
  </si>
  <si>
    <t>Loại vé</t>
  </si>
  <si>
    <t>Trẻ em 5-11 tuổi</t>
  </si>
  <si>
    <t>Trẻ em 2-5 tuổi</t>
  </si>
  <si>
    <t>Trẻ em &lt;2 tuổi</t>
  </si>
  <si>
    <t>Số phòng</t>
  </si>
  <si>
    <t>Số người</t>
  </si>
  <si>
    <t>Nguyễn Thị Mộng Thường</t>
  </si>
  <si>
    <t>Nguyễn Ngọc Phương Trinh</t>
  </si>
  <si>
    <t>Huỳnh Ngọc Thái Hòa</t>
  </si>
  <si>
    <t>Nguyễn Ngọc Bảo Trân</t>
  </si>
  <si>
    <t>Trần Thi Thu Ngà</t>
  </si>
  <si>
    <t>Ghi chú</t>
  </si>
  <si>
    <t>Mua vé tour cho bé 5-11 tuổi</t>
  </si>
  <si>
    <t>Phòng 2 giường đôi + extra</t>
  </si>
  <si>
    <t>Phòng family</t>
  </si>
  <si>
    <t>Bay 6-8</t>
  </si>
  <si>
    <t>Bay 13-15</t>
  </si>
  <si>
    <t>SGTourist</t>
  </si>
  <si>
    <t>LATourist</t>
  </si>
  <si>
    <t>Chi phí dự kiến SGTourist</t>
  </si>
  <si>
    <t>Chi phí dự kiến LATourist</t>
  </si>
  <si>
    <t>Tổng chi phí</t>
  </si>
  <si>
    <t>Ngân sách đề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</si>
</sst>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-* #.##0.00_-;\-* #.##0.00_-;_-* &quot;-&quot;??_-;_-@_-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2"/>
      <color theme="3" tint="-0.249977111117893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FF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118">
    <xf numFmtId="0" fontId="0" fillId="0" borderId="0" xfId="0"/>
    <xf numFmtId="165" fontId="0" fillId="0" borderId="0" xfId="1" applyNumberFormat="1" applyFont="1"/>
    <xf numFmtId="0" fontId="3" fillId="0" borderId="0" xfId="2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165" fontId="5" fillId="0" borderId="0" xfId="2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8" fillId="4" borderId="2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left" vertical="center" wrapText="1"/>
    </xf>
    <xf numFmtId="165" fontId="8" fillId="0" borderId="2" xfId="1" applyNumberFormat="1" applyFont="1" applyBorder="1" applyAlignment="1">
      <alignment horizontal="left" vertical="center" wrapText="1"/>
    </xf>
    <xf numFmtId="165" fontId="8" fillId="0" borderId="2" xfId="3" applyNumberFormat="1" applyFont="1" applyFill="1" applyBorder="1" applyAlignment="1">
      <alignment horizontal="right" vertical="center" wrapText="1"/>
    </xf>
    <xf numFmtId="165" fontId="0" fillId="0" borderId="0" xfId="0" applyNumberFormat="1"/>
    <xf numFmtId="14" fontId="8" fillId="0" borderId="2" xfId="2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0" fontId="0" fillId="0" borderId="2" xfId="0" applyBorder="1"/>
    <xf numFmtId="165" fontId="0" fillId="0" borderId="2" xfId="1" applyNumberFormat="1" applyFont="1" applyBorder="1"/>
    <xf numFmtId="0" fontId="0" fillId="0" borderId="2" xfId="0" applyBorder="1" applyAlignment="1">
      <alignment horizontal="center" vertical="center"/>
    </xf>
    <xf numFmtId="16" fontId="0" fillId="0" borderId="2" xfId="0" quotePrefix="1" applyNumberFormat="1" applyBorder="1"/>
    <xf numFmtId="0" fontId="0" fillId="0" borderId="2" xfId="0" quotePrefix="1" applyBorder="1"/>
    <xf numFmtId="165" fontId="8" fillId="0" borderId="2" xfId="1" quotePrefix="1" applyNumberFormat="1" applyFont="1" applyBorder="1" applyAlignment="1">
      <alignment horizontal="left" vertical="center" wrapText="1"/>
    </xf>
    <xf numFmtId="165" fontId="0" fillId="0" borderId="0" xfId="1" applyNumberFormat="1" applyFont="1" applyAlignment="1">
      <alignment horizontal="center"/>
    </xf>
    <xf numFmtId="165" fontId="8" fillId="0" borderId="2" xfId="1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8" fillId="5" borderId="2" xfId="1" applyNumberFormat="1" applyFont="1" applyFill="1" applyBorder="1" applyAlignment="1">
      <alignment horizontal="left" vertical="center" wrapText="1"/>
    </xf>
    <xf numFmtId="0" fontId="8" fillId="5" borderId="2" xfId="2" applyFont="1" applyFill="1" applyBorder="1" applyAlignment="1">
      <alignment horizontal="left" vertical="center" wrapText="1"/>
    </xf>
    <xf numFmtId="0" fontId="0" fillId="0" borderId="2" xfId="0" pivotButton="1" applyBorder="1"/>
    <xf numFmtId="0" fontId="0" fillId="0" borderId="2" xfId="0" applyBorder="1" applyAlignment="1">
      <alignment horizontal="left"/>
    </xf>
    <xf numFmtId="165" fontId="8" fillId="0" borderId="1" xfId="3" applyNumberFormat="1" applyFont="1" applyFill="1" applyBorder="1" applyAlignment="1">
      <alignment horizontal="right" vertical="center" wrapText="1"/>
    </xf>
    <xf numFmtId="165" fontId="8" fillId="0" borderId="4" xfId="3" applyNumberFormat="1" applyFont="1" applyFill="1" applyBorder="1" applyAlignment="1">
      <alignment horizontal="right" vertical="center" wrapText="1"/>
    </xf>
    <xf numFmtId="165" fontId="8" fillId="0" borderId="2" xfId="1" applyNumberFormat="1" applyFont="1" applyFill="1" applyBorder="1" applyAlignment="1">
      <alignment horizontal="left" vertical="center" wrapText="1"/>
    </xf>
    <xf numFmtId="165" fontId="9" fillId="0" borderId="2" xfId="3" applyNumberFormat="1" applyFont="1" applyFill="1" applyBorder="1" applyAlignment="1">
      <alignment horizontal="right" vertical="center" wrapText="1"/>
    </xf>
    <xf numFmtId="165" fontId="9" fillId="0" borderId="2" xfId="3" applyNumberFormat="1" applyFont="1" applyFill="1" applyBorder="1" applyAlignment="1">
      <alignment horizontal="left" vertical="center" wrapText="1"/>
    </xf>
    <xf numFmtId="165" fontId="8" fillId="0" borderId="2" xfId="3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4" xfId="2" applyFont="1" applyBorder="1" applyAlignment="1">
      <alignment vertical="center" wrapText="1"/>
    </xf>
    <xf numFmtId="165" fontId="8" fillId="0" borderId="2" xfId="3" applyNumberFormat="1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3" fillId="0" borderId="0" xfId="2" applyFont="1" applyAlignment="1">
      <alignment horizontal="center" vertical="center"/>
    </xf>
    <xf numFmtId="165" fontId="8" fillId="0" borderId="1" xfId="3" applyNumberFormat="1" applyFont="1" applyFill="1" applyBorder="1" applyAlignment="1">
      <alignment horizontal="left" vertical="center" wrapText="1"/>
    </xf>
    <xf numFmtId="165" fontId="3" fillId="0" borderId="0" xfId="2" applyNumberFormat="1" applyFont="1" applyAlignment="1">
      <alignment vertical="center"/>
    </xf>
    <xf numFmtId="165" fontId="9" fillId="0" borderId="1" xfId="3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 wrapText="1"/>
    </xf>
    <xf numFmtId="165" fontId="8" fillId="5" borderId="1" xfId="3" applyNumberFormat="1" applyFont="1" applyFill="1" applyBorder="1" applyAlignment="1">
      <alignment horizontal="center" vertical="center" wrapText="1"/>
    </xf>
    <xf numFmtId="165" fontId="8" fillId="5" borderId="3" xfId="3" applyNumberFormat="1" applyFont="1" applyFill="1" applyBorder="1" applyAlignment="1">
      <alignment horizontal="center" vertical="center" wrapText="1"/>
    </xf>
    <xf numFmtId="165" fontId="8" fillId="5" borderId="4" xfId="3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65" fontId="8" fillId="0" borderId="1" xfId="3" applyNumberFormat="1" applyFont="1" applyFill="1" applyBorder="1" applyAlignment="1">
      <alignment horizontal="center" vertical="center" wrapText="1"/>
    </xf>
    <xf numFmtId="165" fontId="8" fillId="0" borderId="4" xfId="3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165" fontId="10" fillId="0" borderId="0" xfId="1" applyNumberFormat="1" applyFont="1" applyAlignment="1">
      <alignment horizontal="center"/>
    </xf>
    <xf numFmtId="165" fontId="10" fillId="0" borderId="0" xfId="1" applyNumberFormat="1" applyFont="1"/>
    <xf numFmtId="0" fontId="11" fillId="3" borderId="0" xfId="0" applyFont="1" applyFill="1"/>
    <xf numFmtId="0" fontId="11" fillId="2" borderId="0" xfId="0" applyFont="1" applyFill="1"/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165" fontId="10" fillId="0" borderId="2" xfId="1" applyNumberFormat="1" applyFont="1" applyBorder="1" applyAlignment="1">
      <alignment horizontal="left" vertical="center"/>
    </xf>
    <xf numFmtId="167" fontId="10" fillId="0" borderId="0" xfId="1" applyNumberFormat="1" applyFont="1" applyAlignment="1">
      <alignment vertical="center"/>
    </xf>
    <xf numFmtId="167" fontId="10" fillId="0" borderId="0" xfId="0" applyNumberFormat="1" applyFont="1" applyAlignment="1">
      <alignment horizontal="left" vertical="center"/>
    </xf>
    <xf numFmtId="16" fontId="12" fillId="0" borderId="2" xfId="0" quotePrefix="1" applyNumberFormat="1" applyFont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165" fontId="10" fillId="0" borderId="2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7" fillId="3" borderId="0" xfId="2" applyFont="1" applyFill="1" applyBorder="1" applyAlignment="1">
      <alignment horizontal="center" vertical="center" wrapText="1"/>
    </xf>
    <xf numFmtId="0" fontId="6" fillId="2" borderId="0" xfId="2" applyFont="1" applyFill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5" fontId="10" fillId="0" borderId="1" xfId="1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5" fontId="12" fillId="0" borderId="2" xfId="1" applyNumberFormat="1" applyFont="1" applyBorder="1" applyAlignment="1">
      <alignment vertical="center"/>
    </xf>
    <xf numFmtId="165" fontId="12" fillId="0" borderId="2" xfId="1" applyNumberFormat="1" applyFont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5" fontId="13" fillId="3" borderId="2" xfId="1" applyNumberFormat="1" applyFont="1" applyFill="1" applyBorder="1" applyAlignment="1">
      <alignment vertical="center"/>
    </xf>
    <xf numFmtId="165" fontId="10" fillId="3" borderId="2" xfId="1" applyNumberFormat="1" applyFont="1" applyFill="1" applyBorder="1" applyAlignment="1">
      <alignment vertical="center"/>
    </xf>
    <xf numFmtId="165" fontId="10" fillId="3" borderId="2" xfId="1" applyNumberFormat="1" applyFont="1" applyFill="1" applyBorder="1" applyAlignment="1">
      <alignment horizontal="left" vertical="center"/>
    </xf>
  </cellXfs>
  <cellStyles count="4">
    <cellStyle name="Comma" xfId="1" builtinId="3"/>
    <cellStyle name="Comma 2" xfId="3" xr:uid="{772D6297-4BD9-47DC-A5D0-7DB1F14C19F8}"/>
    <cellStyle name="Normal" xfId="0" builtinId="0"/>
    <cellStyle name="Normal 2" xfId="2" xr:uid="{5F15E9E3-1397-41A7-92C6-DE46DF3329A2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86A524F8-A67A-4D62-8091-C2EFE4D93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43BD5357-9A36-4E47-9BCD-C6587A96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146050</xdr:rowOff>
    </xdr:from>
    <xdr:to>
      <xdr:col>1</xdr:col>
      <xdr:colOff>977348</xdr:colOff>
      <xdr:row>1</xdr:row>
      <xdr:rowOff>269212</xdr:rowOff>
    </xdr:to>
    <xdr:pic>
      <xdr:nvPicPr>
        <xdr:cNvPr id="2" name="Picture 1" descr="A blue and grey logo&#10;&#10;Description automatically generated">
          <a:extLst>
            <a:ext uri="{FF2B5EF4-FFF2-40B4-BE49-F238E27FC236}">
              <a16:creationId xmlns:a16="http://schemas.microsoft.com/office/drawing/2014/main" id="{C6E87A93-EC93-45F0-AA1D-E7FF6F0B3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6050"/>
          <a:ext cx="1364698" cy="307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erver-03:88/BaoCaoBI/NHANSU/tongquat/tongqu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BI%20Nh&#226;n%20s&#7921;\BC%20Nhan%20su\Bao%20cao%20so%20luong%20nhan%20su%20-%20File%20tong%20hop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hanhtdh\Local%20Settings\Temporary%20Internet%20Files\Content.Outlook\0U0AAGHQ\Tong%20hop%20H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data1"/>
      <sheetName val="data2"/>
      <sheetName val="disp2"/>
      <sheetName val="ketoa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 NHAN SU HANG THANG (2)"/>
      <sheetName val="BC NHAN SU HANG THANG"/>
      <sheetName val="BI NS"/>
      <sheetName val="NS chot 31_12_tu_2010 de 2014"/>
      <sheetName val="Phan mem"/>
      <sheetName val="Nhan su qua cac nam 2002_201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M1"/>
      <sheetName val="HCM2"/>
      <sheetName val="HCM3"/>
      <sheetName val="HCM4"/>
    </sheetNames>
    <sheetDataSet>
      <sheetData sheetId="0" refreshError="1"/>
      <sheetData sheetId="1" refreshError="1"/>
      <sheetData sheetId="2">
        <row r="49">
          <cell r="C49" t="str">
            <v>High</v>
          </cell>
        </row>
        <row r="50">
          <cell r="C50" t="str">
            <v>Medium</v>
          </cell>
        </row>
        <row r="51">
          <cell r="C51" t="str">
            <v>Low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ương, Phạm Ngọc Phương" refreshedDate="45351.463822569443" createdVersion="8" refreshedVersion="8" minRefreshableVersion="3" recordCount="32" xr:uid="{6ABF7B9D-F70A-4099-9314-A8CB29F055C0}">
  <cacheSource type="worksheet">
    <worksheetSource ref="A6:N38" sheet="DS Phong"/>
  </cacheSource>
  <cacheFields count="14">
    <cacheField name="STT" numFmtId="0">
      <sharedItems containsSemiMixedTypes="0" containsString="0" containsNumber="1" containsInteger="1" minValue="1" maxValue="32"/>
    </cacheField>
    <cacheField name="Người đại diện phòng" numFmtId="0">
      <sharedItems containsBlank="1"/>
    </cacheField>
    <cacheField name="Chức danh" numFmtId="0">
      <sharedItems containsBlank="1"/>
    </cacheField>
    <cacheField name="Họ và Tên" numFmtId="0">
      <sharedItems containsBlank="1" containsMixedTypes="1" containsNumber="1" containsInteger="1" minValue="1" maxValue="2"/>
    </cacheField>
    <cacheField name="Ngày tháng năm sinh" numFmtId="0">
      <sharedItems containsNonDate="0" containsDate="1" containsString="0" containsBlank="1" minDate="2012-08-08T00:00:00" maxDate="2023-06-13T00:00:00"/>
    </cacheField>
    <cacheField name="Tuổi" numFmtId="0">
      <sharedItems containsBlank="1" containsMixedTypes="1" containsNumber="1" containsInteger="1" minValue="1" maxValue="12"/>
    </cacheField>
    <cacheField name="Nhóm tuổi" numFmtId="165">
      <sharedItems containsBlank="1" containsMixedTypes="1" containsNumber="1" containsInteger="1" minValue="29" maxValue="29" count="6">
        <s v="&gt;12"/>
        <s v="5-11"/>
        <s v="2-5"/>
        <m/>
        <s v="&lt;2"/>
        <n v="29" u="1"/>
      </sharedItems>
    </cacheField>
    <cacheField name="Loại vé" numFmtId="165">
      <sharedItems count="8">
        <s v="Người lớn"/>
        <s v="Trẻ em 5-11 tuổi"/>
        <s v="Trẻ em 2-5 tuổi"/>
        <s v=""/>
        <s v="Trẻ em &lt;2 tuổi"/>
        <s v="Trẻ em 5-11" u="1"/>
        <s v="Trẻ em 2-5" u="1"/>
        <s v="Trẻ em &lt;2" u="1"/>
      </sharedItems>
    </cacheField>
    <cacheField name="Chi phí duyệt" numFmtId="165">
      <sharedItems containsSemiMixedTypes="0" containsString="0" containsNumber="1" containsInteger="1" minValue="0" maxValue="8600000"/>
    </cacheField>
    <cacheField name="Chi phí dự kiến" numFmtId="165">
      <sharedItems containsSemiMixedTypes="0" containsString="0" containsNumber="1" containsInteger="1" minValue="0" maxValue="8540000"/>
    </cacheField>
    <cacheField name="Chi phí thực tế" numFmtId="165">
      <sharedItems containsNonDate="0" containsString="0" containsBlank="1"/>
    </cacheField>
    <cacheField name="Loại vé tour" numFmtId="165">
      <sharedItems containsBlank="1"/>
    </cacheField>
    <cacheField name="Loại phí" numFmtId="165">
      <sharedItems/>
    </cacheField>
    <cacheField name="Loại phòng" numFmtId="0">
      <sharedItems containsBlank="1" count="3">
        <s v="Phòng 2 giường đôi"/>
        <m/>
        <s v="Phòng 1 giường đô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ương, Phạm Ngọc Phương" refreshedDate="45351.464061921295" createdVersion="8" refreshedVersion="8" minRefreshableVersion="3" recordCount="31" xr:uid="{26700110-3F38-4063-9C9E-513AC618AE9F}">
  <cacheSource type="worksheet">
    <worksheetSource ref="A6:O37" sheet="DS Phong (3)"/>
  </cacheSource>
  <cacheFields count="15">
    <cacheField name="STT" numFmtId="0">
      <sharedItems containsSemiMixedTypes="0" containsString="0" containsNumber="1" containsInteger="1" minValue="1" maxValue="31"/>
    </cacheField>
    <cacheField name="Người đại diện phòng" numFmtId="0">
      <sharedItems containsBlank="1"/>
    </cacheField>
    <cacheField name="Chức danh" numFmtId="0">
      <sharedItems containsBlank="1"/>
    </cacheField>
    <cacheField name="Họ và Tên" numFmtId="0">
      <sharedItems/>
    </cacheField>
    <cacheField name="Ngày tháng năm sinh" numFmtId="0">
      <sharedItems containsNonDate="0" containsDate="1" containsString="0" containsBlank="1" minDate="2012-08-08T00:00:00" maxDate="2023-06-13T00:00:00"/>
    </cacheField>
    <cacheField name="Tuổi" numFmtId="0">
      <sharedItems containsBlank="1" containsMixedTypes="1" containsNumber="1" containsInteger="1" minValue="1" maxValue="12"/>
    </cacheField>
    <cacheField name="Nhóm tuổi" numFmtId="165">
      <sharedItems count="4">
        <s v="&gt;12"/>
        <s v="5-11"/>
        <s v="2-5"/>
        <s v="&lt;2"/>
      </sharedItems>
    </cacheField>
    <cacheField name="Loại vé" numFmtId="165">
      <sharedItems/>
    </cacheField>
    <cacheField name="Chi phí duyệt" numFmtId="165">
      <sharedItems containsSemiMixedTypes="0" containsString="0" containsNumber="1" containsInteger="1" minValue="0" maxValue="8600000"/>
    </cacheField>
    <cacheField name="Chi phí dự kiến" numFmtId="165">
      <sharedItems containsSemiMixedTypes="0" containsString="0" containsNumber="1" containsInteger="1" minValue="399000" maxValue="8540000"/>
    </cacheField>
    <cacheField name="Ghi chú" numFmtId="165">
      <sharedItems containsBlank="1"/>
    </cacheField>
    <cacheField name="Chi phí thực tế" numFmtId="165">
      <sharedItems containsNonDate="0" containsString="0" containsBlank="1"/>
    </cacheField>
    <cacheField name="Loại phí" numFmtId="165">
      <sharedItems/>
    </cacheField>
    <cacheField name="Mã số phòng" numFmtId="165">
      <sharedItems containsNonDate="0" containsString="0" containsBlank="1"/>
    </cacheField>
    <cacheField name="Loại phòng" numFmtId="0">
      <sharedItems containsBlank="1" count="3">
        <s v="Phòng 2 giường đôi"/>
        <m/>
        <s v="Phòng 1 giường đô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s v="Huỳnh Ngọc Thạch"/>
    <s v="Giám đốc Điều Hành"/>
    <s v="Huỳnh Ngọc Thạch"/>
    <m/>
    <m/>
    <x v="0"/>
    <x v="0"/>
    <n v="8600000"/>
    <n v="8540000"/>
    <m/>
    <m/>
    <s v="DTR"/>
    <x v="0"/>
  </r>
  <r>
    <n v="2"/>
    <m/>
    <m/>
    <s v="Huỳnh Ngọc Thái Hòa"/>
    <m/>
    <s v=""/>
    <x v="0"/>
    <x v="0"/>
    <n v="8600000"/>
    <n v="8540000"/>
    <m/>
    <m/>
    <s v="DTR"/>
    <x v="1"/>
  </r>
  <r>
    <n v="3"/>
    <m/>
    <m/>
    <s v="Huỳnh Ngọc Minh Thành"/>
    <d v="2015-01-01T00:00:00"/>
    <n v="9"/>
    <x v="1"/>
    <x v="1"/>
    <n v="5800000"/>
    <n v="8540000"/>
    <m/>
    <s v="Chuyển vé người lớn để có giường phụ"/>
    <s v="DTR"/>
    <x v="1"/>
  </r>
  <r>
    <n v="4"/>
    <m/>
    <m/>
    <s v="Huỳnh Ngọc Minh Đạt"/>
    <d v="2017-01-01T00:00:00"/>
    <n v="7"/>
    <x v="1"/>
    <x v="1"/>
    <n v="0"/>
    <n v="5866000"/>
    <m/>
    <m/>
    <s v="Tự trả"/>
    <x v="1"/>
  </r>
  <r>
    <n v="5"/>
    <s v="Đái Trung Quân"/>
    <s v="Giám đốc Kỹ thuật"/>
    <s v="Đái Trung Quân"/>
    <m/>
    <m/>
    <x v="0"/>
    <x v="0"/>
    <n v="8600000"/>
    <n v="8540000"/>
    <m/>
    <m/>
    <s v="DTR"/>
    <x v="2"/>
  </r>
  <r>
    <n v="6"/>
    <m/>
    <m/>
    <s v="Ngô Thị Nguyên Ngọc"/>
    <m/>
    <m/>
    <x v="0"/>
    <x v="0"/>
    <n v="8600000"/>
    <n v="8540000"/>
    <m/>
    <m/>
    <s v="DTR"/>
    <x v="1"/>
  </r>
  <r>
    <n v="7"/>
    <m/>
    <m/>
    <s v="Đái Tú Anh"/>
    <d v="2015-06-30T00:00:00"/>
    <n v="9"/>
    <x v="1"/>
    <x v="1"/>
    <n v="5800000"/>
    <n v="5866000"/>
    <m/>
    <m/>
    <s v="DTR"/>
    <x v="1"/>
  </r>
  <r>
    <n v="8"/>
    <s v="Phạm Ngọc Phương Phương"/>
    <s v="Trợ Lý Giám Đốc"/>
    <s v="Phạm Ngọc Phương Phương"/>
    <m/>
    <s v=""/>
    <x v="0"/>
    <x v="0"/>
    <n v="8600000"/>
    <n v="8540000"/>
    <m/>
    <m/>
    <s v="DTR"/>
    <x v="2"/>
  </r>
  <r>
    <n v="9"/>
    <m/>
    <m/>
    <s v="Lê Thanh Tâm"/>
    <m/>
    <s v=""/>
    <x v="0"/>
    <x v="0"/>
    <n v="8600000"/>
    <n v="8540000"/>
    <m/>
    <m/>
    <s v="DTR"/>
    <x v="1"/>
  </r>
  <r>
    <n v="10"/>
    <m/>
    <m/>
    <s v="Lê Minh Anh"/>
    <d v="2021-09-28T00:00:00"/>
    <n v="3"/>
    <x v="2"/>
    <x v="2"/>
    <n v="5800000"/>
    <n v="3591000"/>
    <m/>
    <s v="Vé tour bé 5-11 tuổi"/>
    <s v="DTR"/>
    <x v="1"/>
  </r>
  <r>
    <n v="11"/>
    <s v="Lê Văn Ty"/>
    <s v="Trưởng phòng Kỹ Thuật"/>
    <s v="Lê Văn Ty"/>
    <m/>
    <m/>
    <x v="0"/>
    <x v="0"/>
    <n v="8600000"/>
    <n v="8540000"/>
    <m/>
    <m/>
    <s v="DTR"/>
    <x v="2"/>
  </r>
  <r>
    <n v="12"/>
    <m/>
    <m/>
    <s v="Hoàng Thị Hiên"/>
    <m/>
    <m/>
    <x v="0"/>
    <x v="0"/>
    <n v="8600000"/>
    <n v="8540000"/>
    <m/>
    <m/>
    <s v="DTR"/>
    <x v="1"/>
  </r>
  <r>
    <n v="13"/>
    <m/>
    <m/>
    <m/>
    <m/>
    <s v=""/>
    <x v="3"/>
    <x v="3"/>
    <n v="5800000"/>
    <n v="0"/>
    <m/>
    <m/>
    <s v="DTR"/>
    <x v="1"/>
  </r>
  <r>
    <n v="14"/>
    <s v="Trần Thị Kim Thanh"/>
    <s v="Giám Đốc Thạnh Phát"/>
    <s v="Trần Thị Kim Thanh"/>
    <m/>
    <s v=""/>
    <x v="0"/>
    <x v="0"/>
    <n v="8600000"/>
    <n v="8540000"/>
    <m/>
    <m/>
    <s v="DTR"/>
    <x v="2"/>
  </r>
  <r>
    <n v="15"/>
    <m/>
    <m/>
    <n v="1"/>
    <m/>
    <s v=""/>
    <x v="0"/>
    <x v="0"/>
    <n v="8600000"/>
    <n v="8540000"/>
    <m/>
    <m/>
    <s v="DTR"/>
    <x v="1"/>
  </r>
  <r>
    <n v="16"/>
    <m/>
    <m/>
    <n v="2"/>
    <m/>
    <s v=""/>
    <x v="0"/>
    <x v="0"/>
    <n v="5800000"/>
    <n v="8540000"/>
    <m/>
    <m/>
    <s v="DTR"/>
    <x v="1"/>
  </r>
  <r>
    <n v="17"/>
    <s v="Võ Thế Tính"/>
    <s v="Tư vấn"/>
    <s v="Võ Thế Tính"/>
    <m/>
    <m/>
    <x v="0"/>
    <x v="0"/>
    <n v="8600000"/>
    <n v="8540000"/>
    <m/>
    <m/>
    <s v="DTR"/>
    <x v="2"/>
  </r>
  <r>
    <n v="18"/>
    <m/>
    <m/>
    <s v="Nguyễn Thị Mộng Thường"/>
    <m/>
    <m/>
    <x v="0"/>
    <x v="0"/>
    <n v="8600000"/>
    <n v="8540000"/>
    <m/>
    <m/>
    <s v="DTR"/>
    <x v="1"/>
  </r>
  <r>
    <n v="19"/>
    <m/>
    <m/>
    <s v="Nguyễn Ngọc Phương Trinh"/>
    <m/>
    <m/>
    <x v="0"/>
    <x v="0"/>
    <n v="5800000"/>
    <n v="8540000"/>
    <m/>
    <m/>
    <s v="DTR"/>
    <x v="1"/>
  </r>
  <r>
    <n v="20"/>
    <s v="Võ Thị Bích Phượng"/>
    <s v="Phó Giám Đốc Chất Lượng"/>
    <s v="Võ Thị Bích Phượng"/>
    <m/>
    <m/>
    <x v="0"/>
    <x v="0"/>
    <n v="8600000"/>
    <n v="8540000"/>
    <m/>
    <m/>
    <s v="DTR"/>
    <x v="2"/>
  </r>
  <r>
    <n v="21"/>
    <m/>
    <m/>
    <s v="Trần Chí Kiên"/>
    <m/>
    <m/>
    <x v="0"/>
    <x v="0"/>
    <n v="8600000"/>
    <n v="8540000"/>
    <m/>
    <m/>
    <s v="DTR"/>
    <x v="1"/>
  </r>
  <r>
    <n v="22"/>
    <m/>
    <m/>
    <s v="Trần Đăng Phong"/>
    <d v="2012-08-08T00:00:00"/>
    <n v="12"/>
    <x v="0"/>
    <x v="0"/>
    <n v="5800000"/>
    <n v="8540000"/>
    <m/>
    <m/>
    <s v="DTR"/>
    <x v="1"/>
  </r>
  <r>
    <n v="23"/>
    <s v="Lâm Hoàng Hảo"/>
    <s v="Tổ trưởng Nghiên cứu &amp; Phát triển"/>
    <s v="Lâm Hoàng Hảo"/>
    <m/>
    <m/>
    <x v="0"/>
    <x v="0"/>
    <n v="8600000"/>
    <n v="8540000"/>
    <m/>
    <m/>
    <s v="DTR"/>
    <x v="2"/>
  </r>
  <r>
    <n v="24"/>
    <m/>
    <m/>
    <s v="Phan Công Bình"/>
    <m/>
    <m/>
    <x v="0"/>
    <x v="0"/>
    <n v="8600000"/>
    <n v="8540000"/>
    <m/>
    <m/>
    <s v="DTR"/>
    <x v="1"/>
  </r>
  <r>
    <n v="25"/>
    <m/>
    <m/>
    <s v="Nguyễn Thành Nam"/>
    <m/>
    <m/>
    <x v="0"/>
    <x v="0"/>
    <n v="5800000"/>
    <n v="8540000"/>
    <m/>
    <m/>
    <s v="DTR"/>
    <x v="1"/>
  </r>
  <r>
    <n v="26"/>
    <s v="Đặng Lê Châu Đoan"/>
    <s v="Phó Phòng Chất Lượng PET"/>
    <s v="Đặng Lê Châu Đoan"/>
    <m/>
    <m/>
    <x v="0"/>
    <x v="0"/>
    <n v="8600000"/>
    <n v="8540000"/>
    <m/>
    <m/>
    <s v="DTR"/>
    <x v="2"/>
  </r>
  <r>
    <n v="27"/>
    <m/>
    <m/>
    <s v="Đặng Lê Tuyết Trinh"/>
    <m/>
    <m/>
    <x v="0"/>
    <x v="0"/>
    <n v="8600000"/>
    <n v="8540000"/>
    <m/>
    <m/>
    <s v="DTR"/>
    <x v="1"/>
  </r>
  <r>
    <n v="28"/>
    <m/>
    <m/>
    <s v="Đỗ Tấn Phát"/>
    <d v="2021-03-23T00:00:00"/>
    <n v="3"/>
    <x v="2"/>
    <x v="2"/>
    <n v="5800000"/>
    <n v="3591000"/>
    <m/>
    <m/>
    <s v="DTR"/>
    <x v="1"/>
  </r>
  <r>
    <n v="29"/>
    <s v="Nguyễn Diệu Hiền"/>
    <s v="Chuyên viên Quản trị Hệ Thống"/>
    <s v="Nguyễn Diệu Hiền"/>
    <m/>
    <m/>
    <x v="0"/>
    <x v="0"/>
    <n v="8600000"/>
    <n v="8540000"/>
    <m/>
    <m/>
    <s v="DTR"/>
    <x v="0"/>
  </r>
  <r>
    <n v="30"/>
    <m/>
    <m/>
    <s v="Trương Thành Được"/>
    <m/>
    <m/>
    <x v="0"/>
    <x v="0"/>
    <n v="8600000"/>
    <n v="8540000"/>
    <m/>
    <m/>
    <s v="DTR"/>
    <x v="1"/>
  </r>
  <r>
    <n v="31"/>
    <m/>
    <m/>
    <s v="Trương Nguyễn Khánh An"/>
    <d v="2020-09-21T00:00:00"/>
    <n v="4"/>
    <x v="2"/>
    <x v="2"/>
    <n v="5800000"/>
    <n v="3591000"/>
    <m/>
    <s v="Vé tour bé 5-11 tuổi"/>
    <s v="DTR"/>
    <x v="1"/>
  </r>
  <r>
    <n v="32"/>
    <m/>
    <m/>
    <s v="Trương Nguyễn Tú Anh"/>
    <d v="2023-06-12T00:00:00"/>
    <n v="1"/>
    <x v="4"/>
    <x v="4"/>
    <n v="0"/>
    <n v="399000"/>
    <m/>
    <m/>
    <s v="DTR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s v="Huỳnh Ngọc Thạch"/>
    <s v="Giám đốc Điều Hành"/>
    <s v="Huỳnh Ngọc Thạch"/>
    <m/>
    <m/>
    <x v="0"/>
    <s v="Người lớn"/>
    <n v="8600000"/>
    <n v="8540000"/>
    <s v="Phòng lớn cho 4 người"/>
    <m/>
    <s v="DTR"/>
    <m/>
    <x v="0"/>
  </r>
  <r>
    <n v="2"/>
    <m/>
    <m/>
    <s v="Huỳnh Ngọc Thái Hòa"/>
    <m/>
    <s v=""/>
    <x v="0"/>
    <s v="Người lớn"/>
    <n v="8600000"/>
    <n v="8540000"/>
    <m/>
    <m/>
    <s v="DTR"/>
    <m/>
    <x v="1"/>
  </r>
  <r>
    <n v="3"/>
    <m/>
    <m/>
    <s v="Huỳnh Ngọc Minh Thành"/>
    <d v="2015-01-01T00:00:00"/>
    <n v="9"/>
    <x v="1"/>
    <s v="Trẻ em 5-11 tuổi"/>
    <n v="5800000"/>
    <n v="8540000"/>
    <m/>
    <m/>
    <s v="DTR"/>
    <m/>
    <x v="1"/>
  </r>
  <r>
    <n v="4"/>
    <m/>
    <m/>
    <s v="Huỳnh Ngọc Minh Đạt"/>
    <d v="2017-01-01T00:00:00"/>
    <n v="7"/>
    <x v="1"/>
    <s v="Trẻ em 5-11 tuổi"/>
    <n v="0"/>
    <n v="5866000"/>
    <m/>
    <m/>
    <s v="Tự trả"/>
    <m/>
    <x v="1"/>
  </r>
  <r>
    <n v="5"/>
    <s v="Đái Trung Quân"/>
    <s v="Giám đốc Kỹ thuật"/>
    <s v="Đái Trung Quân"/>
    <m/>
    <m/>
    <x v="0"/>
    <s v="Người lớn"/>
    <n v="8600000"/>
    <n v="8540000"/>
    <m/>
    <m/>
    <s v="DTR"/>
    <m/>
    <x v="2"/>
  </r>
  <r>
    <n v="6"/>
    <m/>
    <m/>
    <s v="Ngô Thị Nguyên Ngọc"/>
    <m/>
    <m/>
    <x v="0"/>
    <s v="Người lớn"/>
    <n v="8600000"/>
    <n v="8540000"/>
    <m/>
    <m/>
    <s v="DTR"/>
    <m/>
    <x v="1"/>
  </r>
  <r>
    <n v="7"/>
    <m/>
    <m/>
    <s v="Đái Tú Anh"/>
    <d v="2015-06-30T00:00:00"/>
    <n v="9"/>
    <x v="1"/>
    <s v="Trẻ em 5-11 tuổi"/>
    <n v="5800000"/>
    <n v="5866000"/>
    <m/>
    <m/>
    <s v="DTR"/>
    <m/>
    <x v="1"/>
  </r>
  <r>
    <n v="8"/>
    <s v="Phạm Ngọc Phương Phương"/>
    <s v="Trợ Lý Giám Đốc"/>
    <s v="Phạm Ngọc Phương Phương"/>
    <m/>
    <s v=""/>
    <x v="0"/>
    <s v="Người lớn"/>
    <n v="8600000"/>
    <n v="8540000"/>
    <m/>
    <m/>
    <s v="DTR"/>
    <m/>
    <x v="2"/>
  </r>
  <r>
    <n v="9"/>
    <m/>
    <m/>
    <s v="Lê Thanh Tâm"/>
    <m/>
    <s v=""/>
    <x v="0"/>
    <s v="Người lớn"/>
    <n v="8600000"/>
    <n v="8540000"/>
    <m/>
    <m/>
    <s v="DTR"/>
    <m/>
    <x v="1"/>
  </r>
  <r>
    <n v="10"/>
    <m/>
    <m/>
    <s v="Lê Minh Anh"/>
    <d v="2021-09-28T00:00:00"/>
    <n v="3"/>
    <x v="2"/>
    <s v="Trẻ em 2-5 tuổi"/>
    <n v="5800000"/>
    <n v="5866000"/>
    <s v="Mua vé tour cho bé 5-11 tuổi"/>
    <m/>
    <s v="DTR"/>
    <m/>
    <x v="1"/>
  </r>
  <r>
    <n v="11"/>
    <s v="Lê Văn Ty"/>
    <s v="Trưởng phòng Kỹ Thuật"/>
    <s v="Lê Văn Ty"/>
    <m/>
    <m/>
    <x v="0"/>
    <s v="Người lớn"/>
    <n v="8600000"/>
    <n v="8540000"/>
    <m/>
    <m/>
    <s v="DTR"/>
    <m/>
    <x v="2"/>
  </r>
  <r>
    <n v="12"/>
    <m/>
    <m/>
    <s v="Hoàng Thị Hiên"/>
    <m/>
    <m/>
    <x v="0"/>
    <s v="Người lớn"/>
    <n v="8600000"/>
    <n v="8540000"/>
    <m/>
    <m/>
    <s v="DTR"/>
    <m/>
    <x v="1"/>
  </r>
  <r>
    <n v="13"/>
    <s v="Trần Thị Kim Thanh"/>
    <s v="Giám Đốc Thạnh Phát"/>
    <s v="Trần Thị Kim Thanh"/>
    <m/>
    <s v=""/>
    <x v="0"/>
    <s v="Người lớn"/>
    <n v="8600000"/>
    <n v="8540000"/>
    <s v="Phòng lớn cho 4 người"/>
    <m/>
    <s v="DTR"/>
    <m/>
    <x v="0"/>
  </r>
  <r>
    <n v="14"/>
    <m/>
    <m/>
    <s v="Nguyễn Ngọc Bảo Trân"/>
    <m/>
    <s v=""/>
    <x v="0"/>
    <s v="Người lớn"/>
    <n v="8600000"/>
    <n v="8540000"/>
    <m/>
    <m/>
    <s v="DTR"/>
    <m/>
    <x v="1"/>
  </r>
  <r>
    <n v="15"/>
    <m/>
    <m/>
    <s v="Trần Thi Thu Ngà"/>
    <m/>
    <s v=""/>
    <x v="0"/>
    <s v="Người lớn"/>
    <n v="5800000"/>
    <n v="8540000"/>
    <m/>
    <m/>
    <s v="DTR"/>
    <m/>
    <x v="1"/>
  </r>
  <r>
    <n v="16"/>
    <s v="Lâm Hoàng Hảo"/>
    <s v="Tư vấn"/>
    <s v="Võ Thế Tính"/>
    <m/>
    <m/>
    <x v="0"/>
    <s v="Người lớn"/>
    <n v="8600000"/>
    <n v="8540000"/>
    <s v="Phòng lớn cho 4 người"/>
    <m/>
    <s v="DTR"/>
    <m/>
    <x v="0"/>
  </r>
  <r>
    <n v="17"/>
    <m/>
    <m/>
    <s v="Lâm Hoàng Hảo"/>
    <m/>
    <m/>
    <x v="0"/>
    <s v="Người lớn"/>
    <n v="8600000"/>
    <n v="8540000"/>
    <m/>
    <m/>
    <s v="DTR"/>
    <m/>
    <x v="1"/>
  </r>
  <r>
    <n v="18"/>
    <m/>
    <s v="Tổ trưởng Nghiên cứu &amp; Phát triển"/>
    <s v="Phan Công Bình"/>
    <m/>
    <m/>
    <x v="0"/>
    <s v="Người lớn"/>
    <n v="8600000"/>
    <n v="8540000"/>
    <m/>
    <m/>
    <s v="DTR"/>
    <m/>
    <x v="1"/>
  </r>
  <r>
    <n v="19"/>
    <m/>
    <m/>
    <s v="Nguyễn Thành Nam"/>
    <m/>
    <m/>
    <x v="0"/>
    <s v="Người lớn"/>
    <n v="5800000"/>
    <n v="8540000"/>
    <m/>
    <m/>
    <s v="DTR"/>
    <m/>
    <x v="1"/>
  </r>
  <r>
    <n v="20"/>
    <s v="Nguyễn Thị Mộng Thường"/>
    <m/>
    <s v="Nguyễn Thị Mộng Thường"/>
    <m/>
    <m/>
    <x v="0"/>
    <s v="Người lớn"/>
    <n v="8600000"/>
    <n v="8540000"/>
    <m/>
    <m/>
    <s v="DTR"/>
    <m/>
    <x v="2"/>
  </r>
  <r>
    <n v="21"/>
    <m/>
    <m/>
    <s v="Nguyễn Ngọc Phương Trinh"/>
    <m/>
    <m/>
    <x v="0"/>
    <s v="Người lớn"/>
    <n v="5800000"/>
    <n v="8540000"/>
    <m/>
    <m/>
    <s v="DTR"/>
    <m/>
    <x v="1"/>
  </r>
  <r>
    <n v="22"/>
    <s v="Võ Thị Bích Phượng"/>
    <s v="Phó Giám Đốc Chất Lượng"/>
    <s v="Võ Thị Bích Phượng"/>
    <m/>
    <m/>
    <x v="0"/>
    <s v="Người lớn"/>
    <n v="8600000"/>
    <n v="8540000"/>
    <m/>
    <m/>
    <s v="DTR"/>
    <m/>
    <x v="2"/>
  </r>
  <r>
    <n v="23"/>
    <m/>
    <m/>
    <s v="Trần Chí Kiên"/>
    <m/>
    <m/>
    <x v="0"/>
    <s v="Người lớn"/>
    <n v="8600000"/>
    <n v="8540000"/>
    <m/>
    <m/>
    <s v="DTR"/>
    <m/>
    <x v="1"/>
  </r>
  <r>
    <n v="24"/>
    <m/>
    <m/>
    <s v="Trần Đăng Phong"/>
    <d v="2012-08-08T00:00:00"/>
    <n v="12"/>
    <x v="0"/>
    <s v="Người lớn"/>
    <n v="5800000"/>
    <n v="8540000"/>
    <m/>
    <m/>
    <s v="DTR"/>
    <m/>
    <x v="1"/>
  </r>
  <r>
    <n v="25"/>
    <s v="Đặng Lê Châu Đoan"/>
    <s v="Phó Phòng Chất Lượng PET"/>
    <s v="Đặng Lê Châu Đoan"/>
    <m/>
    <m/>
    <x v="0"/>
    <s v="Người lớn"/>
    <n v="8600000"/>
    <n v="8540000"/>
    <m/>
    <m/>
    <s v="DTR"/>
    <m/>
    <x v="2"/>
  </r>
  <r>
    <n v="26"/>
    <m/>
    <m/>
    <s v="Đặng Lê Tuyết Trinh"/>
    <m/>
    <m/>
    <x v="0"/>
    <s v="Người lớn"/>
    <n v="8600000"/>
    <n v="8540000"/>
    <m/>
    <m/>
    <s v="DTR"/>
    <m/>
    <x v="1"/>
  </r>
  <r>
    <n v="27"/>
    <m/>
    <m/>
    <s v="Đỗ Tấn Phát"/>
    <d v="2021-03-23T00:00:00"/>
    <n v="3"/>
    <x v="2"/>
    <s v="Trẻ em 2-5 tuổi"/>
    <n v="5800000"/>
    <n v="5866000"/>
    <s v="Mua vé tour cho bé 5-11 tuổi"/>
    <m/>
    <s v="DTR"/>
    <m/>
    <x v="1"/>
  </r>
  <r>
    <n v="28"/>
    <s v="Nguyễn Diệu Hiền"/>
    <s v="Chuyên viên Quản trị Hệ Thống"/>
    <s v="Nguyễn Diệu Hiền"/>
    <m/>
    <m/>
    <x v="0"/>
    <s v="Người lớn"/>
    <n v="8600000"/>
    <n v="8540000"/>
    <m/>
    <m/>
    <s v="DTR"/>
    <m/>
    <x v="2"/>
  </r>
  <r>
    <n v="29"/>
    <m/>
    <m/>
    <s v="Trương Thành Được"/>
    <m/>
    <m/>
    <x v="0"/>
    <s v="Người lớn"/>
    <n v="8600000"/>
    <n v="8540000"/>
    <m/>
    <m/>
    <s v="DTR"/>
    <m/>
    <x v="1"/>
  </r>
  <r>
    <n v="30"/>
    <m/>
    <m/>
    <s v="Trương Nguyễn Khánh An"/>
    <d v="2020-09-21T00:00:00"/>
    <n v="4"/>
    <x v="2"/>
    <s v="Trẻ em 2-5 tuổi"/>
    <n v="5800000"/>
    <n v="5866000"/>
    <s v="Mua vé tour cho bé 5-11 tuổi"/>
    <m/>
    <s v="DTR"/>
    <m/>
    <x v="1"/>
  </r>
  <r>
    <n v="31"/>
    <m/>
    <m/>
    <s v="Trương Nguyễn Tú Anh"/>
    <d v="2023-06-12T00:00:00"/>
    <n v="1"/>
    <x v="3"/>
    <s v="Trẻ em &lt;2 tuổi"/>
    <n v="0"/>
    <n v="399000"/>
    <m/>
    <m/>
    <s v="DTR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504CB-BB13-497F-BFEA-EA6A3E9CB4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 sortType="descending">
      <items count="7">
        <item x="3"/>
        <item x="1"/>
        <item x="2"/>
        <item x="0"/>
        <item x="4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1"/>
        <item m="1" x="5"/>
        <item x="2"/>
        <item m="1" x="6"/>
        <item x="4"/>
        <item m="1" x="7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showAll="0"/>
    <pivotField showAll="0"/>
  </pivotFields>
  <rowFields count="1">
    <field x="7"/>
  </rowFields>
  <rowItems count="5">
    <i>
      <x v="6"/>
    </i>
    <i>
      <x/>
    </i>
    <i>
      <x v="2"/>
    </i>
    <i>
      <x v="4"/>
    </i>
    <i t="grand">
      <x/>
    </i>
  </rowItems>
  <colItems count="1">
    <i/>
  </colItems>
  <dataFields count="1">
    <dataField name="Số người" fld="3" subtotal="count" baseField="7" baseItem="6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6" type="button" dataOnly="0" labelOnly="1" outline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1DECF-CC8A-4384-80C8-1E58BD83498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ố phòng" fld="14" subtotal="count" baseField="13" baseItem="0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6" type="button" dataOnly="0" labelOnly="1" outline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D3E2-3286-40AE-AF4E-3D4F790C0D34}">
  <dimension ref="A1:E6"/>
  <sheetViews>
    <sheetView tabSelected="1" workbookViewId="0">
      <selection activeCell="F14" sqref="F14"/>
    </sheetView>
  </sheetViews>
  <sheetFormatPr defaultRowHeight="14.5" x14ac:dyDescent="0.35"/>
  <cols>
    <col min="1" max="1" width="14.54296875" bestFit="1" customWidth="1"/>
    <col min="2" max="2" width="8.26953125" bestFit="1" customWidth="1"/>
    <col min="4" max="4" width="16.81640625" bestFit="1" customWidth="1"/>
    <col min="5" max="5" width="8.54296875" bestFit="1" customWidth="1"/>
    <col min="6" max="6" width="17" bestFit="1" customWidth="1"/>
  </cols>
  <sheetData>
    <row r="1" spans="1:5" x14ac:dyDescent="0.35">
      <c r="A1" s="33" t="s">
        <v>64</v>
      </c>
      <c r="B1" s="22" t="s">
        <v>73</v>
      </c>
      <c r="D1" s="33" t="s">
        <v>64</v>
      </c>
      <c r="E1" s="22" t="s">
        <v>72</v>
      </c>
    </row>
    <row r="2" spans="1:5" x14ac:dyDescent="0.35">
      <c r="A2" s="34" t="s">
        <v>50</v>
      </c>
      <c r="B2" s="22">
        <v>24</v>
      </c>
      <c r="D2" s="34" t="s">
        <v>19</v>
      </c>
      <c r="E2" s="22">
        <v>7</v>
      </c>
    </row>
    <row r="3" spans="1:5" x14ac:dyDescent="0.35">
      <c r="A3" s="34" t="s">
        <v>69</v>
      </c>
      <c r="B3" s="22">
        <v>3</v>
      </c>
      <c r="D3" s="34" t="s">
        <v>15</v>
      </c>
      <c r="E3" s="22">
        <v>3</v>
      </c>
    </row>
    <row r="4" spans="1:5" x14ac:dyDescent="0.35">
      <c r="A4" s="34" t="s">
        <v>70</v>
      </c>
      <c r="B4" s="22">
        <v>3</v>
      </c>
      <c r="D4" s="34" t="s">
        <v>65</v>
      </c>
      <c r="E4" s="22">
        <v>10</v>
      </c>
    </row>
    <row r="5" spans="1:5" x14ac:dyDescent="0.35">
      <c r="A5" s="34" t="s">
        <v>71</v>
      </c>
      <c r="B5" s="22">
        <v>1</v>
      </c>
    </row>
    <row r="6" spans="1:5" x14ac:dyDescent="0.35">
      <c r="A6" s="34" t="s">
        <v>65</v>
      </c>
      <c r="B6" s="22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342-BD4A-4330-B7D7-1C4A837A3F92}">
  <sheetPr>
    <tabColor theme="7"/>
  </sheetPr>
  <dimension ref="A1:T37"/>
  <sheetViews>
    <sheetView zoomScale="55" zoomScaleNormal="55" zoomScaleSheetLayoutView="85" workbookViewId="0">
      <pane ySplit="6" topLeftCell="A22" activePane="bottomLeft" state="frozen"/>
      <selection pane="bottomLeft" activeCell="B28" sqref="B28:B30"/>
    </sheetView>
  </sheetViews>
  <sheetFormatPr defaultRowHeight="14.5" x14ac:dyDescent="0.35"/>
  <cols>
    <col min="1" max="1" width="6.6328125" customWidth="1"/>
    <col min="2" max="2" width="26.1796875" bestFit="1" customWidth="1"/>
    <col min="3" max="3" width="32.08984375" customWidth="1"/>
    <col min="4" max="4" width="28.54296875" customWidth="1"/>
    <col min="5" max="5" width="25.36328125" customWidth="1"/>
    <col min="6" max="6" width="6.90625" style="28" hidden="1" customWidth="1"/>
    <col min="7" max="7" width="6.90625" style="1" hidden="1" customWidth="1"/>
    <col min="8" max="8" width="18.1796875" style="1" customWidth="1"/>
    <col min="9" max="9" width="28.1796875" style="1" customWidth="1"/>
    <col min="10" max="10" width="25.08984375" customWidth="1"/>
    <col min="11" max="11" width="35.6328125" customWidth="1"/>
    <col min="12" max="12" width="25.08984375" customWidth="1"/>
    <col min="13" max="13" width="14.453125" hidden="1" customWidth="1"/>
    <col min="14" max="14" width="11.1796875" customWidth="1"/>
    <col min="15" max="15" width="16.453125" customWidth="1"/>
    <col min="16" max="16" width="13.81640625" customWidth="1"/>
    <col min="17" max="17" width="14.6328125" bestFit="1" customWidth="1"/>
    <col min="18" max="18" width="13.54296875" bestFit="1" customWidth="1"/>
    <col min="19" max="20" width="13.453125" bestFit="1" customWidth="1"/>
  </cols>
  <sheetData>
    <row r="1" spans="1:20" ht="14.5" customHeight="1" x14ac:dyDescent="0.35"/>
    <row r="2" spans="1:20" ht="34.5" customHeight="1" x14ac:dyDescent="0.3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2"/>
      <c r="L2" s="2"/>
    </row>
    <row r="3" spans="1:20" ht="6.5" customHeight="1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3"/>
      <c r="L3" s="3"/>
    </row>
    <row r="4" spans="1:20" ht="17.5" x14ac:dyDescent="0.35">
      <c r="A4" s="55" t="s">
        <v>1</v>
      </c>
      <c r="B4" s="55"/>
      <c r="C4" s="56"/>
      <c r="D4" s="56"/>
      <c r="E4" s="4"/>
      <c r="F4" s="5"/>
      <c r="G4" s="5"/>
      <c r="H4" s="5"/>
      <c r="I4" s="5"/>
      <c r="J4" s="6"/>
      <c r="K4" s="6"/>
      <c r="L4" s="6"/>
    </row>
    <row r="5" spans="1:20" s="13" customFormat="1" ht="24" customHeight="1" x14ac:dyDescent="0.35">
      <c r="A5" s="10"/>
      <c r="B5" s="10" t="s">
        <v>66</v>
      </c>
      <c r="C5" s="10"/>
      <c r="D5" s="10">
        <f>COUNTA(D7:D112)</f>
        <v>31</v>
      </c>
      <c r="E5" s="10"/>
      <c r="F5" s="11"/>
      <c r="G5" s="10"/>
      <c r="H5" s="10"/>
      <c r="I5" s="12">
        <f>SUM(I7:I112)</f>
        <v>224200000</v>
      </c>
      <c r="J5" s="12">
        <f>SUM(J7:J112)</f>
        <v>243229000</v>
      </c>
      <c r="K5" s="12"/>
      <c r="L5" s="12"/>
      <c r="M5" s="10"/>
      <c r="N5" s="10"/>
    </row>
    <row r="6" spans="1:20" s="9" customFormat="1" ht="37" customHeight="1" x14ac:dyDescent="0.3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8" t="s">
        <v>58</v>
      </c>
      <c r="H6" s="8" t="s">
        <v>68</v>
      </c>
      <c r="I6" s="8" t="s">
        <v>53</v>
      </c>
      <c r="J6" s="7" t="s">
        <v>8</v>
      </c>
      <c r="K6" s="7" t="s">
        <v>79</v>
      </c>
      <c r="L6" s="7" t="s">
        <v>67</v>
      </c>
      <c r="M6" s="7" t="s">
        <v>10</v>
      </c>
      <c r="N6" s="7" t="s">
        <v>11</v>
      </c>
    </row>
    <row r="7" spans="1:20" ht="28" customHeight="1" x14ac:dyDescent="0.35">
      <c r="A7" s="14">
        <f>ROW()-6</f>
        <v>1</v>
      </c>
      <c r="B7" s="57" t="s">
        <v>12</v>
      </c>
      <c r="C7" s="57" t="s">
        <v>13</v>
      </c>
      <c r="D7" s="15" t="s">
        <v>12</v>
      </c>
      <c r="E7" s="19"/>
      <c r="F7" s="29"/>
      <c r="G7" s="16" t="s">
        <v>54</v>
      </c>
      <c r="H7" s="16" t="str">
        <f t="shared" ref="H7:H37" si="0">IFERROR(VLOOKUP(G7,P:Q,2,0),"")</f>
        <v>Người lớn</v>
      </c>
      <c r="I7" s="16">
        <v>8600000</v>
      </c>
      <c r="J7" s="17">
        <f>IFERROR(VLOOKUP(G7,P:T,5,0),0)</f>
        <v>8540000</v>
      </c>
      <c r="K7" s="17"/>
      <c r="L7" s="17"/>
      <c r="M7" s="17" t="s">
        <v>14</v>
      </c>
      <c r="N7" s="60" t="s">
        <v>15</v>
      </c>
      <c r="O7" s="18"/>
      <c r="P7" s="22" t="s">
        <v>58</v>
      </c>
      <c r="Q7" s="24" t="s">
        <v>49</v>
      </c>
      <c r="R7" s="24" t="s">
        <v>51</v>
      </c>
      <c r="S7" s="24" t="s">
        <v>52</v>
      </c>
      <c r="T7" s="24"/>
    </row>
    <row r="8" spans="1:20" ht="28" customHeight="1" x14ac:dyDescent="0.35">
      <c r="A8" s="14">
        <f t="shared" ref="A8:A37" si="1">ROW()-6</f>
        <v>2</v>
      </c>
      <c r="B8" s="58"/>
      <c r="C8" s="58"/>
      <c r="D8" s="15" t="s">
        <v>76</v>
      </c>
      <c r="E8" s="15"/>
      <c r="F8" s="29" t="str">
        <f t="shared" ref="F8:F37" ca="1" si="2">IF(E8="","",YEAR(TODAY())-YEAR(E8))</f>
        <v/>
      </c>
      <c r="G8" s="16" t="s">
        <v>54</v>
      </c>
      <c r="H8" s="16" t="str">
        <f t="shared" si="0"/>
        <v>Người lớn</v>
      </c>
      <c r="I8" s="16">
        <v>8600000</v>
      </c>
      <c r="J8" s="17">
        <f>IFERROR(VLOOKUP(G8,P:T,5,0),0)</f>
        <v>8540000</v>
      </c>
      <c r="K8" s="17"/>
      <c r="L8" s="17"/>
      <c r="M8" s="17" t="s">
        <v>14</v>
      </c>
      <c r="N8" s="61"/>
      <c r="O8" s="18"/>
      <c r="P8" s="22" t="s">
        <v>54</v>
      </c>
      <c r="Q8" s="22" t="s">
        <v>50</v>
      </c>
      <c r="R8" s="23">
        <v>4550000</v>
      </c>
      <c r="S8" s="23">
        <v>3990000</v>
      </c>
      <c r="T8" s="23">
        <f>SUM(R8:S8)</f>
        <v>8540000</v>
      </c>
    </row>
    <row r="9" spans="1:20" ht="28" customHeight="1" x14ac:dyDescent="0.35">
      <c r="A9" s="14">
        <f t="shared" si="1"/>
        <v>3</v>
      </c>
      <c r="B9" s="58"/>
      <c r="C9" s="58"/>
      <c r="D9" s="15" t="s">
        <v>44</v>
      </c>
      <c r="E9" s="19">
        <v>42005</v>
      </c>
      <c r="F9" s="29">
        <f t="shared" ca="1" si="2"/>
        <v>9</v>
      </c>
      <c r="G9" s="16" t="s">
        <v>56</v>
      </c>
      <c r="H9" s="16" t="str">
        <f t="shared" si="0"/>
        <v>Trẻ em 5-11 tuổi</v>
      </c>
      <c r="I9" s="16">
        <v>5800000</v>
      </c>
      <c r="J9" s="38">
        <v>8540000</v>
      </c>
      <c r="K9" s="39" t="s">
        <v>59</v>
      </c>
      <c r="L9" s="17"/>
      <c r="M9" s="17" t="s">
        <v>14</v>
      </c>
      <c r="N9" s="61"/>
      <c r="O9" s="18"/>
      <c r="P9" s="25" t="s">
        <v>56</v>
      </c>
      <c r="Q9" s="22" t="s">
        <v>69</v>
      </c>
      <c r="R9" s="23">
        <f>R8/2</f>
        <v>2275000</v>
      </c>
      <c r="S9" s="23">
        <f>S8*0.9</f>
        <v>3591000</v>
      </c>
      <c r="T9" s="23">
        <f t="shared" ref="T9:T11" si="3">SUM(R9:S9)</f>
        <v>5866000</v>
      </c>
    </row>
    <row r="10" spans="1:20" ht="28" customHeight="1" x14ac:dyDescent="0.35">
      <c r="A10" s="14">
        <f t="shared" si="1"/>
        <v>4</v>
      </c>
      <c r="B10" s="59"/>
      <c r="C10" s="59"/>
      <c r="D10" s="15" t="s">
        <v>45</v>
      </c>
      <c r="E10" s="19">
        <v>42736</v>
      </c>
      <c r="F10" s="29">
        <f t="shared" ca="1" si="2"/>
        <v>7</v>
      </c>
      <c r="G10" s="16" t="s">
        <v>56</v>
      </c>
      <c r="H10" s="16" t="str">
        <f t="shared" si="0"/>
        <v>Trẻ em 5-11 tuổi</v>
      </c>
      <c r="I10" s="16">
        <v>0</v>
      </c>
      <c r="J10" s="17">
        <f t="shared" ref="J10:J15" si="4">IFERROR(VLOOKUP(G10,P:T,5,0),0)</f>
        <v>5866000</v>
      </c>
      <c r="K10" s="17"/>
      <c r="L10" s="17"/>
      <c r="M10" s="17" t="s">
        <v>16</v>
      </c>
      <c r="N10" s="62"/>
      <c r="O10" s="18"/>
      <c r="P10" s="26" t="s">
        <v>57</v>
      </c>
      <c r="Q10" s="22" t="s">
        <v>70</v>
      </c>
      <c r="R10" s="23">
        <v>0</v>
      </c>
      <c r="S10" s="23">
        <f>S9</f>
        <v>3591000</v>
      </c>
      <c r="T10" s="23">
        <f t="shared" si="3"/>
        <v>3591000</v>
      </c>
    </row>
    <row r="11" spans="1:20" ht="28" customHeight="1" x14ac:dyDescent="0.35">
      <c r="A11" s="14">
        <f t="shared" si="1"/>
        <v>5</v>
      </c>
      <c r="B11" s="60" t="s">
        <v>17</v>
      </c>
      <c r="C11" s="60" t="s">
        <v>18</v>
      </c>
      <c r="D11" s="15" t="s">
        <v>17</v>
      </c>
      <c r="E11" s="19"/>
      <c r="F11" s="29"/>
      <c r="G11" s="16" t="s">
        <v>54</v>
      </c>
      <c r="H11" s="16" t="str">
        <f t="shared" si="0"/>
        <v>Người lớn</v>
      </c>
      <c r="I11" s="16">
        <v>8600000</v>
      </c>
      <c r="J11" s="17">
        <f t="shared" si="4"/>
        <v>8540000</v>
      </c>
      <c r="K11" s="17"/>
      <c r="L11" s="17"/>
      <c r="M11" s="17" t="s">
        <v>14</v>
      </c>
      <c r="N11" s="60" t="s">
        <v>19</v>
      </c>
      <c r="O11" s="18"/>
      <c r="P11" s="22" t="s">
        <v>55</v>
      </c>
      <c r="Q11" s="22" t="s">
        <v>71</v>
      </c>
      <c r="R11" s="23">
        <v>0</v>
      </c>
      <c r="S11" s="23">
        <f>S8*10%</f>
        <v>399000</v>
      </c>
      <c r="T11" s="23">
        <f t="shared" si="3"/>
        <v>399000</v>
      </c>
    </row>
    <row r="12" spans="1:20" ht="28" customHeight="1" x14ac:dyDescent="0.35">
      <c r="A12" s="14">
        <f t="shared" si="1"/>
        <v>6</v>
      </c>
      <c r="B12" s="61"/>
      <c r="C12" s="61"/>
      <c r="D12" s="15" t="s">
        <v>60</v>
      </c>
      <c r="E12" s="19"/>
      <c r="F12" s="29"/>
      <c r="G12" s="16" t="s">
        <v>54</v>
      </c>
      <c r="H12" s="16" t="str">
        <f t="shared" si="0"/>
        <v>Người lớn</v>
      </c>
      <c r="I12" s="16">
        <v>8600000</v>
      </c>
      <c r="J12" s="17">
        <f t="shared" si="4"/>
        <v>8540000</v>
      </c>
      <c r="K12" s="17"/>
      <c r="L12" s="17"/>
      <c r="M12" s="17" t="s">
        <v>14</v>
      </c>
      <c r="N12" s="61"/>
      <c r="O12" s="18"/>
      <c r="R12" s="1"/>
      <c r="S12" s="1"/>
      <c r="T12" s="1"/>
    </row>
    <row r="13" spans="1:20" ht="28" customHeight="1" x14ac:dyDescent="0.35">
      <c r="A13" s="14">
        <f t="shared" si="1"/>
        <v>7</v>
      </c>
      <c r="B13" s="62"/>
      <c r="C13" s="62"/>
      <c r="D13" s="15" t="s">
        <v>61</v>
      </c>
      <c r="E13" s="19">
        <v>42185</v>
      </c>
      <c r="F13" s="29">
        <f t="shared" ca="1" si="2"/>
        <v>9</v>
      </c>
      <c r="G13" s="27" t="s">
        <v>56</v>
      </c>
      <c r="H13" s="16" t="str">
        <f t="shared" si="0"/>
        <v>Trẻ em 5-11 tuổi</v>
      </c>
      <c r="I13" s="16">
        <v>5800000</v>
      </c>
      <c r="J13" s="17">
        <f t="shared" si="4"/>
        <v>5866000</v>
      </c>
      <c r="K13" s="17"/>
      <c r="L13" s="17"/>
      <c r="M13" s="17" t="s">
        <v>14</v>
      </c>
      <c r="N13" s="62"/>
      <c r="O13" s="18"/>
    </row>
    <row r="14" spans="1:20" ht="28" customHeight="1" x14ac:dyDescent="0.35">
      <c r="A14" s="14">
        <f t="shared" si="1"/>
        <v>8</v>
      </c>
      <c r="B14" s="60" t="s">
        <v>20</v>
      </c>
      <c r="C14" s="60" t="s">
        <v>21</v>
      </c>
      <c r="D14" s="15" t="s">
        <v>20</v>
      </c>
      <c r="E14" s="15"/>
      <c r="F14" s="29" t="str">
        <f t="shared" ca="1" si="2"/>
        <v/>
      </c>
      <c r="G14" s="16" t="s">
        <v>54</v>
      </c>
      <c r="H14" s="16" t="str">
        <f t="shared" si="0"/>
        <v>Người lớn</v>
      </c>
      <c r="I14" s="16">
        <v>8600000</v>
      </c>
      <c r="J14" s="17">
        <f t="shared" si="4"/>
        <v>8540000</v>
      </c>
      <c r="K14" s="17"/>
      <c r="L14" s="17"/>
      <c r="M14" s="17" t="s">
        <v>14</v>
      </c>
      <c r="N14" s="60" t="s">
        <v>19</v>
      </c>
      <c r="O14" s="18"/>
    </row>
    <row r="15" spans="1:20" ht="28" customHeight="1" x14ac:dyDescent="0.35">
      <c r="A15" s="14">
        <f t="shared" si="1"/>
        <v>9</v>
      </c>
      <c r="B15" s="61"/>
      <c r="C15" s="61"/>
      <c r="D15" s="15" t="s">
        <v>48</v>
      </c>
      <c r="E15" s="15"/>
      <c r="F15" s="29" t="str">
        <f t="shared" ca="1" si="2"/>
        <v/>
      </c>
      <c r="G15" s="16" t="s">
        <v>54</v>
      </c>
      <c r="H15" s="16" t="str">
        <f t="shared" si="0"/>
        <v>Người lớn</v>
      </c>
      <c r="I15" s="16">
        <v>8600000</v>
      </c>
      <c r="J15" s="17">
        <f t="shared" si="4"/>
        <v>8540000</v>
      </c>
      <c r="K15" s="17"/>
      <c r="L15" s="17"/>
      <c r="M15" s="17" t="s">
        <v>14</v>
      </c>
      <c r="N15" s="61"/>
      <c r="O15" s="18"/>
    </row>
    <row r="16" spans="1:20" ht="28" customHeight="1" x14ac:dyDescent="0.35">
      <c r="A16" s="14">
        <f t="shared" si="1"/>
        <v>10</v>
      </c>
      <c r="B16" s="62"/>
      <c r="C16" s="62"/>
      <c r="D16" s="15" t="s">
        <v>22</v>
      </c>
      <c r="E16" s="19">
        <v>44467</v>
      </c>
      <c r="F16" s="29">
        <f t="shared" ca="1" si="2"/>
        <v>3</v>
      </c>
      <c r="G16" s="27" t="s">
        <v>57</v>
      </c>
      <c r="H16" s="16" t="str">
        <f t="shared" si="0"/>
        <v>Trẻ em 2-5 tuổi</v>
      </c>
      <c r="I16" s="16">
        <v>5800000</v>
      </c>
      <c r="J16" s="38">
        <v>5866000</v>
      </c>
      <c r="K16" s="39" t="s">
        <v>80</v>
      </c>
      <c r="L16" s="17"/>
      <c r="M16" s="17" t="s">
        <v>14</v>
      </c>
      <c r="N16" s="62"/>
      <c r="O16" s="18"/>
    </row>
    <row r="17" spans="1:15" ht="28" customHeight="1" x14ac:dyDescent="0.35">
      <c r="A17" s="14">
        <f t="shared" si="1"/>
        <v>11</v>
      </c>
      <c r="B17" s="60" t="s">
        <v>23</v>
      </c>
      <c r="C17" s="60" t="s">
        <v>24</v>
      </c>
      <c r="D17" s="15" t="s">
        <v>23</v>
      </c>
      <c r="E17" s="19"/>
      <c r="F17" s="29"/>
      <c r="G17" s="16" t="s">
        <v>54</v>
      </c>
      <c r="H17" s="16" t="str">
        <f t="shared" si="0"/>
        <v>Người lớn</v>
      </c>
      <c r="I17" s="16">
        <v>8600000</v>
      </c>
      <c r="J17" s="17">
        <f t="shared" ref="J17:J32" si="5">IFERROR(VLOOKUP(G17,P:T,5,0),0)</f>
        <v>8540000</v>
      </c>
      <c r="K17" s="17"/>
      <c r="L17" s="17"/>
      <c r="M17" s="17" t="s">
        <v>14</v>
      </c>
      <c r="N17" s="60" t="s">
        <v>19</v>
      </c>
      <c r="O17" s="18"/>
    </row>
    <row r="18" spans="1:15" ht="28" customHeight="1" x14ac:dyDescent="0.35">
      <c r="A18" s="14">
        <f t="shared" si="1"/>
        <v>12</v>
      </c>
      <c r="B18" s="61"/>
      <c r="C18" s="61"/>
      <c r="D18" s="15" t="s">
        <v>43</v>
      </c>
      <c r="E18" s="19"/>
      <c r="F18" s="29"/>
      <c r="G18" s="16" t="s">
        <v>54</v>
      </c>
      <c r="H18" s="16" t="str">
        <f t="shared" si="0"/>
        <v>Người lớn</v>
      </c>
      <c r="I18" s="16">
        <v>8600000</v>
      </c>
      <c r="J18" s="17">
        <f t="shared" si="5"/>
        <v>8540000</v>
      </c>
      <c r="K18" s="17"/>
      <c r="L18" s="17"/>
      <c r="M18" s="17" t="s">
        <v>14</v>
      </c>
      <c r="N18" s="61"/>
      <c r="O18" s="18"/>
    </row>
    <row r="19" spans="1:15" ht="28" customHeight="1" x14ac:dyDescent="0.35">
      <c r="A19" s="14">
        <f t="shared" si="1"/>
        <v>13</v>
      </c>
      <c r="B19" s="60" t="s">
        <v>25</v>
      </c>
      <c r="C19" s="60" t="s">
        <v>26</v>
      </c>
      <c r="D19" s="15" t="s">
        <v>25</v>
      </c>
      <c r="E19" s="15"/>
      <c r="F19" s="29" t="str">
        <f t="shared" ca="1" si="2"/>
        <v/>
      </c>
      <c r="G19" s="16" t="s">
        <v>54</v>
      </c>
      <c r="H19" s="16" t="str">
        <f t="shared" si="0"/>
        <v>Người lớn</v>
      </c>
      <c r="I19" s="16">
        <v>8600000</v>
      </c>
      <c r="J19" s="17">
        <f t="shared" si="5"/>
        <v>8540000</v>
      </c>
      <c r="K19" s="17"/>
      <c r="L19" s="17"/>
      <c r="M19" s="17" t="s">
        <v>14</v>
      </c>
      <c r="N19" s="60" t="s">
        <v>19</v>
      </c>
      <c r="O19" s="18"/>
    </row>
    <row r="20" spans="1:15" ht="28" customHeight="1" x14ac:dyDescent="0.35">
      <c r="A20" s="14">
        <f t="shared" si="1"/>
        <v>14</v>
      </c>
      <c r="B20" s="61"/>
      <c r="C20" s="61"/>
      <c r="D20" s="15" t="s">
        <v>77</v>
      </c>
      <c r="E20" s="15"/>
      <c r="F20" s="29" t="str">
        <f t="shared" ca="1" si="2"/>
        <v/>
      </c>
      <c r="G20" s="37" t="s">
        <v>54</v>
      </c>
      <c r="H20" s="16" t="str">
        <f t="shared" si="0"/>
        <v>Người lớn</v>
      </c>
      <c r="I20" s="16">
        <v>8600000</v>
      </c>
      <c r="J20" s="17">
        <f t="shared" si="5"/>
        <v>8540000</v>
      </c>
      <c r="K20" s="17"/>
      <c r="L20" s="17"/>
      <c r="M20" s="17" t="s">
        <v>14</v>
      </c>
      <c r="N20" s="61"/>
      <c r="O20" s="18"/>
    </row>
    <row r="21" spans="1:15" ht="28" customHeight="1" x14ac:dyDescent="0.35">
      <c r="A21" s="14">
        <f t="shared" si="1"/>
        <v>15</v>
      </c>
      <c r="B21" s="62"/>
      <c r="C21" s="62"/>
      <c r="D21" s="15" t="s">
        <v>78</v>
      </c>
      <c r="E21" s="15"/>
      <c r="F21" s="29" t="str">
        <f t="shared" ca="1" si="2"/>
        <v/>
      </c>
      <c r="G21" s="37" t="s">
        <v>54</v>
      </c>
      <c r="H21" s="16" t="str">
        <f t="shared" si="0"/>
        <v>Người lớn</v>
      </c>
      <c r="I21" s="16">
        <v>5800000</v>
      </c>
      <c r="J21" s="17">
        <f t="shared" si="5"/>
        <v>8540000</v>
      </c>
      <c r="K21" s="17"/>
      <c r="L21" s="17"/>
      <c r="M21" s="17" t="s">
        <v>14</v>
      </c>
      <c r="N21" s="62"/>
      <c r="O21" s="18"/>
    </row>
    <row r="22" spans="1:15" ht="28" customHeight="1" x14ac:dyDescent="0.35">
      <c r="A22" s="14">
        <f t="shared" si="1"/>
        <v>16</v>
      </c>
      <c r="B22" s="60" t="s">
        <v>27</v>
      </c>
      <c r="C22" s="60" t="s">
        <v>28</v>
      </c>
      <c r="D22" s="15" t="s">
        <v>27</v>
      </c>
      <c r="E22" s="19"/>
      <c r="F22" s="29"/>
      <c r="G22" s="16" t="s">
        <v>54</v>
      </c>
      <c r="H22" s="16" t="str">
        <f t="shared" si="0"/>
        <v>Người lớn</v>
      </c>
      <c r="I22" s="16">
        <v>8600000</v>
      </c>
      <c r="J22" s="17">
        <f t="shared" si="5"/>
        <v>8540000</v>
      </c>
      <c r="K22" s="17"/>
      <c r="L22" s="17"/>
      <c r="M22" s="17" t="s">
        <v>14</v>
      </c>
      <c r="N22" s="41" t="s">
        <v>19</v>
      </c>
      <c r="O22" s="18"/>
    </row>
    <row r="23" spans="1:15" ht="28" customHeight="1" x14ac:dyDescent="0.35">
      <c r="A23" s="14">
        <f t="shared" si="1"/>
        <v>17</v>
      </c>
      <c r="B23" s="61"/>
      <c r="C23" s="61"/>
      <c r="D23" s="15" t="s">
        <v>74</v>
      </c>
      <c r="E23" s="19"/>
      <c r="F23" s="29"/>
      <c r="G23" s="16" t="s">
        <v>54</v>
      </c>
      <c r="H23" s="16" t="str">
        <f t="shared" si="0"/>
        <v>Người lớn</v>
      </c>
      <c r="I23" s="16">
        <v>8600000</v>
      </c>
      <c r="J23" s="17">
        <f t="shared" si="5"/>
        <v>8540000</v>
      </c>
      <c r="K23" s="17"/>
      <c r="L23" s="17"/>
      <c r="M23" s="17" t="s">
        <v>14</v>
      </c>
      <c r="N23" s="42"/>
      <c r="O23" s="18"/>
    </row>
    <row r="24" spans="1:15" ht="28" customHeight="1" x14ac:dyDescent="0.35">
      <c r="A24" s="14">
        <f t="shared" si="1"/>
        <v>18</v>
      </c>
      <c r="B24" s="62"/>
      <c r="C24" s="62"/>
      <c r="D24" s="15" t="s">
        <v>75</v>
      </c>
      <c r="E24" s="19"/>
      <c r="F24" s="29"/>
      <c r="G24" s="16" t="s">
        <v>54</v>
      </c>
      <c r="H24" s="16" t="str">
        <f t="shared" si="0"/>
        <v>Người lớn</v>
      </c>
      <c r="I24" s="16">
        <v>5800000</v>
      </c>
      <c r="J24" s="17">
        <f t="shared" si="5"/>
        <v>8540000</v>
      </c>
      <c r="K24" s="17"/>
      <c r="L24" s="17"/>
      <c r="M24" s="17" t="s">
        <v>14</v>
      </c>
      <c r="N24" s="43"/>
      <c r="O24" s="18"/>
    </row>
    <row r="25" spans="1:15" ht="28" customHeight="1" x14ac:dyDescent="0.35">
      <c r="A25" s="14">
        <f t="shared" si="1"/>
        <v>19</v>
      </c>
      <c r="B25" s="63" t="s">
        <v>29</v>
      </c>
      <c r="C25" s="63" t="s">
        <v>41</v>
      </c>
      <c r="D25" s="20" t="s">
        <v>29</v>
      </c>
      <c r="E25" s="21"/>
      <c r="F25" s="30"/>
      <c r="G25" s="16" t="s">
        <v>54</v>
      </c>
      <c r="H25" s="16" t="str">
        <f t="shared" si="0"/>
        <v>Người lớn</v>
      </c>
      <c r="I25" s="16">
        <v>8600000</v>
      </c>
      <c r="J25" s="17">
        <f t="shared" si="5"/>
        <v>8540000</v>
      </c>
      <c r="K25" s="17"/>
      <c r="L25" s="17"/>
      <c r="M25" s="17" t="s">
        <v>14</v>
      </c>
      <c r="N25" s="66" t="s">
        <v>19</v>
      </c>
      <c r="O25" s="18"/>
    </row>
    <row r="26" spans="1:15" ht="28" customHeight="1" x14ac:dyDescent="0.35">
      <c r="A26" s="14">
        <f t="shared" si="1"/>
        <v>20</v>
      </c>
      <c r="B26" s="64"/>
      <c r="C26" s="64"/>
      <c r="D26" s="20" t="s">
        <v>62</v>
      </c>
      <c r="E26" s="21"/>
      <c r="F26" s="30"/>
      <c r="G26" s="16" t="s">
        <v>54</v>
      </c>
      <c r="H26" s="16" t="str">
        <f t="shared" si="0"/>
        <v>Người lớn</v>
      </c>
      <c r="I26" s="16">
        <v>8600000</v>
      </c>
      <c r="J26" s="17">
        <f t="shared" si="5"/>
        <v>8540000</v>
      </c>
      <c r="K26" s="17"/>
      <c r="L26" s="17"/>
      <c r="M26" s="17" t="s">
        <v>14</v>
      </c>
      <c r="N26" s="67"/>
      <c r="O26" s="18"/>
    </row>
    <row r="27" spans="1:15" ht="28" customHeight="1" x14ac:dyDescent="0.35">
      <c r="A27" s="14">
        <f t="shared" si="1"/>
        <v>21</v>
      </c>
      <c r="B27" s="65"/>
      <c r="C27" s="65"/>
      <c r="D27" s="20" t="s">
        <v>63</v>
      </c>
      <c r="E27" s="21">
        <v>41129</v>
      </c>
      <c r="F27" s="30">
        <v>12</v>
      </c>
      <c r="G27" s="16" t="s">
        <v>54</v>
      </c>
      <c r="H27" s="16" t="str">
        <f t="shared" si="0"/>
        <v>Người lớn</v>
      </c>
      <c r="I27" s="16">
        <v>5800000</v>
      </c>
      <c r="J27" s="17">
        <f t="shared" si="5"/>
        <v>8540000</v>
      </c>
      <c r="K27" s="17"/>
      <c r="L27" s="17"/>
      <c r="M27" s="17" t="s">
        <v>14</v>
      </c>
      <c r="N27" s="68"/>
      <c r="O27" s="18"/>
    </row>
    <row r="28" spans="1:15" ht="28" customHeight="1" x14ac:dyDescent="0.35">
      <c r="A28" s="14">
        <f t="shared" si="1"/>
        <v>22</v>
      </c>
      <c r="B28" s="60" t="s">
        <v>30</v>
      </c>
      <c r="C28" s="60" t="s">
        <v>31</v>
      </c>
      <c r="D28" s="20" t="s">
        <v>30</v>
      </c>
      <c r="E28" s="21"/>
      <c r="F28" s="30"/>
      <c r="G28" s="16" t="s">
        <v>54</v>
      </c>
      <c r="H28" s="16" t="str">
        <f t="shared" si="0"/>
        <v>Người lớn</v>
      </c>
      <c r="I28" s="16">
        <v>8600000</v>
      </c>
      <c r="J28" s="17">
        <f t="shared" si="5"/>
        <v>8540000</v>
      </c>
      <c r="K28" s="17"/>
      <c r="L28" s="17"/>
      <c r="M28" s="17" t="s">
        <v>14</v>
      </c>
      <c r="N28" s="60" t="s">
        <v>19</v>
      </c>
      <c r="O28" s="18"/>
    </row>
    <row r="29" spans="1:15" ht="28" customHeight="1" x14ac:dyDescent="0.35">
      <c r="A29" s="14">
        <f t="shared" si="1"/>
        <v>23</v>
      </c>
      <c r="B29" s="61"/>
      <c r="C29" s="61"/>
      <c r="D29" s="20" t="s">
        <v>46</v>
      </c>
      <c r="E29" s="21"/>
      <c r="F29" s="30"/>
      <c r="G29" s="16" t="s">
        <v>54</v>
      </c>
      <c r="H29" s="16" t="str">
        <f t="shared" si="0"/>
        <v>Người lớn</v>
      </c>
      <c r="I29" s="16">
        <v>8600000</v>
      </c>
      <c r="J29" s="17">
        <f t="shared" si="5"/>
        <v>8540000</v>
      </c>
      <c r="K29" s="17"/>
      <c r="L29" s="17"/>
      <c r="M29" s="17" t="s">
        <v>14</v>
      </c>
      <c r="N29" s="61"/>
      <c r="O29" s="18"/>
    </row>
    <row r="30" spans="1:15" ht="28" customHeight="1" x14ac:dyDescent="0.35">
      <c r="A30" s="14">
        <f t="shared" si="1"/>
        <v>24</v>
      </c>
      <c r="B30" s="62"/>
      <c r="C30" s="62"/>
      <c r="D30" s="20" t="s">
        <v>47</v>
      </c>
      <c r="E30" s="21"/>
      <c r="F30" s="30"/>
      <c r="G30" s="16" t="s">
        <v>54</v>
      </c>
      <c r="H30" s="16" t="str">
        <f t="shared" si="0"/>
        <v>Người lớn</v>
      </c>
      <c r="I30" s="16">
        <v>5800000</v>
      </c>
      <c r="J30" s="17">
        <f t="shared" si="5"/>
        <v>8540000</v>
      </c>
      <c r="K30" s="17"/>
      <c r="L30" s="17"/>
      <c r="M30" s="17" t="s">
        <v>14</v>
      </c>
      <c r="N30" s="62"/>
      <c r="O30" s="18"/>
    </row>
    <row r="31" spans="1:15" ht="28" customHeight="1" x14ac:dyDescent="0.35">
      <c r="A31" s="14">
        <f t="shared" si="1"/>
        <v>25</v>
      </c>
      <c r="B31" s="60" t="s">
        <v>32</v>
      </c>
      <c r="C31" s="60" t="s">
        <v>33</v>
      </c>
      <c r="D31" s="20" t="s">
        <v>32</v>
      </c>
      <c r="E31" s="21"/>
      <c r="F31" s="30"/>
      <c r="G31" s="16" t="s">
        <v>54</v>
      </c>
      <c r="H31" s="16" t="str">
        <f t="shared" si="0"/>
        <v>Người lớn</v>
      </c>
      <c r="I31" s="16">
        <v>8600000</v>
      </c>
      <c r="J31" s="17">
        <f t="shared" si="5"/>
        <v>8540000</v>
      </c>
      <c r="K31" s="17"/>
      <c r="L31" s="17"/>
      <c r="M31" s="17" t="s">
        <v>14</v>
      </c>
      <c r="N31" s="66" t="s">
        <v>19</v>
      </c>
      <c r="O31" s="18"/>
    </row>
    <row r="32" spans="1:15" ht="28" customHeight="1" x14ac:dyDescent="0.35">
      <c r="A32" s="14">
        <f t="shared" si="1"/>
        <v>26</v>
      </c>
      <c r="B32" s="61"/>
      <c r="C32" s="61"/>
      <c r="D32" s="20" t="s">
        <v>42</v>
      </c>
      <c r="E32" s="21"/>
      <c r="F32" s="30"/>
      <c r="G32" s="16" t="s">
        <v>54</v>
      </c>
      <c r="H32" s="16" t="str">
        <f t="shared" si="0"/>
        <v>Người lớn</v>
      </c>
      <c r="I32" s="16">
        <v>8600000</v>
      </c>
      <c r="J32" s="17">
        <f t="shared" si="5"/>
        <v>8540000</v>
      </c>
      <c r="K32" s="17"/>
      <c r="L32" s="17"/>
      <c r="M32" s="17" t="s">
        <v>14</v>
      </c>
      <c r="N32" s="67"/>
      <c r="O32" s="18"/>
    </row>
    <row r="33" spans="1:15" ht="28" customHeight="1" x14ac:dyDescent="0.35">
      <c r="A33" s="14">
        <f t="shared" si="1"/>
        <v>27</v>
      </c>
      <c r="B33" s="62"/>
      <c r="C33" s="62"/>
      <c r="D33" s="20" t="s">
        <v>34</v>
      </c>
      <c r="E33" s="21">
        <v>44278</v>
      </c>
      <c r="F33" s="30">
        <v>3</v>
      </c>
      <c r="G33" s="27" t="s">
        <v>57</v>
      </c>
      <c r="H33" s="16" t="str">
        <f t="shared" si="0"/>
        <v>Trẻ em 2-5 tuổi</v>
      </c>
      <c r="I33" s="16">
        <v>5800000</v>
      </c>
      <c r="J33" s="38">
        <v>5866000</v>
      </c>
      <c r="K33" s="39" t="s">
        <v>80</v>
      </c>
      <c r="L33" s="17"/>
      <c r="M33" s="17" t="s">
        <v>14</v>
      </c>
      <c r="N33" s="68"/>
      <c r="O33" s="18"/>
    </row>
    <row r="34" spans="1:15" ht="28" customHeight="1" x14ac:dyDescent="0.35">
      <c r="A34" s="14">
        <f t="shared" si="1"/>
        <v>28</v>
      </c>
      <c r="B34" s="60" t="s">
        <v>35</v>
      </c>
      <c r="C34" s="60" t="s">
        <v>36</v>
      </c>
      <c r="D34" s="15" t="s">
        <v>35</v>
      </c>
      <c r="E34" s="19"/>
      <c r="F34" s="29"/>
      <c r="G34" s="16" t="s">
        <v>54</v>
      </c>
      <c r="H34" s="16" t="str">
        <f t="shared" si="0"/>
        <v>Người lớn</v>
      </c>
      <c r="I34" s="16">
        <v>8600000</v>
      </c>
      <c r="J34" s="17">
        <f>IFERROR(VLOOKUP(G34,P:T,5,0),0)</f>
        <v>8540000</v>
      </c>
      <c r="K34" s="17"/>
      <c r="L34" s="17"/>
      <c r="M34" s="17" t="s">
        <v>14</v>
      </c>
      <c r="N34" s="66" t="s">
        <v>15</v>
      </c>
      <c r="O34" s="18"/>
    </row>
    <row r="35" spans="1:15" ht="28" customHeight="1" x14ac:dyDescent="0.35">
      <c r="A35" s="14">
        <f t="shared" si="1"/>
        <v>29</v>
      </c>
      <c r="B35" s="61"/>
      <c r="C35" s="61"/>
      <c r="D35" s="15" t="s">
        <v>37</v>
      </c>
      <c r="E35" s="19"/>
      <c r="F35" s="29"/>
      <c r="G35" s="16" t="s">
        <v>54</v>
      </c>
      <c r="H35" s="16" t="str">
        <f t="shared" si="0"/>
        <v>Người lớn</v>
      </c>
      <c r="I35" s="16">
        <v>8600000</v>
      </c>
      <c r="J35" s="17">
        <f>IFERROR(VLOOKUP(G35,P:T,5,0),0)</f>
        <v>8540000</v>
      </c>
      <c r="K35" s="17"/>
      <c r="L35" s="17"/>
      <c r="M35" s="17" t="s">
        <v>14</v>
      </c>
      <c r="N35" s="67"/>
      <c r="O35" s="18"/>
    </row>
    <row r="36" spans="1:15" ht="28" customHeight="1" x14ac:dyDescent="0.35">
      <c r="A36" s="14">
        <f t="shared" si="1"/>
        <v>30</v>
      </c>
      <c r="B36" s="61"/>
      <c r="C36" s="61"/>
      <c r="D36" s="15" t="s">
        <v>38</v>
      </c>
      <c r="E36" s="19">
        <v>44095</v>
      </c>
      <c r="F36" s="29">
        <f t="shared" ca="1" si="2"/>
        <v>4</v>
      </c>
      <c r="G36" s="27" t="s">
        <v>57</v>
      </c>
      <c r="H36" s="16" t="str">
        <f t="shared" si="0"/>
        <v>Trẻ em 2-5 tuổi</v>
      </c>
      <c r="I36" s="16">
        <v>5800000</v>
      </c>
      <c r="J36" s="38">
        <v>5866000</v>
      </c>
      <c r="K36" s="39" t="s">
        <v>80</v>
      </c>
      <c r="L36" s="17"/>
      <c r="M36" s="17" t="s">
        <v>14</v>
      </c>
      <c r="N36" s="67"/>
      <c r="O36" s="18"/>
    </row>
    <row r="37" spans="1:15" ht="28" customHeight="1" x14ac:dyDescent="0.35">
      <c r="A37" s="14">
        <f t="shared" si="1"/>
        <v>31</v>
      </c>
      <c r="B37" s="62"/>
      <c r="C37" s="62"/>
      <c r="D37" s="15" t="s">
        <v>40</v>
      </c>
      <c r="E37" s="19">
        <v>45089</v>
      </c>
      <c r="F37" s="29">
        <f t="shared" ca="1" si="2"/>
        <v>1</v>
      </c>
      <c r="G37" s="16" t="s">
        <v>55</v>
      </c>
      <c r="H37" s="16" t="str">
        <f t="shared" si="0"/>
        <v>Trẻ em &lt;2 tuổi</v>
      </c>
      <c r="I37" s="16">
        <v>0</v>
      </c>
      <c r="J37" s="17">
        <f>IFERROR(VLOOKUP(G37,P:T,5,0),0)</f>
        <v>399000</v>
      </c>
      <c r="K37" s="17"/>
      <c r="L37" s="17"/>
      <c r="M37" s="17" t="s">
        <v>14</v>
      </c>
      <c r="N37" s="68"/>
      <c r="O37" s="18"/>
    </row>
  </sheetData>
  <autoFilter ref="A6:T37" xr:uid="{EC9CD8D2-0040-43BE-912C-54B79CEFAB6B}"/>
  <mergeCells count="33">
    <mergeCell ref="B34:B37"/>
    <mergeCell ref="C34:C37"/>
    <mergeCell ref="N34:N37"/>
    <mergeCell ref="B28:B30"/>
    <mergeCell ref="C28:C30"/>
    <mergeCell ref="N28:N30"/>
    <mergeCell ref="B31:B33"/>
    <mergeCell ref="C31:C33"/>
    <mergeCell ref="N31:N33"/>
    <mergeCell ref="B22:B24"/>
    <mergeCell ref="C22:C24"/>
    <mergeCell ref="B25:B27"/>
    <mergeCell ref="C25:C27"/>
    <mergeCell ref="N25:N27"/>
    <mergeCell ref="B17:B18"/>
    <mergeCell ref="C17:C18"/>
    <mergeCell ref="N17:N18"/>
    <mergeCell ref="B19:B21"/>
    <mergeCell ref="C19:C21"/>
    <mergeCell ref="N19:N21"/>
    <mergeCell ref="N7:N10"/>
    <mergeCell ref="B11:B13"/>
    <mergeCell ref="C11:C13"/>
    <mergeCell ref="N11:N13"/>
    <mergeCell ref="B14:B16"/>
    <mergeCell ref="C14:C16"/>
    <mergeCell ref="N14:N16"/>
    <mergeCell ref="A2:J2"/>
    <mergeCell ref="A3:J3"/>
    <mergeCell ref="A4:B4"/>
    <mergeCell ref="C4:D4"/>
    <mergeCell ref="B7:B10"/>
    <mergeCell ref="C7:C10"/>
  </mergeCells>
  <printOptions horizontalCentered="1"/>
  <pageMargins left="0" right="0" top="0" bottom="0" header="0" footer="0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F62-5C4D-44B1-9E24-908336BAE8F6}">
  <sheetPr>
    <tabColor theme="7"/>
    <pageSetUpPr fitToPage="1"/>
  </sheetPr>
  <dimension ref="A1:AC37"/>
  <sheetViews>
    <sheetView view="pageBreakPreview" topLeftCell="H1" zoomScale="85" zoomScaleNormal="55" zoomScaleSheetLayoutView="85" workbookViewId="0">
      <pane ySplit="6" topLeftCell="A7" activePane="bottomLeft" state="frozen"/>
      <selection pane="bottomLeft" activeCell="R7" sqref="R7:Y13"/>
    </sheetView>
  </sheetViews>
  <sheetFormatPr defaultRowHeight="14" x14ac:dyDescent="0.3"/>
  <cols>
    <col min="1" max="1" width="6.6328125" style="83" customWidth="1"/>
    <col min="2" max="2" width="26.08984375" style="84" bestFit="1" customWidth="1"/>
    <col min="3" max="3" width="32.08984375" style="85" hidden="1" customWidth="1"/>
    <col min="4" max="4" width="26.08984375" style="85" bestFit="1" customWidth="1"/>
    <col min="5" max="5" width="25.36328125" style="85" hidden="1" customWidth="1"/>
    <col min="6" max="6" width="6.90625" style="86" hidden="1" customWidth="1"/>
    <col min="7" max="7" width="6.90625" style="87" hidden="1" customWidth="1"/>
    <col min="8" max="8" width="16.08984375" style="87" bestFit="1" customWidth="1"/>
    <col min="9" max="9" width="18.81640625" style="87" bestFit="1" customWidth="1"/>
    <col min="10" max="11" width="25.08984375" style="85" customWidth="1"/>
    <col min="12" max="12" width="16.453125" style="83" hidden="1" customWidth="1"/>
    <col min="13" max="13" width="25.08984375" style="85" hidden="1" customWidth="1"/>
    <col min="14" max="14" width="14.453125" style="85" hidden="1" customWidth="1"/>
    <col min="15" max="15" width="11.1796875" style="85" hidden="1" customWidth="1"/>
    <col min="16" max="16" width="1.90625" style="85" customWidth="1"/>
    <col min="17" max="17" width="10" style="85" hidden="1" customWidth="1"/>
    <col min="18" max="18" width="18.453125" style="85" bestFit="1" customWidth="1"/>
    <col min="19" max="19" width="13.54296875" style="85" bestFit="1" customWidth="1"/>
    <col min="20" max="20" width="13.453125" style="85" bestFit="1" customWidth="1"/>
    <col min="21" max="21" width="14.6328125" style="85" bestFit="1" customWidth="1"/>
    <col min="22" max="22" width="2.90625" style="85" customWidth="1"/>
    <col min="23" max="24" width="12.81640625" style="85" bestFit="1" customWidth="1"/>
    <col min="25" max="25" width="12.81640625" style="85" customWidth="1"/>
    <col min="26" max="26" width="8.7265625" style="85"/>
    <col min="27" max="29" width="10.36328125" style="85" bestFit="1" customWidth="1"/>
    <col min="30" max="16384" width="8.7265625" style="85"/>
  </cols>
  <sheetData>
    <row r="1" spans="1:29" ht="14.5" customHeight="1" x14ac:dyDescent="0.3"/>
    <row r="2" spans="1:29" ht="34.5" customHeight="1" x14ac:dyDescent="0.3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2"/>
      <c r="L2" s="2"/>
      <c r="M2" s="2"/>
    </row>
    <row r="3" spans="1:29" ht="6.5" customHeight="1" x14ac:dyDescent="0.3">
      <c r="A3" s="54"/>
      <c r="B3" s="54"/>
      <c r="C3" s="54"/>
      <c r="D3" s="54"/>
      <c r="E3" s="54"/>
      <c r="F3" s="54"/>
      <c r="G3" s="54"/>
      <c r="H3" s="54"/>
      <c r="I3" s="54"/>
      <c r="J3" s="54"/>
      <c r="K3" s="3"/>
      <c r="L3" s="3"/>
      <c r="M3" s="3"/>
    </row>
    <row r="4" spans="1:29" ht="17.5" x14ac:dyDescent="0.3">
      <c r="A4" s="55" t="s">
        <v>1</v>
      </c>
      <c r="B4" s="55"/>
      <c r="C4" s="56"/>
      <c r="D4" s="56"/>
      <c r="E4" s="4"/>
      <c r="F4" s="5"/>
      <c r="G4" s="5"/>
      <c r="H4" s="5"/>
      <c r="I4" s="5"/>
      <c r="J4" s="6"/>
      <c r="K4" s="48"/>
      <c r="L4" s="46"/>
      <c r="M4" s="6"/>
    </row>
    <row r="5" spans="1:29" s="88" customFormat="1" ht="24" customHeight="1" x14ac:dyDescent="0.3">
      <c r="A5" s="10"/>
      <c r="B5" s="45" t="s">
        <v>66</v>
      </c>
      <c r="C5" s="10"/>
      <c r="D5" s="10">
        <f>COUNTA(D7:D112)</f>
        <v>31</v>
      </c>
      <c r="E5" s="10"/>
      <c r="F5" s="11"/>
      <c r="G5" s="10"/>
      <c r="H5" s="10"/>
      <c r="I5" s="12">
        <f>SUM(I7:I112)</f>
        <v>224200000</v>
      </c>
      <c r="J5" s="12">
        <f>SUM(J7:J112)</f>
        <v>243229000</v>
      </c>
      <c r="K5" s="12">
        <f>SUM(K7:K112)</f>
        <v>194535000</v>
      </c>
      <c r="L5" s="12"/>
      <c r="M5" s="12"/>
      <c r="N5" s="10"/>
      <c r="O5" s="10"/>
      <c r="P5" s="103"/>
      <c r="R5" s="85"/>
      <c r="S5" s="85"/>
      <c r="T5" s="85"/>
      <c r="U5" s="85"/>
      <c r="V5" s="85"/>
      <c r="W5" s="85"/>
      <c r="X5" s="85"/>
      <c r="Y5" s="85"/>
    </row>
    <row r="6" spans="1:29" s="89" customFormat="1" ht="37" customHeight="1" x14ac:dyDescent="0.3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8" t="s">
        <v>58</v>
      </c>
      <c r="H6" s="8" t="s">
        <v>68</v>
      </c>
      <c r="I6" s="8" t="s">
        <v>53</v>
      </c>
      <c r="J6" s="7" t="s">
        <v>87</v>
      </c>
      <c r="K6" s="7" t="s">
        <v>88</v>
      </c>
      <c r="L6" s="7" t="s">
        <v>79</v>
      </c>
      <c r="M6" s="7" t="s">
        <v>67</v>
      </c>
      <c r="N6" s="7" t="s">
        <v>10</v>
      </c>
      <c r="O6" s="7" t="s">
        <v>11</v>
      </c>
      <c r="P6" s="104"/>
      <c r="R6" s="85"/>
      <c r="S6" s="85"/>
      <c r="T6" s="85"/>
      <c r="U6" s="85"/>
      <c r="V6" s="85"/>
      <c r="W6" s="85"/>
      <c r="X6" s="85"/>
      <c r="Y6" s="85"/>
    </row>
    <row r="7" spans="1:29" s="84" customFormat="1" ht="29" customHeight="1" x14ac:dyDescent="0.3">
      <c r="A7" s="14">
        <f>ROW()-6</f>
        <v>1</v>
      </c>
      <c r="B7" s="69" t="s">
        <v>12</v>
      </c>
      <c r="C7" s="69" t="s">
        <v>13</v>
      </c>
      <c r="D7" s="15" t="s">
        <v>12</v>
      </c>
      <c r="E7" s="19"/>
      <c r="F7" s="16"/>
      <c r="G7" s="16" t="s">
        <v>54</v>
      </c>
      <c r="H7" s="16" t="str">
        <f>IFERROR(VLOOKUP(G7,Q:R,2,0),"")</f>
        <v>Người lớn</v>
      </c>
      <c r="I7" s="16">
        <v>8600000</v>
      </c>
      <c r="J7" s="40">
        <f>IFERROR(VLOOKUP(G7,Q:U,5,0),0)</f>
        <v>8540000</v>
      </c>
      <c r="K7" s="47">
        <f>VLOOKUP(H7,R:Y,8,0)</f>
        <v>6950000</v>
      </c>
      <c r="L7" s="75" t="s">
        <v>82</v>
      </c>
      <c r="M7" s="40"/>
      <c r="N7" s="40" t="s">
        <v>14</v>
      </c>
      <c r="O7" s="60" t="s">
        <v>15</v>
      </c>
      <c r="P7" s="50"/>
      <c r="Q7" s="90" t="s">
        <v>58</v>
      </c>
      <c r="R7" s="112" t="s">
        <v>49</v>
      </c>
      <c r="S7" s="112" t="s">
        <v>51</v>
      </c>
      <c r="T7" s="112" t="s">
        <v>52</v>
      </c>
      <c r="U7" s="113" t="s">
        <v>85</v>
      </c>
      <c r="V7" s="114"/>
      <c r="W7" s="112" t="s">
        <v>51</v>
      </c>
      <c r="X7" s="112" t="s">
        <v>52</v>
      </c>
      <c r="Y7" s="113" t="s">
        <v>86</v>
      </c>
      <c r="Z7" s="91"/>
      <c r="AA7" s="92" t="s">
        <v>83</v>
      </c>
      <c r="AB7" s="91"/>
      <c r="AC7" s="91"/>
    </row>
    <row r="8" spans="1:29" s="84" customFormat="1" ht="29" customHeight="1" x14ac:dyDescent="0.3">
      <c r="A8" s="14">
        <f t="shared" ref="A8:A37" si="0">ROW()-6</f>
        <v>2</v>
      </c>
      <c r="B8" s="70"/>
      <c r="C8" s="70"/>
      <c r="D8" s="15" t="s">
        <v>76</v>
      </c>
      <c r="E8" s="15"/>
      <c r="F8" s="16" t="str">
        <f ca="1">IF(E8="","",YEAR(TODAY())-YEAR(E8))</f>
        <v/>
      </c>
      <c r="G8" s="16" t="s">
        <v>54</v>
      </c>
      <c r="H8" s="16" t="str">
        <f>IFERROR(VLOOKUP(G8,Q:R,2,0),"")</f>
        <v>Người lớn</v>
      </c>
      <c r="I8" s="16">
        <v>8600000</v>
      </c>
      <c r="J8" s="40">
        <f>IFERROR(VLOOKUP(G8,Q:U,5,0),0)</f>
        <v>8540000</v>
      </c>
      <c r="K8" s="47">
        <f>VLOOKUP(H8,R:Y,8,0)</f>
        <v>6950000</v>
      </c>
      <c r="L8" s="76"/>
      <c r="M8" s="40"/>
      <c r="N8" s="40" t="s">
        <v>14</v>
      </c>
      <c r="O8" s="61"/>
      <c r="P8" s="51"/>
      <c r="Q8" s="90" t="s">
        <v>54</v>
      </c>
      <c r="R8" s="93" t="s">
        <v>50</v>
      </c>
      <c r="S8" s="94">
        <v>4550000</v>
      </c>
      <c r="T8" s="94">
        <v>3990000</v>
      </c>
      <c r="U8" s="94">
        <f>SUM(S8:T8)</f>
        <v>8540000</v>
      </c>
      <c r="V8" s="91"/>
      <c r="W8" s="94">
        <v>3950000</v>
      </c>
      <c r="X8" s="94">
        <v>3000000</v>
      </c>
      <c r="Y8" s="94">
        <f>SUM(W8:X8)</f>
        <v>6950000</v>
      </c>
      <c r="Z8" s="91"/>
      <c r="AA8" s="95">
        <v>1330000</v>
      </c>
      <c r="AB8" s="95">
        <v>1600000</v>
      </c>
      <c r="AC8" s="96">
        <f>SUM(AA8:AB8)</f>
        <v>2930000</v>
      </c>
    </row>
    <row r="9" spans="1:29" s="84" customFormat="1" ht="29" customHeight="1" x14ac:dyDescent="0.3">
      <c r="A9" s="14">
        <f t="shared" si="0"/>
        <v>3</v>
      </c>
      <c r="B9" s="70"/>
      <c r="C9" s="70"/>
      <c r="D9" s="15" t="s">
        <v>44</v>
      </c>
      <c r="E9" s="19">
        <v>42005</v>
      </c>
      <c r="F9" s="16">
        <f ca="1">IF(E9="","",YEAR(TODAY())-YEAR(E9))</f>
        <v>9</v>
      </c>
      <c r="G9" s="16" t="s">
        <v>56</v>
      </c>
      <c r="H9" s="16" t="str">
        <f>IFERROR(VLOOKUP(G9,Q:R,2,0),"")</f>
        <v>Trẻ em 5-11 tuổi</v>
      </c>
      <c r="I9" s="16">
        <v>5800000</v>
      </c>
      <c r="J9" s="39">
        <v>8540000</v>
      </c>
      <c r="K9" s="49">
        <v>6950000</v>
      </c>
      <c r="L9" s="76"/>
      <c r="M9" s="40"/>
      <c r="N9" s="40" t="s">
        <v>14</v>
      </c>
      <c r="O9" s="61"/>
      <c r="P9" s="51"/>
      <c r="Q9" s="97" t="s">
        <v>56</v>
      </c>
      <c r="R9" s="93" t="s">
        <v>69</v>
      </c>
      <c r="S9" s="94">
        <f>S8/2</f>
        <v>2275000</v>
      </c>
      <c r="T9" s="94">
        <f>T8*0.9</f>
        <v>3591000</v>
      </c>
      <c r="U9" s="94">
        <f t="shared" ref="U9:U11" si="1">SUM(S9:T9)</f>
        <v>5866000</v>
      </c>
      <c r="V9" s="91"/>
      <c r="W9" s="94">
        <f>W8*70%</f>
        <v>2765000</v>
      </c>
      <c r="X9" s="94">
        <f>X8*0.9</f>
        <v>2700000</v>
      </c>
      <c r="Y9" s="94">
        <f t="shared" ref="Y9:Y11" si="2">SUM(W9:X9)</f>
        <v>5465000</v>
      </c>
      <c r="Z9" s="91"/>
      <c r="AA9" s="95">
        <v>1210000</v>
      </c>
      <c r="AB9" s="95">
        <v>1480000</v>
      </c>
      <c r="AC9" s="96">
        <f t="shared" ref="AC9:AC10" si="3">SUM(AA9:AB9)</f>
        <v>2690000</v>
      </c>
    </row>
    <row r="10" spans="1:29" s="84" customFormat="1" ht="29" customHeight="1" x14ac:dyDescent="0.3">
      <c r="A10" s="14">
        <f t="shared" si="0"/>
        <v>4</v>
      </c>
      <c r="B10" s="71"/>
      <c r="C10" s="71"/>
      <c r="D10" s="15" t="s">
        <v>45</v>
      </c>
      <c r="E10" s="19">
        <v>42736</v>
      </c>
      <c r="F10" s="16">
        <f ca="1">IF(E10="","",YEAR(TODAY())-YEAR(E10))</f>
        <v>7</v>
      </c>
      <c r="G10" s="16" t="s">
        <v>56</v>
      </c>
      <c r="H10" s="16" t="str">
        <f>IFERROR(VLOOKUP(G10,Q:R,2,0),"")</f>
        <v>Trẻ em 5-11 tuổi</v>
      </c>
      <c r="I10" s="16">
        <v>0</v>
      </c>
      <c r="J10" s="40">
        <f>IFERROR(VLOOKUP(G10,Q:U,5,0),0)</f>
        <v>5866000</v>
      </c>
      <c r="K10" s="49">
        <v>6950000</v>
      </c>
      <c r="L10" s="77"/>
      <c r="M10" s="40"/>
      <c r="N10" s="40" t="s">
        <v>16</v>
      </c>
      <c r="O10" s="62"/>
      <c r="P10" s="52"/>
      <c r="Q10" s="98" t="s">
        <v>57</v>
      </c>
      <c r="R10" s="107" t="s">
        <v>70</v>
      </c>
      <c r="S10" s="108">
        <v>0</v>
      </c>
      <c r="T10" s="108">
        <f>T9</f>
        <v>3591000</v>
      </c>
      <c r="U10" s="108">
        <f t="shared" si="1"/>
        <v>3591000</v>
      </c>
      <c r="V10" s="91"/>
      <c r="W10" s="109"/>
      <c r="X10" s="108">
        <f>X9</f>
        <v>2700000</v>
      </c>
      <c r="Y10" s="108">
        <f t="shared" si="2"/>
        <v>2700000</v>
      </c>
      <c r="Z10" s="91"/>
      <c r="AA10" s="95">
        <v>100000</v>
      </c>
      <c r="AB10" s="95">
        <v>120000</v>
      </c>
      <c r="AC10" s="96">
        <f t="shared" si="3"/>
        <v>220000</v>
      </c>
    </row>
    <row r="11" spans="1:29" ht="28" customHeight="1" x14ac:dyDescent="0.3">
      <c r="A11" s="14">
        <f t="shared" si="0"/>
        <v>5</v>
      </c>
      <c r="B11" s="72" t="s">
        <v>17</v>
      </c>
      <c r="C11" s="60" t="s">
        <v>18</v>
      </c>
      <c r="D11" s="15" t="s">
        <v>17</v>
      </c>
      <c r="E11" s="19"/>
      <c r="F11" s="29"/>
      <c r="G11" s="16" t="s">
        <v>54</v>
      </c>
      <c r="H11" s="16" t="str">
        <f>IFERROR(VLOOKUP(G11,Q:R,2,0),"")</f>
        <v>Người lớn</v>
      </c>
      <c r="I11" s="16">
        <v>8600000</v>
      </c>
      <c r="J11" s="17">
        <f>IFERROR(VLOOKUP(G11,Q:U,5,0),0)</f>
        <v>8540000</v>
      </c>
      <c r="K11" s="47">
        <f>VLOOKUP(H11,R:Y,8,0)</f>
        <v>6950000</v>
      </c>
      <c r="L11" s="44"/>
      <c r="M11" s="17"/>
      <c r="N11" s="17" t="s">
        <v>14</v>
      </c>
      <c r="O11" s="60" t="s">
        <v>19</v>
      </c>
      <c r="P11" s="50"/>
      <c r="Q11" s="106" t="s">
        <v>55</v>
      </c>
      <c r="R11" s="99" t="s">
        <v>71</v>
      </c>
      <c r="S11" s="100">
        <v>0</v>
      </c>
      <c r="T11" s="100">
        <f>T8*10%</f>
        <v>399000</v>
      </c>
      <c r="U11" s="100">
        <f t="shared" si="1"/>
        <v>399000</v>
      </c>
      <c r="V11" s="102"/>
      <c r="W11" s="102"/>
      <c r="X11" s="94">
        <f>X9*10%</f>
        <v>270000</v>
      </c>
      <c r="Y11" s="94">
        <f t="shared" si="2"/>
        <v>270000</v>
      </c>
      <c r="Z11" s="101"/>
      <c r="AA11" s="95"/>
      <c r="AB11" s="95"/>
      <c r="AC11" s="101"/>
    </row>
    <row r="12" spans="1:29" ht="28" customHeight="1" x14ac:dyDescent="0.3">
      <c r="A12" s="14">
        <f t="shared" si="0"/>
        <v>6</v>
      </c>
      <c r="B12" s="73"/>
      <c r="C12" s="61"/>
      <c r="D12" s="15" t="s">
        <v>60</v>
      </c>
      <c r="E12" s="19"/>
      <c r="F12" s="29"/>
      <c r="G12" s="16" t="s">
        <v>54</v>
      </c>
      <c r="H12" s="16" t="str">
        <f>IFERROR(VLOOKUP(G12,Q:R,2,0),"")</f>
        <v>Người lớn</v>
      </c>
      <c r="I12" s="16">
        <v>8600000</v>
      </c>
      <c r="J12" s="17">
        <f>IFERROR(VLOOKUP(G12,Q:U,5,0),0)</f>
        <v>8540000</v>
      </c>
      <c r="K12" s="47">
        <f>VLOOKUP(H12,R:Y,8,0)</f>
        <v>6950000</v>
      </c>
      <c r="L12" s="44"/>
      <c r="M12" s="17"/>
      <c r="N12" s="17" t="s">
        <v>14</v>
      </c>
      <c r="O12" s="61"/>
      <c r="P12" s="105"/>
      <c r="Q12" s="101"/>
      <c r="R12" s="110" t="s">
        <v>89</v>
      </c>
      <c r="S12" s="110"/>
      <c r="T12" s="110"/>
      <c r="U12" s="110">
        <v>243229000</v>
      </c>
      <c r="V12" s="110"/>
      <c r="W12" s="110"/>
      <c r="X12" s="111"/>
      <c r="Y12" s="110">
        <v>194535000</v>
      </c>
      <c r="Z12" s="101"/>
      <c r="AA12" s="95"/>
      <c r="AB12" s="95"/>
      <c r="AC12" s="101"/>
    </row>
    <row r="13" spans="1:29" ht="28" customHeight="1" x14ac:dyDescent="0.3">
      <c r="A13" s="14">
        <f t="shared" si="0"/>
        <v>7</v>
      </c>
      <c r="B13" s="74"/>
      <c r="C13" s="62"/>
      <c r="D13" s="15" t="s">
        <v>61</v>
      </c>
      <c r="E13" s="19">
        <v>42185</v>
      </c>
      <c r="F13" s="29">
        <f ca="1">IF(E13="","",YEAR(TODAY())-YEAR(E13))</f>
        <v>9</v>
      </c>
      <c r="G13" s="27" t="s">
        <v>56</v>
      </c>
      <c r="H13" s="16" t="str">
        <f>IFERROR(VLOOKUP(G13,Q:R,2,0),"")</f>
        <v>Trẻ em 5-11 tuổi</v>
      </c>
      <c r="I13" s="16">
        <v>5800000</v>
      </c>
      <c r="J13" s="17">
        <f>IFERROR(VLOOKUP(G13,Q:U,5,0),0)</f>
        <v>5866000</v>
      </c>
      <c r="K13" s="47">
        <f>VLOOKUP(H13,R:Y,8,0)</f>
        <v>5465000</v>
      </c>
      <c r="L13" s="44"/>
      <c r="M13" s="17"/>
      <c r="N13" s="17" t="s">
        <v>14</v>
      </c>
      <c r="O13" s="62"/>
      <c r="P13" s="105"/>
      <c r="Q13" s="101"/>
      <c r="R13" s="115" t="s">
        <v>90</v>
      </c>
      <c r="S13" s="115"/>
      <c r="T13" s="115"/>
      <c r="U13" s="115">
        <v>230000000</v>
      </c>
      <c r="V13" s="116"/>
      <c r="W13" s="116"/>
      <c r="X13" s="117"/>
      <c r="Y13" s="116"/>
      <c r="Z13" s="101"/>
      <c r="AA13" s="92" t="s">
        <v>84</v>
      </c>
      <c r="AB13" s="95"/>
      <c r="AC13" s="101"/>
    </row>
    <row r="14" spans="1:29" ht="28" customHeight="1" x14ac:dyDescent="0.3">
      <c r="A14" s="14">
        <f t="shared" si="0"/>
        <v>8</v>
      </c>
      <c r="B14" s="72" t="s">
        <v>20</v>
      </c>
      <c r="C14" s="60" t="s">
        <v>21</v>
      </c>
      <c r="D14" s="15" t="s">
        <v>20</v>
      </c>
      <c r="E14" s="15"/>
      <c r="F14" s="29" t="str">
        <f ca="1">IF(E14="","",YEAR(TODAY())-YEAR(E14))</f>
        <v/>
      </c>
      <c r="G14" s="16" t="s">
        <v>54</v>
      </c>
      <c r="H14" s="16" t="str">
        <f>IFERROR(VLOOKUP(G14,Q:R,2,0),"")</f>
        <v>Người lớn</v>
      </c>
      <c r="I14" s="16">
        <v>8600000</v>
      </c>
      <c r="J14" s="17">
        <f>IFERROR(VLOOKUP(G14,Q:U,5,0),0)</f>
        <v>8540000</v>
      </c>
      <c r="K14" s="47">
        <f>VLOOKUP(H14,R:Y,8,0)</f>
        <v>6950000</v>
      </c>
      <c r="L14" s="44"/>
      <c r="M14" s="17"/>
      <c r="N14" s="17" t="s">
        <v>14</v>
      </c>
      <c r="O14" s="60" t="s">
        <v>19</v>
      </c>
      <c r="P14" s="105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95">
        <v>1230000</v>
      </c>
      <c r="AB14" s="95">
        <v>1750000</v>
      </c>
      <c r="AC14" s="96">
        <f t="shared" ref="AC14:AC16" si="4">SUM(AA14:AB14)</f>
        <v>2980000</v>
      </c>
    </row>
    <row r="15" spans="1:29" ht="28" customHeight="1" x14ac:dyDescent="0.3">
      <c r="A15" s="14">
        <f t="shared" si="0"/>
        <v>9</v>
      </c>
      <c r="B15" s="73"/>
      <c r="C15" s="61"/>
      <c r="D15" s="15" t="s">
        <v>48</v>
      </c>
      <c r="E15" s="15"/>
      <c r="F15" s="29" t="str">
        <f ca="1">IF(E15="","",YEAR(TODAY())-YEAR(E15))</f>
        <v/>
      </c>
      <c r="G15" s="16" t="s">
        <v>54</v>
      </c>
      <c r="H15" s="16" t="str">
        <f>IFERROR(VLOOKUP(G15,Q:R,2,0),"")</f>
        <v>Người lớn</v>
      </c>
      <c r="I15" s="16">
        <v>8600000</v>
      </c>
      <c r="J15" s="17">
        <f>IFERROR(VLOOKUP(G15,Q:U,5,0),0)</f>
        <v>8540000</v>
      </c>
      <c r="K15" s="47">
        <f>VLOOKUP(H15,R:Y,8,0)</f>
        <v>6950000</v>
      </c>
      <c r="L15" s="44"/>
      <c r="M15" s="17"/>
      <c r="N15" s="17" t="s">
        <v>14</v>
      </c>
      <c r="O15" s="61"/>
      <c r="P15" s="105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95">
        <v>1120000</v>
      </c>
      <c r="AB15" s="95">
        <v>1630000</v>
      </c>
      <c r="AC15" s="96">
        <f t="shared" si="4"/>
        <v>2750000</v>
      </c>
    </row>
    <row r="16" spans="1:29" ht="28" customHeight="1" x14ac:dyDescent="0.3">
      <c r="A16" s="14">
        <f t="shared" si="0"/>
        <v>10</v>
      </c>
      <c r="B16" s="74"/>
      <c r="C16" s="62"/>
      <c r="D16" s="15" t="s">
        <v>22</v>
      </c>
      <c r="E16" s="19">
        <v>44467</v>
      </c>
      <c r="F16" s="29">
        <f ca="1">IF(E16="","",YEAR(TODAY())-YEAR(E16))</f>
        <v>3</v>
      </c>
      <c r="G16" s="27" t="s">
        <v>57</v>
      </c>
      <c r="H16" s="16" t="str">
        <f>IFERROR(VLOOKUP(G16,Q:R,2,0),"")</f>
        <v>Trẻ em 2-5 tuổi</v>
      </c>
      <c r="I16" s="16">
        <v>5800000</v>
      </c>
      <c r="J16" s="38">
        <v>5866000</v>
      </c>
      <c r="K16" s="47">
        <f>VLOOKUP(H16,R:Y,8,0)</f>
        <v>2700000</v>
      </c>
      <c r="L16" s="44"/>
      <c r="M16" s="17"/>
      <c r="N16" s="17" t="s">
        <v>14</v>
      </c>
      <c r="O16" s="62"/>
      <c r="P16" s="105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95">
        <v>90000</v>
      </c>
      <c r="AB16" s="95">
        <v>130000</v>
      </c>
      <c r="AC16" s="96">
        <f t="shared" si="4"/>
        <v>220000</v>
      </c>
    </row>
    <row r="17" spans="1:29" ht="28" customHeight="1" x14ac:dyDescent="0.3">
      <c r="A17" s="14">
        <f t="shared" si="0"/>
        <v>11</v>
      </c>
      <c r="B17" s="72" t="s">
        <v>23</v>
      </c>
      <c r="C17" s="60" t="s">
        <v>24</v>
      </c>
      <c r="D17" s="15" t="s">
        <v>23</v>
      </c>
      <c r="E17" s="19"/>
      <c r="F17" s="29"/>
      <c r="G17" s="16" t="s">
        <v>54</v>
      </c>
      <c r="H17" s="16" t="str">
        <f>IFERROR(VLOOKUP(G17,Q:R,2,0),"")</f>
        <v>Người lớn</v>
      </c>
      <c r="I17" s="16">
        <v>8600000</v>
      </c>
      <c r="J17" s="17">
        <f>IFERROR(VLOOKUP(G17,Q:U,5,0),0)</f>
        <v>8540000</v>
      </c>
      <c r="K17" s="47">
        <f>VLOOKUP(H17,R:Y,8,0)</f>
        <v>6950000</v>
      </c>
      <c r="L17" s="44"/>
      <c r="M17" s="17"/>
      <c r="N17" s="17" t="s">
        <v>14</v>
      </c>
      <c r="O17" s="60" t="s">
        <v>19</v>
      </c>
      <c r="P17" s="105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spans="1:29" ht="28" customHeight="1" x14ac:dyDescent="0.3">
      <c r="A18" s="14">
        <f t="shared" si="0"/>
        <v>12</v>
      </c>
      <c r="B18" s="73"/>
      <c r="C18" s="61"/>
      <c r="D18" s="15" t="s">
        <v>43</v>
      </c>
      <c r="E18" s="19"/>
      <c r="F18" s="29"/>
      <c r="G18" s="16" t="s">
        <v>54</v>
      </c>
      <c r="H18" s="16" t="str">
        <f>IFERROR(VLOOKUP(G18,Q:R,2,0),"")</f>
        <v>Người lớn</v>
      </c>
      <c r="I18" s="16">
        <v>8600000</v>
      </c>
      <c r="J18" s="17">
        <f>IFERROR(VLOOKUP(G18,Q:U,5,0),0)</f>
        <v>8540000</v>
      </c>
      <c r="K18" s="47">
        <f>VLOOKUP(H18,R:Y,8,0)</f>
        <v>6950000</v>
      </c>
      <c r="L18" s="44"/>
      <c r="M18" s="17"/>
      <c r="N18" s="17" t="s">
        <v>14</v>
      </c>
      <c r="O18" s="61"/>
      <c r="P18" s="105"/>
    </row>
    <row r="19" spans="1:29" ht="28" customHeight="1" x14ac:dyDescent="0.3">
      <c r="A19" s="14">
        <f t="shared" si="0"/>
        <v>13</v>
      </c>
      <c r="B19" s="72" t="s">
        <v>25</v>
      </c>
      <c r="C19" s="60" t="s">
        <v>26</v>
      </c>
      <c r="D19" s="15" t="s">
        <v>25</v>
      </c>
      <c r="E19" s="15"/>
      <c r="F19" s="29" t="str">
        <f ca="1">IF(E19="","",YEAR(TODAY())-YEAR(E19))</f>
        <v/>
      </c>
      <c r="G19" s="16" t="s">
        <v>54</v>
      </c>
      <c r="H19" s="16" t="str">
        <f>IFERROR(VLOOKUP(G19,Q:R,2,0),"")</f>
        <v>Người lớn</v>
      </c>
      <c r="I19" s="16">
        <v>8600000</v>
      </c>
      <c r="J19" s="17">
        <f>IFERROR(VLOOKUP(G19,Q:U,5,0),0)</f>
        <v>8540000</v>
      </c>
      <c r="K19" s="47">
        <f>VLOOKUP(H19,R:Y,8,0)</f>
        <v>6950000</v>
      </c>
      <c r="L19" s="44"/>
      <c r="M19" s="17"/>
      <c r="N19" s="17" t="s">
        <v>14</v>
      </c>
      <c r="O19" s="60" t="s">
        <v>81</v>
      </c>
      <c r="P19" s="105"/>
    </row>
    <row r="20" spans="1:29" ht="28" customHeight="1" x14ac:dyDescent="0.3">
      <c r="A20" s="14">
        <f t="shared" si="0"/>
        <v>14</v>
      </c>
      <c r="B20" s="73"/>
      <c r="C20" s="61"/>
      <c r="D20" s="15" t="s">
        <v>77</v>
      </c>
      <c r="E20" s="15"/>
      <c r="F20" s="29" t="str">
        <f ca="1">IF(E20="","",YEAR(TODAY())-YEAR(E20))</f>
        <v/>
      </c>
      <c r="G20" s="37" t="s">
        <v>54</v>
      </c>
      <c r="H20" s="16" t="str">
        <f>IFERROR(VLOOKUP(G20,Q:R,2,0),"")</f>
        <v>Người lớn</v>
      </c>
      <c r="I20" s="16">
        <v>8600000</v>
      </c>
      <c r="J20" s="17">
        <f>IFERROR(VLOOKUP(G20,Q:U,5,0),0)</f>
        <v>8540000</v>
      </c>
      <c r="K20" s="47">
        <f>VLOOKUP(H20,R:Y,8,0)</f>
        <v>6950000</v>
      </c>
      <c r="L20" s="44"/>
      <c r="M20" s="17"/>
      <c r="N20" s="17" t="s">
        <v>14</v>
      </c>
      <c r="O20" s="61"/>
      <c r="P20" s="105"/>
    </row>
    <row r="21" spans="1:29" ht="28" customHeight="1" x14ac:dyDescent="0.3">
      <c r="A21" s="14">
        <f t="shared" si="0"/>
        <v>15</v>
      </c>
      <c r="B21" s="74"/>
      <c r="C21" s="62"/>
      <c r="D21" s="15" t="s">
        <v>78</v>
      </c>
      <c r="E21" s="15"/>
      <c r="F21" s="29" t="str">
        <f ca="1">IF(E21="","",YEAR(TODAY())-YEAR(E21))</f>
        <v/>
      </c>
      <c r="G21" s="37" t="s">
        <v>54</v>
      </c>
      <c r="H21" s="16" t="str">
        <f>IFERROR(VLOOKUP(G21,Q:R,2,0),"")</f>
        <v>Người lớn</v>
      </c>
      <c r="I21" s="16">
        <v>5800000</v>
      </c>
      <c r="J21" s="17">
        <f>IFERROR(VLOOKUP(G21,Q:U,5,0),0)</f>
        <v>8540000</v>
      </c>
      <c r="K21" s="47">
        <f>VLOOKUP(H21,R:Y,8,0)</f>
        <v>6950000</v>
      </c>
      <c r="L21" s="44"/>
      <c r="M21" s="17"/>
      <c r="N21" s="17" t="s">
        <v>14</v>
      </c>
      <c r="O21" s="62"/>
      <c r="P21" s="105"/>
    </row>
    <row r="22" spans="1:29" ht="28" customHeight="1" x14ac:dyDescent="0.3">
      <c r="A22" s="14">
        <f t="shared" si="0"/>
        <v>16</v>
      </c>
      <c r="B22" s="72" t="s">
        <v>30</v>
      </c>
      <c r="C22" s="60" t="s">
        <v>28</v>
      </c>
      <c r="D22" s="15" t="s">
        <v>27</v>
      </c>
      <c r="E22" s="19"/>
      <c r="F22" s="29"/>
      <c r="G22" s="16" t="s">
        <v>54</v>
      </c>
      <c r="H22" s="16" t="str">
        <f>IFERROR(VLOOKUP(G22,Q:R,2,0),"")</f>
        <v>Người lớn</v>
      </c>
      <c r="I22" s="16">
        <v>8600000</v>
      </c>
      <c r="J22" s="17">
        <f>IFERROR(VLOOKUP(G22,Q:U,5,0),0)</f>
        <v>8540000</v>
      </c>
      <c r="K22" s="47">
        <f>VLOOKUP(H22,R:Y,8,0)</f>
        <v>6950000</v>
      </c>
      <c r="L22" s="44"/>
      <c r="M22" s="17"/>
      <c r="N22" s="17" t="s">
        <v>14</v>
      </c>
      <c r="O22" s="60" t="s">
        <v>15</v>
      </c>
      <c r="P22" s="105"/>
    </row>
    <row r="23" spans="1:29" ht="28" customHeight="1" x14ac:dyDescent="0.3">
      <c r="A23" s="14">
        <f t="shared" si="0"/>
        <v>17</v>
      </c>
      <c r="B23" s="73"/>
      <c r="C23" s="61"/>
      <c r="D23" s="20" t="s">
        <v>30</v>
      </c>
      <c r="E23" s="21"/>
      <c r="F23" s="30"/>
      <c r="G23" s="16" t="s">
        <v>54</v>
      </c>
      <c r="H23" s="16" t="str">
        <f>IFERROR(VLOOKUP(G23,Q:R,2,0),"")</f>
        <v>Người lớn</v>
      </c>
      <c r="I23" s="16">
        <v>8600000</v>
      </c>
      <c r="J23" s="17">
        <f>IFERROR(VLOOKUP(G23,Q:U,5,0),0)</f>
        <v>8540000</v>
      </c>
      <c r="K23" s="47">
        <f>VLOOKUP(H23,R:Y,8,0)</f>
        <v>6950000</v>
      </c>
      <c r="L23" s="44"/>
      <c r="M23" s="17"/>
      <c r="N23" s="17" t="s">
        <v>14</v>
      </c>
      <c r="O23" s="61"/>
      <c r="P23" s="105"/>
    </row>
    <row r="24" spans="1:29" ht="28" customHeight="1" x14ac:dyDescent="0.3">
      <c r="A24" s="14">
        <f t="shared" si="0"/>
        <v>18</v>
      </c>
      <c r="B24" s="73"/>
      <c r="C24" s="60" t="s">
        <v>31</v>
      </c>
      <c r="D24" s="20" t="s">
        <v>46</v>
      </c>
      <c r="E24" s="21"/>
      <c r="F24" s="30"/>
      <c r="G24" s="16" t="s">
        <v>54</v>
      </c>
      <c r="H24" s="16" t="str">
        <f>IFERROR(VLOOKUP(G24,Q:R,2,0),"")</f>
        <v>Người lớn</v>
      </c>
      <c r="I24" s="16">
        <v>8600000</v>
      </c>
      <c r="J24" s="17">
        <f>IFERROR(VLOOKUP(G24,Q:U,5,0),0)</f>
        <v>8540000</v>
      </c>
      <c r="K24" s="47">
        <f>VLOOKUP(H24,R:Y,8,0)</f>
        <v>6950000</v>
      </c>
      <c r="L24" s="44"/>
      <c r="M24" s="17"/>
      <c r="N24" s="17" t="s">
        <v>14</v>
      </c>
      <c r="O24" s="61" t="s">
        <v>15</v>
      </c>
      <c r="P24" s="105"/>
    </row>
    <row r="25" spans="1:29" ht="28" customHeight="1" x14ac:dyDescent="0.3">
      <c r="A25" s="14">
        <f t="shared" si="0"/>
        <v>19</v>
      </c>
      <c r="B25" s="74"/>
      <c r="C25" s="61"/>
      <c r="D25" s="20" t="s">
        <v>47</v>
      </c>
      <c r="E25" s="21"/>
      <c r="F25" s="30"/>
      <c r="G25" s="16" t="s">
        <v>54</v>
      </c>
      <c r="H25" s="16" t="str">
        <f>IFERROR(VLOOKUP(G25,Q:R,2,0),"")</f>
        <v>Người lớn</v>
      </c>
      <c r="I25" s="16">
        <v>5800000</v>
      </c>
      <c r="J25" s="17">
        <f>IFERROR(VLOOKUP(G25,Q:U,5,0),0)</f>
        <v>8540000</v>
      </c>
      <c r="K25" s="47">
        <f>VLOOKUP(H25,R:Y,8,0)</f>
        <v>6950000</v>
      </c>
      <c r="L25" s="44"/>
      <c r="M25" s="17"/>
      <c r="N25" s="17" t="s">
        <v>14</v>
      </c>
      <c r="O25" s="62"/>
      <c r="P25" s="105"/>
    </row>
    <row r="26" spans="1:29" ht="28" customHeight="1" x14ac:dyDescent="0.3">
      <c r="A26" s="14">
        <f t="shared" si="0"/>
        <v>20</v>
      </c>
      <c r="B26" s="72" t="s">
        <v>74</v>
      </c>
      <c r="C26" s="60"/>
      <c r="D26" s="15" t="s">
        <v>74</v>
      </c>
      <c r="E26" s="19"/>
      <c r="F26" s="29"/>
      <c r="G26" s="16" t="s">
        <v>54</v>
      </c>
      <c r="H26" s="16" t="str">
        <f>IFERROR(VLOOKUP(G26,Q:R,2,0),"")</f>
        <v>Người lớn</v>
      </c>
      <c r="I26" s="16">
        <v>8600000</v>
      </c>
      <c r="J26" s="17">
        <f>IFERROR(VLOOKUP(G26,Q:U,5,0),0)</f>
        <v>8540000</v>
      </c>
      <c r="K26" s="47">
        <f>VLOOKUP(H26,R:Y,8,0)</f>
        <v>6950000</v>
      </c>
      <c r="L26" s="44"/>
      <c r="M26" s="17"/>
      <c r="N26" s="17" t="s">
        <v>14</v>
      </c>
      <c r="O26" s="60" t="s">
        <v>19</v>
      </c>
      <c r="P26" s="105"/>
    </row>
    <row r="27" spans="1:29" ht="28" customHeight="1" x14ac:dyDescent="0.3">
      <c r="A27" s="14">
        <f t="shared" si="0"/>
        <v>21</v>
      </c>
      <c r="B27" s="73"/>
      <c r="C27" s="61"/>
      <c r="D27" s="15" t="s">
        <v>75</v>
      </c>
      <c r="E27" s="19"/>
      <c r="F27" s="29"/>
      <c r="G27" s="16" t="s">
        <v>54</v>
      </c>
      <c r="H27" s="16" t="str">
        <f>IFERROR(VLOOKUP(G27,Q:R,2,0),"")</f>
        <v>Người lớn</v>
      </c>
      <c r="I27" s="16">
        <v>5800000</v>
      </c>
      <c r="J27" s="17">
        <f>IFERROR(VLOOKUP(G27,Q:U,5,0),0)</f>
        <v>8540000</v>
      </c>
      <c r="K27" s="47">
        <f>VLOOKUP(H27,R:Y,8,0)</f>
        <v>6950000</v>
      </c>
      <c r="L27" s="44"/>
      <c r="M27" s="17"/>
      <c r="N27" s="17" t="s">
        <v>14</v>
      </c>
      <c r="O27" s="61"/>
      <c r="P27" s="105"/>
    </row>
    <row r="28" spans="1:29" ht="28" customHeight="1" x14ac:dyDescent="0.3">
      <c r="A28" s="14">
        <f t="shared" si="0"/>
        <v>22</v>
      </c>
      <c r="B28" s="78" t="s">
        <v>29</v>
      </c>
      <c r="C28" s="63" t="s">
        <v>41</v>
      </c>
      <c r="D28" s="20" t="s">
        <v>29</v>
      </c>
      <c r="E28" s="21"/>
      <c r="F28" s="30"/>
      <c r="G28" s="16" t="s">
        <v>54</v>
      </c>
      <c r="H28" s="16" t="str">
        <f>IFERROR(VLOOKUP(G28,Q:R,2,0),"")</f>
        <v>Người lớn</v>
      </c>
      <c r="I28" s="16">
        <v>8600000</v>
      </c>
      <c r="J28" s="17">
        <f>IFERROR(VLOOKUP(G28,Q:U,5,0),0)</f>
        <v>8540000</v>
      </c>
      <c r="K28" s="47">
        <f>VLOOKUP(H28,R:Y,8,0)</f>
        <v>6950000</v>
      </c>
      <c r="L28" s="44"/>
      <c r="M28" s="17"/>
      <c r="N28" s="17" t="s">
        <v>14</v>
      </c>
      <c r="O28" s="60" t="s">
        <v>19</v>
      </c>
      <c r="P28" s="105"/>
    </row>
    <row r="29" spans="1:29" ht="28" customHeight="1" x14ac:dyDescent="0.3">
      <c r="A29" s="14">
        <f t="shared" si="0"/>
        <v>23</v>
      </c>
      <c r="B29" s="79"/>
      <c r="C29" s="64"/>
      <c r="D29" s="20" t="s">
        <v>62</v>
      </c>
      <c r="E29" s="21"/>
      <c r="F29" s="30"/>
      <c r="G29" s="16" t="s">
        <v>54</v>
      </c>
      <c r="H29" s="16" t="str">
        <f>IFERROR(VLOOKUP(G29,Q:R,2,0),"")</f>
        <v>Người lớn</v>
      </c>
      <c r="I29" s="16">
        <v>8600000</v>
      </c>
      <c r="J29" s="17">
        <f>IFERROR(VLOOKUP(G29,Q:U,5,0),0)</f>
        <v>8540000</v>
      </c>
      <c r="K29" s="47">
        <f>VLOOKUP(H29,R:Y,8,0)</f>
        <v>6950000</v>
      </c>
      <c r="L29" s="44"/>
      <c r="M29" s="17"/>
      <c r="N29" s="17" t="s">
        <v>14</v>
      </c>
      <c r="O29" s="61"/>
      <c r="P29" s="105"/>
    </row>
    <row r="30" spans="1:29" ht="28" customHeight="1" x14ac:dyDescent="0.3">
      <c r="A30" s="14">
        <f t="shared" si="0"/>
        <v>24</v>
      </c>
      <c r="B30" s="80"/>
      <c r="C30" s="65"/>
      <c r="D30" s="20" t="s">
        <v>63</v>
      </c>
      <c r="E30" s="21">
        <v>41129</v>
      </c>
      <c r="F30" s="30">
        <v>12</v>
      </c>
      <c r="G30" s="16" t="s">
        <v>54</v>
      </c>
      <c r="H30" s="16" t="str">
        <f>IFERROR(VLOOKUP(G30,Q:R,2,0),"")</f>
        <v>Người lớn</v>
      </c>
      <c r="I30" s="16">
        <v>5800000</v>
      </c>
      <c r="J30" s="17">
        <f>IFERROR(VLOOKUP(G30,Q:U,5,0),0)</f>
        <v>8540000</v>
      </c>
      <c r="K30" s="47">
        <f>VLOOKUP(H30,R:Y,8,0)</f>
        <v>6950000</v>
      </c>
      <c r="L30" s="44"/>
      <c r="M30" s="17"/>
      <c r="N30" s="17" t="s">
        <v>14</v>
      </c>
      <c r="O30" s="62"/>
      <c r="P30" s="105"/>
    </row>
    <row r="31" spans="1:29" ht="28" customHeight="1" x14ac:dyDescent="0.3">
      <c r="A31" s="14">
        <f t="shared" si="0"/>
        <v>25</v>
      </c>
      <c r="B31" s="72" t="s">
        <v>32</v>
      </c>
      <c r="C31" s="60" t="s">
        <v>33</v>
      </c>
      <c r="D31" s="20" t="s">
        <v>32</v>
      </c>
      <c r="E31" s="21"/>
      <c r="F31" s="30"/>
      <c r="G31" s="16" t="s">
        <v>54</v>
      </c>
      <c r="H31" s="16" t="str">
        <f>IFERROR(VLOOKUP(G31,Q:R,2,0),"")</f>
        <v>Người lớn</v>
      </c>
      <c r="I31" s="16">
        <v>8600000</v>
      </c>
      <c r="J31" s="17">
        <f>IFERROR(VLOOKUP(G31,Q:U,5,0),0)</f>
        <v>8540000</v>
      </c>
      <c r="K31" s="47">
        <f>VLOOKUP(H31,R:Y,8,0)</f>
        <v>6950000</v>
      </c>
      <c r="L31" s="44"/>
      <c r="M31" s="17"/>
      <c r="N31" s="17" t="s">
        <v>14</v>
      </c>
      <c r="O31" s="60" t="s">
        <v>19</v>
      </c>
      <c r="P31" s="105"/>
    </row>
    <row r="32" spans="1:29" ht="28" customHeight="1" x14ac:dyDescent="0.3">
      <c r="A32" s="14">
        <f t="shared" si="0"/>
        <v>26</v>
      </c>
      <c r="B32" s="73"/>
      <c r="C32" s="61"/>
      <c r="D32" s="20" t="s">
        <v>42</v>
      </c>
      <c r="E32" s="21"/>
      <c r="F32" s="30"/>
      <c r="G32" s="16" t="s">
        <v>54</v>
      </c>
      <c r="H32" s="16" t="str">
        <f>IFERROR(VLOOKUP(G32,Q:R,2,0),"")</f>
        <v>Người lớn</v>
      </c>
      <c r="I32" s="16">
        <v>8600000</v>
      </c>
      <c r="J32" s="17">
        <f>IFERROR(VLOOKUP(G32,Q:U,5,0),0)</f>
        <v>8540000</v>
      </c>
      <c r="K32" s="47">
        <f>VLOOKUP(H32,R:Y,8,0)</f>
        <v>6950000</v>
      </c>
      <c r="L32" s="44"/>
      <c r="M32" s="17"/>
      <c r="N32" s="17" t="s">
        <v>14</v>
      </c>
      <c r="O32" s="61"/>
      <c r="P32" s="105"/>
    </row>
    <row r="33" spans="1:16" ht="28" customHeight="1" x14ac:dyDescent="0.3">
      <c r="A33" s="14">
        <f t="shared" si="0"/>
        <v>27</v>
      </c>
      <c r="B33" s="74"/>
      <c r="C33" s="62"/>
      <c r="D33" s="20" t="s">
        <v>34</v>
      </c>
      <c r="E33" s="21">
        <v>44278</v>
      </c>
      <c r="F33" s="30">
        <v>3</v>
      </c>
      <c r="G33" s="27" t="s">
        <v>57</v>
      </c>
      <c r="H33" s="16" t="str">
        <f>IFERROR(VLOOKUP(G33,Q:R,2,0),"")</f>
        <v>Trẻ em 2-5 tuổi</v>
      </c>
      <c r="I33" s="16">
        <v>5800000</v>
      </c>
      <c r="J33" s="38">
        <v>5866000</v>
      </c>
      <c r="K33" s="47">
        <f>VLOOKUP(H33,R:Y,8,0)</f>
        <v>2700000</v>
      </c>
      <c r="L33" s="44"/>
      <c r="M33" s="17"/>
      <c r="N33" s="17" t="s">
        <v>14</v>
      </c>
      <c r="O33" s="62"/>
      <c r="P33" s="105"/>
    </row>
    <row r="34" spans="1:16" ht="28" customHeight="1" x14ac:dyDescent="0.3">
      <c r="A34" s="14">
        <f t="shared" si="0"/>
        <v>28</v>
      </c>
      <c r="B34" s="72" t="s">
        <v>35</v>
      </c>
      <c r="C34" s="60" t="s">
        <v>36</v>
      </c>
      <c r="D34" s="15" t="s">
        <v>35</v>
      </c>
      <c r="E34" s="19"/>
      <c r="F34" s="29"/>
      <c r="G34" s="16" t="s">
        <v>54</v>
      </c>
      <c r="H34" s="16" t="str">
        <f>IFERROR(VLOOKUP(G34,Q:R,2,0),"")</f>
        <v>Người lớn</v>
      </c>
      <c r="I34" s="16">
        <v>8600000</v>
      </c>
      <c r="J34" s="17">
        <f>IFERROR(VLOOKUP(G34,Q:U,5,0),0)</f>
        <v>8540000</v>
      </c>
      <c r="K34" s="47">
        <f>VLOOKUP(H34,R:Y,8,0)</f>
        <v>6950000</v>
      </c>
      <c r="L34" s="44"/>
      <c r="M34" s="17"/>
      <c r="N34" s="17" t="s">
        <v>14</v>
      </c>
      <c r="O34" s="60" t="s">
        <v>19</v>
      </c>
      <c r="P34" s="105"/>
    </row>
    <row r="35" spans="1:16" ht="28" customHeight="1" x14ac:dyDescent="0.3">
      <c r="A35" s="14">
        <f t="shared" si="0"/>
        <v>29</v>
      </c>
      <c r="B35" s="73"/>
      <c r="C35" s="61"/>
      <c r="D35" s="15" t="s">
        <v>37</v>
      </c>
      <c r="E35" s="19"/>
      <c r="F35" s="29"/>
      <c r="G35" s="16" t="s">
        <v>54</v>
      </c>
      <c r="H35" s="16" t="str">
        <f>IFERROR(VLOOKUP(G35,Q:R,2,0),"")</f>
        <v>Người lớn</v>
      </c>
      <c r="I35" s="16">
        <v>8600000</v>
      </c>
      <c r="J35" s="17">
        <f>IFERROR(VLOOKUP(G35,Q:U,5,0),0)</f>
        <v>8540000</v>
      </c>
      <c r="K35" s="47">
        <f>VLOOKUP(H35,R:Y,8,0)</f>
        <v>6950000</v>
      </c>
      <c r="L35" s="44"/>
      <c r="M35" s="17"/>
      <c r="N35" s="17" t="s">
        <v>14</v>
      </c>
      <c r="O35" s="61"/>
      <c r="P35" s="105"/>
    </row>
    <row r="36" spans="1:16" ht="28" customHeight="1" x14ac:dyDescent="0.3">
      <c r="A36" s="14">
        <f t="shared" si="0"/>
        <v>30</v>
      </c>
      <c r="B36" s="73"/>
      <c r="C36" s="61"/>
      <c r="D36" s="15" t="s">
        <v>38</v>
      </c>
      <c r="E36" s="19">
        <v>44095</v>
      </c>
      <c r="F36" s="29">
        <f ca="1">IF(E36="","",YEAR(TODAY())-YEAR(E36))</f>
        <v>4</v>
      </c>
      <c r="G36" s="27" t="s">
        <v>57</v>
      </c>
      <c r="H36" s="16" t="str">
        <f>IFERROR(VLOOKUP(G36,Q:R,2,0),"")</f>
        <v>Trẻ em 2-5 tuổi</v>
      </c>
      <c r="I36" s="16">
        <v>5800000</v>
      </c>
      <c r="J36" s="38">
        <v>5866000</v>
      </c>
      <c r="K36" s="47">
        <f>VLOOKUP(H36,R:Y,8,0)</f>
        <v>2700000</v>
      </c>
      <c r="L36" s="44"/>
      <c r="M36" s="17"/>
      <c r="N36" s="17" t="s">
        <v>14</v>
      </c>
      <c r="O36" s="61"/>
      <c r="P36" s="105"/>
    </row>
    <row r="37" spans="1:16" ht="28" customHeight="1" x14ac:dyDescent="0.3">
      <c r="A37" s="14">
        <f t="shared" si="0"/>
        <v>31</v>
      </c>
      <c r="B37" s="74"/>
      <c r="C37" s="62"/>
      <c r="D37" s="15" t="s">
        <v>40</v>
      </c>
      <c r="E37" s="19">
        <v>45089</v>
      </c>
      <c r="F37" s="29">
        <f ca="1">IF(E37="","",YEAR(TODAY())-YEAR(E37))</f>
        <v>1</v>
      </c>
      <c r="G37" s="16" t="s">
        <v>55</v>
      </c>
      <c r="H37" s="16" t="str">
        <f>IFERROR(VLOOKUP(G37,Q:R,2,0),"")</f>
        <v>Trẻ em &lt;2 tuổi</v>
      </c>
      <c r="I37" s="16">
        <v>0</v>
      </c>
      <c r="J37" s="17">
        <f>IFERROR(VLOOKUP(G37,Q:U,5,0),0)</f>
        <v>399000</v>
      </c>
      <c r="K37" s="40">
        <f>VLOOKUP(H37,R:Y,8,0)</f>
        <v>270000</v>
      </c>
      <c r="L37" s="44"/>
      <c r="M37" s="17"/>
      <c r="N37" s="17" t="s">
        <v>14</v>
      </c>
      <c r="O37" s="62"/>
      <c r="P37" s="105"/>
    </row>
  </sheetData>
  <autoFilter ref="A6:U37" xr:uid="{EC9CD8D2-0040-43BE-912C-54B79CEFAB6B}"/>
  <mergeCells count="37">
    <mergeCell ref="B28:B30"/>
    <mergeCell ref="C28:C30"/>
    <mergeCell ref="O28:O30"/>
    <mergeCell ref="O26:O27"/>
    <mergeCell ref="O22:O23"/>
    <mergeCell ref="O24:O25"/>
    <mergeCell ref="C22:C23"/>
    <mergeCell ref="B26:B27"/>
    <mergeCell ref="C26:C27"/>
    <mergeCell ref="B31:B33"/>
    <mergeCell ref="C31:C33"/>
    <mergeCell ref="O31:O33"/>
    <mergeCell ref="B34:B37"/>
    <mergeCell ref="C34:C37"/>
    <mergeCell ref="O34:O37"/>
    <mergeCell ref="C24:C25"/>
    <mergeCell ref="O7:O10"/>
    <mergeCell ref="B11:B13"/>
    <mergeCell ref="C11:C13"/>
    <mergeCell ref="O11:O13"/>
    <mergeCell ref="B14:B16"/>
    <mergeCell ref="C14:C16"/>
    <mergeCell ref="O14:O16"/>
    <mergeCell ref="L7:L10"/>
    <mergeCell ref="B17:B18"/>
    <mergeCell ref="C17:C18"/>
    <mergeCell ref="O17:O18"/>
    <mergeCell ref="B19:B21"/>
    <mergeCell ref="C19:C21"/>
    <mergeCell ref="O19:O21"/>
    <mergeCell ref="B22:B25"/>
    <mergeCell ref="A2:J2"/>
    <mergeCell ref="A3:J3"/>
    <mergeCell ref="A4:B4"/>
    <mergeCell ref="C4:D4"/>
    <mergeCell ref="B7:B10"/>
    <mergeCell ref="C7:C10"/>
  </mergeCells>
  <printOptions horizontalCentered="1"/>
  <pageMargins left="0" right="0" top="0" bottom="0" header="0" footer="0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D8D2-0040-43BE-912C-54B79CEFAB6B}">
  <dimension ref="A1:T38"/>
  <sheetViews>
    <sheetView zoomScale="85" zoomScaleNormal="85" zoomScaleSheetLayoutView="85" workbookViewId="0">
      <pane ySplit="6" topLeftCell="A14" activePane="bottomLeft" state="frozen"/>
      <selection pane="bottomLeft" activeCell="D7" sqref="D7:D18"/>
    </sheetView>
  </sheetViews>
  <sheetFormatPr defaultRowHeight="14.5" x14ac:dyDescent="0.35"/>
  <cols>
    <col min="1" max="1" width="6.6328125" customWidth="1"/>
    <col min="2" max="2" width="26.1796875" bestFit="1" customWidth="1"/>
    <col min="3" max="3" width="32.08984375" customWidth="1"/>
    <col min="4" max="5" width="25.36328125" customWidth="1"/>
    <col min="6" max="6" width="6.90625" style="28" customWidth="1"/>
    <col min="7" max="7" width="6.90625" style="1" customWidth="1"/>
    <col min="8" max="8" width="12.08984375" style="1" bestFit="1" customWidth="1"/>
    <col min="9" max="9" width="28.1796875" style="1" customWidth="1"/>
    <col min="10" max="12" width="25.08984375" customWidth="1"/>
    <col min="13" max="13" width="14.453125" hidden="1" customWidth="1"/>
    <col min="14" max="14" width="11.1796875" customWidth="1"/>
    <col min="15" max="15" width="16.453125" customWidth="1"/>
    <col min="16" max="16" width="13.81640625" customWidth="1"/>
    <col min="17" max="17" width="13.26953125" customWidth="1"/>
    <col min="18" max="18" width="13.54296875" bestFit="1" customWidth="1"/>
    <col min="19" max="20" width="13.453125" bestFit="1" customWidth="1"/>
  </cols>
  <sheetData>
    <row r="1" spans="1:20" ht="14.5" customHeight="1" x14ac:dyDescent="0.35"/>
    <row r="2" spans="1:20" ht="34.5" customHeight="1" x14ac:dyDescent="0.3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2"/>
      <c r="L2" s="2"/>
    </row>
    <row r="3" spans="1:20" ht="6.5" customHeight="1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3"/>
      <c r="L3" s="3"/>
    </row>
    <row r="4" spans="1:20" ht="17.5" x14ac:dyDescent="0.35">
      <c r="A4" s="55" t="s">
        <v>1</v>
      </c>
      <c r="B4" s="55"/>
      <c r="C4" s="56"/>
      <c r="D4" s="56"/>
      <c r="E4" s="4"/>
      <c r="F4" s="5"/>
      <c r="G4" s="5"/>
      <c r="H4" s="5"/>
      <c r="I4" s="5"/>
      <c r="J4" s="6"/>
      <c r="K4" s="6"/>
      <c r="L4" s="6"/>
    </row>
    <row r="5" spans="1:20" s="13" customFormat="1" ht="24" customHeight="1" x14ac:dyDescent="0.35">
      <c r="A5" s="10"/>
      <c r="B5" s="10" t="s">
        <v>66</v>
      </c>
      <c r="C5" s="10"/>
      <c r="D5" s="10">
        <f>COUNTA(D7:D113)</f>
        <v>31</v>
      </c>
      <c r="E5" s="10"/>
      <c r="F5" s="11"/>
      <c r="G5" s="10"/>
      <c r="H5" s="10"/>
      <c r="I5" s="12">
        <f>SUM(I7:I113)</f>
        <v>230000000</v>
      </c>
      <c r="J5" s="12">
        <f>SUM(J7:J113)</f>
        <v>236404000</v>
      </c>
      <c r="K5" s="12"/>
      <c r="L5" s="12"/>
      <c r="M5" s="10"/>
      <c r="N5" s="10"/>
    </row>
    <row r="6" spans="1:20" s="9" customFormat="1" ht="37" customHeight="1" x14ac:dyDescent="0.3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8" t="s">
        <v>58</v>
      </c>
      <c r="H6" s="8" t="s">
        <v>68</v>
      </c>
      <c r="I6" s="8" t="s">
        <v>53</v>
      </c>
      <c r="J6" s="7" t="s">
        <v>8</v>
      </c>
      <c r="K6" s="7" t="s">
        <v>67</v>
      </c>
      <c r="L6" s="7" t="s">
        <v>9</v>
      </c>
      <c r="M6" s="7" t="s">
        <v>10</v>
      </c>
      <c r="N6" s="7" t="s">
        <v>11</v>
      </c>
    </row>
    <row r="7" spans="1:20" ht="28" customHeight="1" x14ac:dyDescent="0.35">
      <c r="A7" s="14">
        <f>ROW()-6</f>
        <v>1</v>
      </c>
      <c r="B7" s="57" t="s">
        <v>12</v>
      </c>
      <c r="C7" s="57" t="s">
        <v>13</v>
      </c>
      <c r="D7" s="15" t="s">
        <v>12</v>
      </c>
      <c r="E7" s="19"/>
      <c r="F7" s="29"/>
      <c r="G7" s="16" t="s">
        <v>54</v>
      </c>
      <c r="H7" s="16" t="str">
        <f>IFERROR(VLOOKUP(G7,P:Q,2,0),"")</f>
        <v>Người lớn</v>
      </c>
      <c r="I7" s="16">
        <v>8600000</v>
      </c>
      <c r="J7" s="17">
        <f>IFERROR(VLOOKUP(G7,P:T,5,0),0)</f>
        <v>8540000</v>
      </c>
      <c r="K7" s="17"/>
      <c r="L7" s="17"/>
      <c r="M7" s="17" t="s">
        <v>14</v>
      </c>
      <c r="N7" s="60" t="s">
        <v>15</v>
      </c>
      <c r="O7" s="18"/>
      <c r="P7" s="22" t="s">
        <v>58</v>
      </c>
      <c r="Q7" s="24" t="s">
        <v>49</v>
      </c>
      <c r="R7" s="24" t="s">
        <v>51</v>
      </c>
      <c r="S7" s="24" t="s">
        <v>52</v>
      </c>
      <c r="T7" s="24"/>
    </row>
    <row r="8" spans="1:20" ht="28" customHeight="1" x14ac:dyDescent="0.35">
      <c r="A8" s="14">
        <f t="shared" ref="A8:A38" si="0">ROW()-6</f>
        <v>2</v>
      </c>
      <c r="B8" s="58"/>
      <c r="C8" s="58"/>
      <c r="D8" s="15" t="s">
        <v>76</v>
      </c>
      <c r="E8" s="15"/>
      <c r="F8" s="29" t="str">
        <f t="shared" ref="F8:F38" ca="1" si="1">IF(E8="","",YEAR(TODAY())-YEAR(E8))</f>
        <v/>
      </c>
      <c r="G8" s="16" t="s">
        <v>54</v>
      </c>
      <c r="H8" s="16" t="str">
        <f t="shared" ref="H8:H38" si="2">IFERROR(VLOOKUP(G8,P:Q,2,0),"")</f>
        <v>Người lớn</v>
      </c>
      <c r="I8" s="16">
        <v>8600000</v>
      </c>
      <c r="J8" s="17">
        <f>IFERROR(VLOOKUP(G8,P:T,5,0),0)</f>
        <v>8540000</v>
      </c>
      <c r="K8" s="17"/>
      <c r="L8" s="17"/>
      <c r="M8" s="17" t="s">
        <v>14</v>
      </c>
      <c r="N8" s="61"/>
      <c r="O8" s="18"/>
      <c r="P8" s="22" t="s">
        <v>54</v>
      </c>
      <c r="Q8" s="22" t="s">
        <v>50</v>
      </c>
      <c r="R8" s="23">
        <v>4550000</v>
      </c>
      <c r="S8" s="23">
        <v>3990000</v>
      </c>
      <c r="T8" s="23">
        <f>SUM(R8:S8)</f>
        <v>8540000</v>
      </c>
    </row>
    <row r="9" spans="1:20" ht="28" customHeight="1" x14ac:dyDescent="0.35">
      <c r="A9" s="14">
        <f t="shared" si="0"/>
        <v>3</v>
      </c>
      <c r="B9" s="58"/>
      <c r="C9" s="58"/>
      <c r="D9" s="15" t="s">
        <v>44</v>
      </c>
      <c r="E9" s="19">
        <v>42005</v>
      </c>
      <c r="F9" s="29">
        <f t="shared" ca="1" si="1"/>
        <v>9</v>
      </c>
      <c r="G9" s="16" t="s">
        <v>56</v>
      </c>
      <c r="H9" s="16" t="str">
        <f t="shared" si="2"/>
        <v>Trẻ em 5-11 tuổi</v>
      </c>
      <c r="I9" s="16">
        <v>5800000</v>
      </c>
      <c r="J9" s="17">
        <v>8540000</v>
      </c>
      <c r="K9" s="17"/>
      <c r="L9" s="17" t="s">
        <v>59</v>
      </c>
      <c r="M9" s="17" t="s">
        <v>14</v>
      </c>
      <c r="N9" s="61"/>
      <c r="O9" s="18"/>
      <c r="P9" s="25" t="s">
        <v>56</v>
      </c>
      <c r="Q9" s="22" t="s">
        <v>69</v>
      </c>
      <c r="R9" s="23">
        <f>R8/2</f>
        <v>2275000</v>
      </c>
      <c r="S9" s="23">
        <f>S8*0.9</f>
        <v>3591000</v>
      </c>
      <c r="T9" s="23">
        <f t="shared" ref="T9:T11" si="3">SUM(R9:S9)</f>
        <v>5866000</v>
      </c>
    </row>
    <row r="10" spans="1:20" ht="28" customHeight="1" x14ac:dyDescent="0.35">
      <c r="A10" s="14">
        <f t="shared" si="0"/>
        <v>4</v>
      </c>
      <c r="B10" s="59"/>
      <c r="C10" s="59"/>
      <c r="D10" s="15" t="s">
        <v>45</v>
      </c>
      <c r="E10" s="19">
        <v>42736</v>
      </c>
      <c r="F10" s="29">
        <f t="shared" ca="1" si="1"/>
        <v>7</v>
      </c>
      <c r="G10" s="16" t="s">
        <v>56</v>
      </c>
      <c r="H10" s="16" t="str">
        <f t="shared" si="2"/>
        <v>Trẻ em 5-11 tuổi</v>
      </c>
      <c r="I10" s="16">
        <v>0</v>
      </c>
      <c r="J10" s="17">
        <f t="shared" ref="J10:J38" si="4">IFERROR(VLOOKUP(G10,P:T,5,0),0)</f>
        <v>5866000</v>
      </c>
      <c r="K10" s="17"/>
      <c r="L10" s="17"/>
      <c r="M10" s="17" t="s">
        <v>16</v>
      </c>
      <c r="N10" s="62"/>
      <c r="O10" s="18"/>
      <c r="P10" s="26" t="s">
        <v>57</v>
      </c>
      <c r="Q10" s="22" t="s">
        <v>70</v>
      </c>
      <c r="R10" s="23">
        <v>0</v>
      </c>
      <c r="S10" s="23">
        <f>S9</f>
        <v>3591000</v>
      </c>
      <c r="T10" s="23">
        <f t="shared" si="3"/>
        <v>3591000</v>
      </c>
    </row>
    <row r="11" spans="1:20" ht="28" customHeight="1" x14ac:dyDescent="0.35">
      <c r="A11" s="14">
        <f t="shared" si="0"/>
        <v>5</v>
      </c>
      <c r="B11" s="60" t="s">
        <v>17</v>
      </c>
      <c r="C11" s="60" t="s">
        <v>18</v>
      </c>
      <c r="D11" s="15" t="s">
        <v>17</v>
      </c>
      <c r="E11" s="19"/>
      <c r="F11" s="29"/>
      <c r="G11" s="16" t="s">
        <v>54</v>
      </c>
      <c r="H11" s="16" t="str">
        <f t="shared" si="2"/>
        <v>Người lớn</v>
      </c>
      <c r="I11" s="16">
        <v>8600000</v>
      </c>
      <c r="J11" s="17">
        <f t="shared" si="4"/>
        <v>8540000</v>
      </c>
      <c r="K11" s="17"/>
      <c r="L11" s="17"/>
      <c r="M11" s="17" t="s">
        <v>14</v>
      </c>
      <c r="N11" s="60" t="s">
        <v>19</v>
      </c>
      <c r="O11" s="18"/>
      <c r="P11" s="22" t="s">
        <v>55</v>
      </c>
      <c r="Q11" s="22" t="s">
        <v>71</v>
      </c>
      <c r="R11" s="23">
        <v>0</v>
      </c>
      <c r="S11" s="23">
        <f>S8*10%</f>
        <v>399000</v>
      </c>
      <c r="T11" s="23">
        <f t="shared" si="3"/>
        <v>399000</v>
      </c>
    </row>
    <row r="12" spans="1:20" ht="28" customHeight="1" x14ac:dyDescent="0.35">
      <c r="A12" s="14">
        <f t="shared" si="0"/>
        <v>6</v>
      </c>
      <c r="B12" s="61"/>
      <c r="C12" s="61"/>
      <c r="D12" s="15" t="s">
        <v>60</v>
      </c>
      <c r="E12" s="19"/>
      <c r="F12" s="29"/>
      <c r="G12" s="16" t="s">
        <v>54</v>
      </c>
      <c r="H12" s="16" t="str">
        <f t="shared" si="2"/>
        <v>Người lớn</v>
      </c>
      <c r="I12" s="16">
        <v>8600000</v>
      </c>
      <c r="J12" s="17">
        <f t="shared" si="4"/>
        <v>8540000</v>
      </c>
      <c r="K12" s="17"/>
      <c r="L12" s="17"/>
      <c r="M12" s="17" t="s">
        <v>14</v>
      </c>
      <c r="N12" s="61"/>
      <c r="O12" s="18"/>
      <c r="R12" s="1"/>
      <c r="S12" s="1"/>
      <c r="T12" s="1"/>
    </row>
    <row r="13" spans="1:20" ht="28" customHeight="1" x14ac:dyDescent="0.35">
      <c r="A13" s="14">
        <f t="shared" si="0"/>
        <v>7</v>
      </c>
      <c r="B13" s="62"/>
      <c r="C13" s="62"/>
      <c r="D13" s="15" t="s">
        <v>61</v>
      </c>
      <c r="E13" s="19">
        <v>42185</v>
      </c>
      <c r="F13" s="29">
        <f t="shared" ca="1" si="1"/>
        <v>9</v>
      </c>
      <c r="G13" s="27" t="s">
        <v>56</v>
      </c>
      <c r="H13" s="16" t="str">
        <f t="shared" si="2"/>
        <v>Trẻ em 5-11 tuổi</v>
      </c>
      <c r="I13" s="16">
        <v>5800000</v>
      </c>
      <c r="J13" s="17">
        <f t="shared" si="4"/>
        <v>5866000</v>
      </c>
      <c r="K13" s="17"/>
      <c r="L13" s="17"/>
      <c r="M13" s="17" t="s">
        <v>14</v>
      </c>
      <c r="N13" s="62"/>
      <c r="O13" s="18"/>
    </row>
    <row r="14" spans="1:20" ht="28" customHeight="1" x14ac:dyDescent="0.35">
      <c r="A14" s="14">
        <f t="shared" si="0"/>
        <v>8</v>
      </c>
      <c r="B14" s="60" t="s">
        <v>20</v>
      </c>
      <c r="C14" s="60" t="s">
        <v>21</v>
      </c>
      <c r="D14" s="15" t="s">
        <v>20</v>
      </c>
      <c r="E14" s="15"/>
      <c r="F14" s="29" t="str">
        <f t="shared" ca="1" si="1"/>
        <v/>
      </c>
      <c r="G14" s="16" t="s">
        <v>54</v>
      </c>
      <c r="H14" s="16" t="str">
        <f t="shared" si="2"/>
        <v>Người lớn</v>
      </c>
      <c r="I14" s="16">
        <v>8600000</v>
      </c>
      <c r="J14" s="17">
        <f t="shared" si="4"/>
        <v>8540000</v>
      </c>
      <c r="K14" s="17"/>
      <c r="L14" s="17"/>
      <c r="M14" s="17" t="s">
        <v>14</v>
      </c>
      <c r="N14" s="60" t="s">
        <v>19</v>
      </c>
      <c r="O14" s="18"/>
    </row>
    <row r="15" spans="1:20" ht="28" customHeight="1" x14ac:dyDescent="0.35">
      <c r="A15" s="14">
        <f t="shared" si="0"/>
        <v>9</v>
      </c>
      <c r="B15" s="61"/>
      <c r="C15" s="61"/>
      <c r="D15" s="15" t="s">
        <v>48</v>
      </c>
      <c r="E15" s="15"/>
      <c r="F15" s="29" t="str">
        <f t="shared" ca="1" si="1"/>
        <v/>
      </c>
      <c r="G15" s="16" t="s">
        <v>54</v>
      </c>
      <c r="H15" s="16" t="str">
        <f t="shared" si="2"/>
        <v>Người lớn</v>
      </c>
      <c r="I15" s="16">
        <v>8600000</v>
      </c>
      <c r="J15" s="17">
        <f t="shared" si="4"/>
        <v>8540000</v>
      </c>
      <c r="K15" s="17"/>
      <c r="L15" s="17"/>
      <c r="M15" s="17" t="s">
        <v>14</v>
      </c>
      <c r="N15" s="61"/>
      <c r="O15" s="18"/>
    </row>
    <row r="16" spans="1:20" ht="28" customHeight="1" x14ac:dyDescent="0.35">
      <c r="A16" s="14">
        <f t="shared" si="0"/>
        <v>10</v>
      </c>
      <c r="B16" s="62"/>
      <c r="C16" s="62"/>
      <c r="D16" s="15" t="s">
        <v>22</v>
      </c>
      <c r="E16" s="19">
        <v>44467</v>
      </c>
      <c r="F16" s="29">
        <f t="shared" ca="1" si="1"/>
        <v>3</v>
      </c>
      <c r="G16" s="27" t="s">
        <v>57</v>
      </c>
      <c r="H16" s="16" t="str">
        <f t="shared" si="2"/>
        <v>Trẻ em 2-5 tuổi</v>
      </c>
      <c r="I16" s="16">
        <v>5800000</v>
      </c>
      <c r="J16" s="17">
        <f t="shared" si="4"/>
        <v>3591000</v>
      </c>
      <c r="K16" s="17"/>
      <c r="L16" s="17" t="s">
        <v>39</v>
      </c>
      <c r="M16" s="17" t="s">
        <v>14</v>
      </c>
      <c r="N16" s="62"/>
      <c r="O16" s="18"/>
    </row>
    <row r="17" spans="1:15" ht="28" customHeight="1" x14ac:dyDescent="0.35">
      <c r="A17" s="14">
        <f t="shared" si="0"/>
        <v>11</v>
      </c>
      <c r="B17" s="60" t="s">
        <v>23</v>
      </c>
      <c r="C17" s="60" t="s">
        <v>24</v>
      </c>
      <c r="D17" s="15" t="s">
        <v>23</v>
      </c>
      <c r="E17" s="19"/>
      <c r="F17" s="29"/>
      <c r="G17" s="16" t="s">
        <v>54</v>
      </c>
      <c r="H17" s="16" t="str">
        <f t="shared" si="2"/>
        <v>Người lớn</v>
      </c>
      <c r="I17" s="16">
        <v>8600000</v>
      </c>
      <c r="J17" s="17">
        <f t="shared" si="4"/>
        <v>8540000</v>
      </c>
      <c r="K17" s="17"/>
      <c r="L17" s="17"/>
      <c r="M17" s="17" t="s">
        <v>14</v>
      </c>
      <c r="N17" s="60" t="s">
        <v>19</v>
      </c>
      <c r="O17" s="18"/>
    </row>
    <row r="18" spans="1:15" ht="28" customHeight="1" x14ac:dyDescent="0.35">
      <c r="A18" s="14">
        <f t="shared" si="0"/>
        <v>12</v>
      </c>
      <c r="B18" s="61"/>
      <c r="C18" s="61"/>
      <c r="D18" s="15" t="s">
        <v>43</v>
      </c>
      <c r="E18" s="19"/>
      <c r="F18" s="29"/>
      <c r="G18" s="16" t="s">
        <v>54</v>
      </c>
      <c r="H18" s="16" t="str">
        <f t="shared" si="2"/>
        <v>Người lớn</v>
      </c>
      <c r="I18" s="16">
        <v>8600000</v>
      </c>
      <c r="J18" s="17">
        <f t="shared" si="4"/>
        <v>8540000</v>
      </c>
      <c r="K18" s="17"/>
      <c r="L18" s="17"/>
      <c r="M18" s="17" t="s">
        <v>14</v>
      </c>
      <c r="N18" s="61"/>
      <c r="O18" s="18"/>
    </row>
    <row r="19" spans="1:15" ht="28" customHeight="1" x14ac:dyDescent="0.35">
      <c r="A19" s="14">
        <f t="shared" si="0"/>
        <v>13</v>
      </c>
      <c r="B19" s="62"/>
      <c r="C19" s="62"/>
      <c r="D19" s="15"/>
      <c r="E19" s="15"/>
      <c r="F19" s="29" t="str">
        <f t="shared" ca="1" si="1"/>
        <v/>
      </c>
      <c r="G19" s="16"/>
      <c r="H19" s="16" t="str">
        <f t="shared" si="2"/>
        <v/>
      </c>
      <c r="I19" s="16">
        <v>5800000</v>
      </c>
      <c r="J19" s="17">
        <f t="shared" si="4"/>
        <v>0</v>
      </c>
      <c r="K19" s="17"/>
      <c r="L19" s="17"/>
      <c r="M19" s="17" t="s">
        <v>14</v>
      </c>
      <c r="N19" s="62"/>
      <c r="O19" s="18"/>
    </row>
    <row r="20" spans="1:15" ht="28" customHeight="1" x14ac:dyDescent="0.35">
      <c r="A20" s="14">
        <f t="shared" si="0"/>
        <v>14</v>
      </c>
      <c r="B20" s="60" t="s">
        <v>25</v>
      </c>
      <c r="C20" s="60" t="s">
        <v>26</v>
      </c>
      <c r="D20" s="15" t="s">
        <v>25</v>
      </c>
      <c r="E20" s="15"/>
      <c r="F20" s="29" t="str">
        <f t="shared" ca="1" si="1"/>
        <v/>
      </c>
      <c r="G20" s="16" t="s">
        <v>54</v>
      </c>
      <c r="H20" s="16" t="str">
        <f t="shared" si="2"/>
        <v>Người lớn</v>
      </c>
      <c r="I20" s="16">
        <v>8600000</v>
      </c>
      <c r="J20" s="17">
        <f t="shared" si="4"/>
        <v>8540000</v>
      </c>
      <c r="K20" s="17"/>
      <c r="L20" s="17"/>
      <c r="M20" s="17" t="s">
        <v>14</v>
      </c>
      <c r="N20" s="60" t="s">
        <v>19</v>
      </c>
      <c r="O20" s="18"/>
    </row>
    <row r="21" spans="1:15" ht="28" customHeight="1" x14ac:dyDescent="0.35">
      <c r="A21" s="14">
        <f t="shared" si="0"/>
        <v>15</v>
      </c>
      <c r="B21" s="61"/>
      <c r="C21" s="61"/>
      <c r="D21" s="32">
        <v>1</v>
      </c>
      <c r="E21" s="15"/>
      <c r="F21" s="29" t="str">
        <f t="shared" ca="1" si="1"/>
        <v/>
      </c>
      <c r="G21" s="31" t="s">
        <v>54</v>
      </c>
      <c r="H21" s="16" t="str">
        <f t="shared" si="2"/>
        <v>Người lớn</v>
      </c>
      <c r="I21" s="16">
        <v>8600000</v>
      </c>
      <c r="J21" s="17">
        <f t="shared" si="4"/>
        <v>8540000</v>
      </c>
      <c r="K21" s="17"/>
      <c r="L21" s="17"/>
      <c r="M21" s="17" t="s">
        <v>14</v>
      </c>
      <c r="N21" s="61"/>
      <c r="O21" s="18"/>
    </row>
    <row r="22" spans="1:15" ht="28" customHeight="1" x14ac:dyDescent="0.35">
      <c r="A22" s="14">
        <f t="shared" si="0"/>
        <v>16</v>
      </c>
      <c r="B22" s="62"/>
      <c r="C22" s="62"/>
      <c r="D22" s="32">
        <v>2</v>
      </c>
      <c r="E22" s="15"/>
      <c r="F22" s="29" t="str">
        <f t="shared" ca="1" si="1"/>
        <v/>
      </c>
      <c r="G22" s="31" t="s">
        <v>54</v>
      </c>
      <c r="H22" s="16" t="str">
        <f t="shared" si="2"/>
        <v>Người lớn</v>
      </c>
      <c r="I22" s="16">
        <v>5800000</v>
      </c>
      <c r="J22" s="17">
        <f t="shared" si="4"/>
        <v>8540000</v>
      </c>
      <c r="K22" s="17"/>
      <c r="L22" s="17"/>
      <c r="M22" s="17" t="s">
        <v>14</v>
      </c>
      <c r="N22" s="62"/>
      <c r="O22" s="18"/>
    </row>
    <row r="23" spans="1:15" ht="28" customHeight="1" x14ac:dyDescent="0.35">
      <c r="A23" s="14">
        <f t="shared" si="0"/>
        <v>17</v>
      </c>
      <c r="B23" s="60" t="s">
        <v>27</v>
      </c>
      <c r="C23" s="60" t="s">
        <v>28</v>
      </c>
      <c r="D23" s="15" t="s">
        <v>27</v>
      </c>
      <c r="E23" s="19"/>
      <c r="F23" s="29"/>
      <c r="G23" s="16" t="s">
        <v>54</v>
      </c>
      <c r="H23" s="16" t="str">
        <f t="shared" si="2"/>
        <v>Người lớn</v>
      </c>
      <c r="I23" s="16">
        <v>8600000</v>
      </c>
      <c r="J23" s="17">
        <f t="shared" si="4"/>
        <v>8540000</v>
      </c>
      <c r="K23" s="17"/>
      <c r="L23" s="17"/>
      <c r="M23" s="17" t="s">
        <v>14</v>
      </c>
      <c r="N23" s="60" t="s">
        <v>19</v>
      </c>
      <c r="O23" s="18"/>
    </row>
    <row r="24" spans="1:15" ht="28" customHeight="1" x14ac:dyDescent="0.35">
      <c r="A24" s="14">
        <f t="shared" si="0"/>
        <v>18</v>
      </c>
      <c r="B24" s="61"/>
      <c r="C24" s="61"/>
      <c r="D24" s="15" t="s">
        <v>74</v>
      </c>
      <c r="E24" s="19"/>
      <c r="F24" s="29"/>
      <c r="G24" s="16" t="s">
        <v>54</v>
      </c>
      <c r="H24" s="16" t="str">
        <f t="shared" ref="H24:H25" si="5">IFERROR(VLOOKUP(G24,P:Q,2,0),"")</f>
        <v>Người lớn</v>
      </c>
      <c r="I24" s="16">
        <v>8600000</v>
      </c>
      <c r="J24" s="17">
        <f t="shared" si="4"/>
        <v>8540000</v>
      </c>
      <c r="K24" s="17"/>
      <c r="L24" s="17"/>
      <c r="M24" s="17" t="s">
        <v>14</v>
      </c>
      <c r="N24" s="61"/>
      <c r="O24" s="18"/>
    </row>
    <row r="25" spans="1:15" ht="28" customHeight="1" x14ac:dyDescent="0.35">
      <c r="A25" s="14">
        <f t="shared" si="0"/>
        <v>19</v>
      </c>
      <c r="B25" s="62"/>
      <c r="C25" s="62"/>
      <c r="D25" s="15" t="s">
        <v>75</v>
      </c>
      <c r="E25" s="19"/>
      <c r="F25" s="29"/>
      <c r="G25" s="16" t="s">
        <v>54</v>
      </c>
      <c r="H25" s="16" t="str">
        <f t="shared" si="5"/>
        <v>Người lớn</v>
      </c>
      <c r="I25" s="16">
        <v>5800000</v>
      </c>
      <c r="J25" s="17">
        <f t="shared" si="4"/>
        <v>8540000</v>
      </c>
      <c r="K25" s="17"/>
      <c r="L25" s="17"/>
      <c r="M25" s="17" t="s">
        <v>14</v>
      </c>
      <c r="N25" s="62"/>
      <c r="O25" s="18"/>
    </row>
    <row r="26" spans="1:15" ht="28" customHeight="1" x14ac:dyDescent="0.35">
      <c r="A26" s="14">
        <f t="shared" si="0"/>
        <v>20</v>
      </c>
      <c r="B26" s="63" t="s">
        <v>29</v>
      </c>
      <c r="C26" s="63" t="s">
        <v>41</v>
      </c>
      <c r="D26" s="20" t="s">
        <v>29</v>
      </c>
      <c r="E26" s="21"/>
      <c r="F26" s="30"/>
      <c r="G26" s="16" t="s">
        <v>54</v>
      </c>
      <c r="H26" s="16" t="str">
        <f t="shared" si="2"/>
        <v>Người lớn</v>
      </c>
      <c r="I26" s="16">
        <v>8600000</v>
      </c>
      <c r="J26" s="17">
        <f t="shared" si="4"/>
        <v>8540000</v>
      </c>
      <c r="K26" s="17"/>
      <c r="L26" s="17"/>
      <c r="M26" s="17" t="s">
        <v>14</v>
      </c>
      <c r="N26" s="60" t="s">
        <v>19</v>
      </c>
      <c r="O26" s="18"/>
    </row>
    <row r="27" spans="1:15" ht="28" customHeight="1" x14ac:dyDescent="0.35">
      <c r="A27" s="14">
        <f t="shared" si="0"/>
        <v>21</v>
      </c>
      <c r="B27" s="64"/>
      <c r="C27" s="64"/>
      <c r="D27" s="20" t="s">
        <v>62</v>
      </c>
      <c r="E27" s="21"/>
      <c r="F27" s="30"/>
      <c r="G27" s="16" t="s">
        <v>54</v>
      </c>
      <c r="H27" s="16" t="str">
        <f t="shared" si="2"/>
        <v>Người lớn</v>
      </c>
      <c r="I27" s="16">
        <v>8600000</v>
      </c>
      <c r="J27" s="17">
        <f t="shared" si="4"/>
        <v>8540000</v>
      </c>
      <c r="K27" s="17"/>
      <c r="L27" s="17"/>
      <c r="M27" s="17" t="s">
        <v>14</v>
      </c>
      <c r="N27" s="61"/>
      <c r="O27" s="18"/>
    </row>
    <row r="28" spans="1:15" ht="28" customHeight="1" x14ac:dyDescent="0.35">
      <c r="A28" s="14">
        <f t="shared" si="0"/>
        <v>22</v>
      </c>
      <c r="B28" s="65"/>
      <c r="C28" s="65"/>
      <c r="D28" s="20" t="s">
        <v>63</v>
      </c>
      <c r="E28" s="21">
        <v>41129</v>
      </c>
      <c r="F28" s="30">
        <v>12</v>
      </c>
      <c r="G28" s="16" t="s">
        <v>54</v>
      </c>
      <c r="H28" s="16" t="str">
        <f t="shared" si="2"/>
        <v>Người lớn</v>
      </c>
      <c r="I28" s="16">
        <v>5800000</v>
      </c>
      <c r="J28" s="17">
        <f t="shared" si="4"/>
        <v>8540000</v>
      </c>
      <c r="K28" s="17"/>
      <c r="L28" s="17"/>
      <c r="M28" s="17" t="s">
        <v>14</v>
      </c>
      <c r="N28" s="62"/>
      <c r="O28" s="18"/>
    </row>
    <row r="29" spans="1:15" ht="28" customHeight="1" x14ac:dyDescent="0.35">
      <c r="A29" s="14">
        <f t="shared" si="0"/>
        <v>23</v>
      </c>
      <c r="B29" s="60" t="s">
        <v>30</v>
      </c>
      <c r="C29" s="60" t="s">
        <v>31</v>
      </c>
      <c r="D29" s="20" t="s">
        <v>30</v>
      </c>
      <c r="E29" s="21"/>
      <c r="F29" s="30"/>
      <c r="G29" s="16" t="s">
        <v>54</v>
      </c>
      <c r="H29" s="16" t="str">
        <f t="shared" si="2"/>
        <v>Người lớn</v>
      </c>
      <c r="I29" s="16">
        <v>8600000</v>
      </c>
      <c r="J29" s="17">
        <f t="shared" si="4"/>
        <v>8540000</v>
      </c>
      <c r="K29" s="17"/>
      <c r="L29" s="17"/>
      <c r="M29" s="17" t="s">
        <v>14</v>
      </c>
      <c r="N29" s="60" t="s">
        <v>19</v>
      </c>
      <c r="O29" s="18"/>
    </row>
    <row r="30" spans="1:15" ht="28" customHeight="1" x14ac:dyDescent="0.35">
      <c r="A30" s="14">
        <f t="shared" si="0"/>
        <v>24</v>
      </c>
      <c r="B30" s="61"/>
      <c r="C30" s="61"/>
      <c r="D30" s="20" t="s">
        <v>46</v>
      </c>
      <c r="E30" s="21"/>
      <c r="F30" s="30"/>
      <c r="G30" s="16" t="s">
        <v>54</v>
      </c>
      <c r="H30" s="16" t="str">
        <f t="shared" si="2"/>
        <v>Người lớn</v>
      </c>
      <c r="I30" s="16">
        <v>8600000</v>
      </c>
      <c r="J30" s="17">
        <f t="shared" si="4"/>
        <v>8540000</v>
      </c>
      <c r="K30" s="17"/>
      <c r="L30" s="17"/>
      <c r="M30" s="17" t="s">
        <v>14</v>
      </c>
      <c r="N30" s="61"/>
      <c r="O30" s="18"/>
    </row>
    <row r="31" spans="1:15" ht="28" customHeight="1" x14ac:dyDescent="0.35">
      <c r="A31" s="14">
        <f t="shared" si="0"/>
        <v>25</v>
      </c>
      <c r="B31" s="62"/>
      <c r="C31" s="62"/>
      <c r="D31" s="20" t="s">
        <v>47</v>
      </c>
      <c r="E31" s="21"/>
      <c r="F31" s="30"/>
      <c r="G31" s="16" t="s">
        <v>54</v>
      </c>
      <c r="H31" s="16" t="str">
        <f t="shared" si="2"/>
        <v>Người lớn</v>
      </c>
      <c r="I31" s="16">
        <v>5800000</v>
      </c>
      <c r="J31" s="17">
        <f t="shared" si="4"/>
        <v>8540000</v>
      </c>
      <c r="K31" s="17"/>
      <c r="L31" s="17"/>
      <c r="M31" s="17" t="s">
        <v>14</v>
      </c>
      <c r="N31" s="62"/>
      <c r="O31" s="18"/>
    </row>
    <row r="32" spans="1:15" ht="28" customHeight="1" x14ac:dyDescent="0.35">
      <c r="A32" s="14">
        <f t="shared" si="0"/>
        <v>26</v>
      </c>
      <c r="B32" s="60" t="s">
        <v>32</v>
      </c>
      <c r="C32" s="60" t="s">
        <v>33</v>
      </c>
      <c r="D32" s="20" t="s">
        <v>32</v>
      </c>
      <c r="E32" s="21"/>
      <c r="F32" s="30"/>
      <c r="G32" s="16" t="s">
        <v>54</v>
      </c>
      <c r="H32" s="16" t="str">
        <f t="shared" si="2"/>
        <v>Người lớn</v>
      </c>
      <c r="I32" s="16">
        <v>8600000</v>
      </c>
      <c r="J32" s="17">
        <f t="shared" si="4"/>
        <v>8540000</v>
      </c>
      <c r="K32" s="17"/>
      <c r="L32" s="17"/>
      <c r="M32" s="17" t="s">
        <v>14</v>
      </c>
      <c r="N32" s="60" t="s">
        <v>19</v>
      </c>
      <c r="O32" s="18"/>
    </row>
    <row r="33" spans="1:15" ht="28" customHeight="1" x14ac:dyDescent="0.35">
      <c r="A33" s="14">
        <f t="shared" si="0"/>
        <v>27</v>
      </c>
      <c r="B33" s="61"/>
      <c r="C33" s="61"/>
      <c r="D33" s="20" t="s">
        <v>42</v>
      </c>
      <c r="E33" s="21"/>
      <c r="F33" s="30"/>
      <c r="G33" s="16" t="s">
        <v>54</v>
      </c>
      <c r="H33" s="16" t="str">
        <f t="shared" si="2"/>
        <v>Người lớn</v>
      </c>
      <c r="I33" s="16">
        <v>8600000</v>
      </c>
      <c r="J33" s="17">
        <f t="shared" si="4"/>
        <v>8540000</v>
      </c>
      <c r="K33" s="17"/>
      <c r="L33" s="17"/>
      <c r="M33" s="17" t="s">
        <v>14</v>
      </c>
      <c r="N33" s="61"/>
      <c r="O33" s="18"/>
    </row>
    <row r="34" spans="1:15" ht="28" customHeight="1" x14ac:dyDescent="0.35">
      <c r="A34" s="14">
        <f t="shared" si="0"/>
        <v>28</v>
      </c>
      <c r="B34" s="62"/>
      <c r="C34" s="62"/>
      <c r="D34" s="20" t="s">
        <v>34</v>
      </c>
      <c r="E34" s="21">
        <v>44278</v>
      </c>
      <c r="F34" s="30">
        <v>3</v>
      </c>
      <c r="G34" s="27" t="s">
        <v>57</v>
      </c>
      <c r="H34" s="16" t="str">
        <f t="shared" si="2"/>
        <v>Trẻ em 2-5 tuổi</v>
      </c>
      <c r="I34" s="16">
        <v>5800000</v>
      </c>
      <c r="J34" s="17">
        <f t="shared" si="4"/>
        <v>3591000</v>
      </c>
      <c r="K34" s="17"/>
      <c r="L34" s="17"/>
      <c r="M34" s="17" t="s">
        <v>14</v>
      </c>
      <c r="N34" s="62"/>
      <c r="O34" s="18"/>
    </row>
    <row r="35" spans="1:15" ht="28" customHeight="1" x14ac:dyDescent="0.35">
      <c r="A35" s="14">
        <f t="shared" si="0"/>
        <v>29</v>
      </c>
      <c r="B35" s="60" t="s">
        <v>35</v>
      </c>
      <c r="C35" s="60" t="s">
        <v>36</v>
      </c>
      <c r="D35" s="15" t="s">
        <v>35</v>
      </c>
      <c r="E35" s="19"/>
      <c r="F35" s="29"/>
      <c r="G35" s="16" t="s">
        <v>54</v>
      </c>
      <c r="H35" s="16" t="str">
        <f t="shared" si="2"/>
        <v>Người lớn</v>
      </c>
      <c r="I35" s="16">
        <v>8600000</v>
      </c>
      <c r="J35" s="17">
        <f t="shared" si="4"/>
        <v>8540000</v>
      </c>
      <c r="K35" s="17"/>
      <c r="L35" s="17"/>
      <c r="M35" s="17" t="s">
        <v>14</v>
      </c>
      <c r="N35" s="60" t="s">
        <v>15</v>
      </c>
      <c r="O35" s="18"/>
    </row>
    <row r="36" spans="1:15" ht="28" customHeight="1" x14ac:dyDescent="0.35">
      <c r="A36" s="14">
        <f t="shared" si="0"/>
        <v>30</v>
      </c>
      <c r="B36" s="61"/>
      <c r="C36" s="61"/>
      <c r="D36" s="15" t="s">
        <v>37</v>
      </c>
      <c r="E36" s="19"/>
      <c r="F36" s="29"/>
      <c r="G36" s="16" t="s">
        <v>54</v>
      </c>
      <c r="H36" s="16" t="str">
        <f t="shared" si="2"/>
        <v>Người lớn</v>
      </c>
      <c r="I36" s="16">
        <v>8600000</v>
      </c>
      <c r="J36" s="17">
        <f t="shared" si="4"/>
        <v>8540000</v>
      </c>
      <c r="K36" s="17"/>
      <c r="L36" s="17"/>
      <c r="M36" s="17" t="s">
        <v>14</v>
      </c>
      <c r="N36" s="61"/>
      <c r="O36" s="18"/>
    </row>
    <row r="37" spans="1:15" ht="28" customHeight="1" x14ac:dyDescent="0.35">
      <c r="A37" s="14">
        <f t="shared" si="0"/>
        <v>31</v>
      </c>
      <c r="B37" s="61"/>
      <c r="C37" s="61"/>
      <c r="D37" s="15" t="s">
        <v>38</v>
      </c>
      <c r="E37" s="19">
        <v>44095</v>
      </c>
      <c r="F37" s="29">
        <f t="shared" ca="1" si="1"/>
        <v>4</v>
      </c>
      <c r="G37" s="27" t="s">
        <v>57</v>
      </c>
      <c r="H37" s="16" t="str">
        <f t="shared" si="2"/>
        <v>Trẻ em 2-5 tuổi</v>
      </c>
      <c r="I37" s="16">
        <v>5800000</v>
      </c>
      <c r="J37" s="17">
        <f t="shared" si="4"/>
        <v>3591000</v>
      </c>
      <c r="K37" s="35"/>
      <c r="L37" s="81" t="s">
        <v>39</v>
      </c>
      <c r="M37" s="17" t="s">
        <v>14</v>
      </c>
      <c r="N37" s="61"/>
      <c r="O37" s="18"/>
    </row>
    <row r="38" spans="1:15" ht="28" customHeight="1" x14ac:dyDescent="0.35">
      <c r="A38" s="14">
        <f t="shared" si="0"/>
        <v>32</v>
      </c>
      <c r="B38" s="62"/>
      <c r="C38" s="62"/>
      <c r="D38" s="15" t="s">
        <v>40</v>
      </c>
      <c r="E38" s="19">
        <v>45089</v>
      </c>
      <c r="F38" s="29">
        <f t="shared" ca="1" si="1"/>
        <v>1</v>
      </c>
      <c r="G38" s="16" t="s">
        <v>55</v>
      </c>
      <c r="H38" s="16" t="str">
        <f t="shared" si="2"/>
        <v>Trẻ em &lt;2 tuổi</v>
      </c>
      <c r="I38" s="16">
        <v>0</v>
      </c>
      <c r="J38" s="17">
        <f t="shared" si="4"/>
        <v>399000</v>
      </c>
      <c r="K38" s="36"/>
      <c r="L38" s="82"/>
      <c r="M38" s="17" t="s">
        <v>14</v>
      </c>
      <c r="N38" s="62"/>
      <c r="O38" s="18"/>
    </row>
  </sheetData>
  <autoFilter ref="A6:T38" xr:uid="{EC9CD8D2-0040-43BE-912C-54B79CEFAB6B}"/>
  <mergeCells count="35">
    <mergeCell ref="A2:J2"/>
    <mergeCell ref="A3:J3"/>
    <mergeCell ref="A4:B4"/>
    <mergeCell ref="C4:D4"/>
    <mergeCell ref="B7:B10"/>
    <mergeCell ref="C7:C10"/>
    <mergeCell ref="N7:N10"/>
    <mergeCell ref="B11:B13"/>
    <mergeCell ref="C11:C13"/>
    <mergeCell ref="N11:N13"/>
    <mergeCell ref="B14:B16"/>
    <mergeCell ref="C14:C16"/>
    <mergeCell ref="N14:N16"/>
    <mergeCell ref="B17:B19"/>
    <mergeCell ref="C17:C19"/>
    <mergeCell ref="N17:N19"/>
    <mergeCell ref="B20:B22"/>
    <mergeCell ref="C20:C22"/>
    <mergeCell ref="N20:N22"/>
    <mergeCell ref="B23:B25"/>
    <mergeCell ref="C23:C25"/>
    <mergeCell ref="N23:N25"/>
    <mergeCell ref="B26:B28"/>
    <mergeCell ref="C26:C28"/>
    <mergeCell ref="N26:N28"/>
    <mergeCell ref="N29:N31"/>
    <mergeCell ref="N32:N34"/>
    <mergeCell ref="B35:B38"/>
    <mergeCell ref="C35:C38"/>
    <mergeCell ref="N35:N38"/>
    <mergeCell ref="L37:L38"/>
    <mergeCell ref="C29:C31"/>
    <mergeCell ref="B29:B31"/>
    <mergeCell ref="C32:C34"/>
    <mergeCell ref="B32:B34"/>
  </mergeCells>
  <printOptions horizontalCentered="1"/>
  <pageMargins left="0" right="0" top="0" bottom="0" header="0" footer="0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Pivot</vt:lpstr>
      <vt:lpstr>DS Phong (2)</vt:lpstr>
      <vt:lpstr>DS Phong (3)</vt:lpstr>
      <vt:lpstr>DS Phong</vt:lpstr>
      <vt:lpstr>'DS Phong'!Print_Area</vt:lpstr>
      <vt:lpstr>'DS Phong (2)'!Print_Area</vt:lpstr>
      <vt:lpstr>'DS Phong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Phương, Phạm Ngọc Phương</dc:creator>
  <cp:lastModifiedBy>Phương, Phạm Ngọc Phương</cp:lastModifiedBy>
  <cp:lastPrinted>2024-03-04T02:07:53Z</cp:lastPrinted>
  <dcterms:created xsi:type="dcterms:W3CDTF">2024-02-27T01:44:31Z</dcterms:created>
  <dcterms:modified xsi:type="dcterms:W3CDTF">2024-03-04T02:20:18Z</dcterms:modified>
</cp:coreProperties>
</file>