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Kiểm tra giá thành\"/>
    </mc:Choice>
  </mc:AlternateContent>
  <xr:revisionPtr revIDLastSave="0" documentId="13_ncr:1_{21748C32-1094-4B5C-9484-7B2860120CC2}" xr6:coauthVersionLast="47" xr6:coauthVersionMax="47" xr10:uidLastSave="{00000000-0000-0000-0000-000000000000}"/>
  <bookViews>
    <workbookView xWindow="-110" yWindow="-110" windowWidth="19420" windowHeight="10300" activeTab="1" xr2:uid="{4803C0A3-4DC3-4903-B39A-753480434B0E}"/>
  </bookViews>
  <sheets>
    <sheet name="2024-2026" sheetId="6" r:id="rId1"/>
    <sheet name="2026" sheetId="5" r:id="rId2"/>
    <sheet name="2025" sheetId="4" r:id="rId3"/>
    <sheet name="2024" sheetId="2" r:id="rId4"/>
    <sheet name="Data" sheetId="1" r:id="rId5"/>
    <sheet name="MD-SKU" sheetId="3" r:id="rId6"/>
  </sheets>
  <externalReferences>
    <externalReference r:id="rId7"/>
  </externalReferences>
  <definedNames>
    <definedName name="_xlnm._FilterDatabase" localSheetId="3" hidden="1">'2024'!$P$9:$P$20</definedName>
    <definedName name="_xlnm._FilterDatabase" localSheetId="0" hidden="1">'2024-2026'!$P$9:$P$20</definedName>
    <definedName name="_xlnm._FilterDatabase" localSheetId="2" hidden="1">'2025'!$P$9:$P$20</definedName>
    <definedName name="_xlnm._FilterDatabase" localSheetId="1" hidden="1">'2026'!$P$9:$P$20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" i="2" l="1"/>
  <c r="N11" i="2"/>
  <c r="BK25" i="6"/>
  <c r="AY25" i="6"/>
  <c r="AM25" i="6"/>
  <c r="AA25" i="6"/>
  <c r="O25" i="6"/>
  <c r="BK24" i="6"/>
  <c r="AY24" i="6"/>
  <c r="AM24" i="6"/>
  <c r="AA24" i="6"/>
  <c r="O24" i="6"/>
  <c r="BK23" i="6"/>
  <c r="AY23" i="6"/>
  <c r="AM23" i="6"/>
  <c r="AA23" i="6"/>
  <c r="O23" i="6"/>
  <c r="BK22" i="6"/>
  <c r="AY22" i="6"/>
  <c r="AM22" i="6"/>
  <c r="AA22" i="6"/>
  <c r="O22" i="6"/>
  <c r="BK21" i="6"/>
  <c r="AY21" i="6"/>
  <c r="AM21" i="6"/>
  <c r="AA21" i="6"/>
  <c r="O21" i="6"/>
  <c r="FA9" i="6" a="1"/>
  <c r="FA9" i="6" s="1"/>
  <c r="EO9" i="6" a="1"/>
  <c r="EO9" i="6" s="1"/>
  <c r="EC9" i="6" a="1"/>
  <c r="EC9" i="6" s="1"/>
  <c r="DQ9" i="6" a="1"/>
  <c r="DQ9" i="6" s="1"/>
  <c r="DE9" i="6" a="1"/>
  <c r="DE9" i="6" s="1"/>
  <c r="CS9" i="6" a="1"/>
  <c r="CS9" i="6" s="1"/>
  <c r="CG9" i="6" a="1"/>
  <c r="CG9" i="6" s="1"/>
  <c r="BU9" i="6" a="1"/>
  <c r="BU9" i="6" s="1"/>
  <c r="BI9" i="6"/>
  <c r="BI9" i="6" a="1"/>
  <c r="AW9" i="6" a="1"/>
  <c r="AW9" i="6" s="1"/>
  <c r="AK9" i="6" a="1"/>
  <c r="AK9" i="6" s="1"/>
  <c r="Y9" i="6" a="1"/>
  <c r="Y9" i="6" s="1"/>
  <c r="M9" i="6" a="1"/>
  <c r="M9" i="6" s="1"/>
  <c r="FA8" i="6" a="1"/>
  <c r="FA8" i="6" s="1"/>
  <c r="EO8" i="6" a="1"/>
  <c r="EO8" i="6" s="1"/>
  <c r="EC8" i="6" a="1"/>
  <c r="EC8" i="6" s="1"/>
  <c r="DQ8" i="6" a="1"/>
  <c r="DQ8" i="6" s="1"/>
  <c r="DE8" i="6" a="1"/>
  <c r="DE8" i="6" s="1"/>
  <c r="CS8" i="6" a="1"/>
  <c r="CS8" i="6" s="1"/>
  <c r="CG8" i="6" a="1"/>
  <c r="CG8" i="6" s="1"/>
  <c r="BU8" i="6" a="1"/>
  <c r="BU8" i="6" s="1"/>
  <c r="BI8" i="6" a="1"/>
  <c r="BI8" i="6" s="1"/>
  <c r="AW8" i="6" a="1"/>
  <c r="AW8" i="6" s="1"/>
  <c r="AK8" i="6" a="1"/>
  <c r="AK8" i="6" s="1"/>
  <c r="Y8" i="6" a="1"/>
  <c r="Y8" i="6" s="1"/>
  <c r="M8" i="6" a="1"/>
  <c r="M8" i="6" s="1"/>
  <c r="FA7" i="6" a="1"/>
  <c r="FA7" i="6" s="1"/>
  <c r="EO7" i="6" a="1"/>
  <c r="EO7" i="6" s="1"/>
  <c r="EC7" i="6" a="1"/>
  <c r="EC7" i="6" s="1"/>
  <c r="DQ7" i="6" a="1"/>
  <c r="DQ7" i="6" s="1"/>
  <c r="DE7" i="6" a="1"/>
  <c r="DE7" i="6" s="1"/>
  <c r="CS7" i="6" a="1"/>
  <c r="CS7" i="6" s="1"/>
  <c r="CG7" i="6" a="1"/>
  <c r="CG7" i="6" s="1"/>
  <c r="BU7" i="6" a="1"/>
  <c r="BU7" i="6" s="1"/>
  <c r="BI7" i="6" a="1"/>
  <c r="BI7" i="6" s="1"/>
  <c r="AW7" i="6" a="1"/>
  <c r="AW7" i="6" s="1"/>
  <c r="AK7" i="6" a="1"/>
  <c r="AK7" i="6" s="1"/>
  <c r="Y7" i="6" a="1"/>
  <c r="Y7" i="6" s="1"/>
  <c r="M7" i="6" a="1"/>
  <c r="M7" i="6" s="1"/>
  <c r="FA6" i="6" a="1"/>
  <c r="FA6" i="6" s="1"/>
  <c r="EO6" i="6" a="1"/>
  <c r="EO6" i="6" s="1"/>
  <c r="EC6" i="6" a="1"/>
  <c r="EC6" i="6" s="1"/>
  <c r="DQ6" i="6" a="1"/>
  <c r="DQ6" i="6" s="1"/>
  <c r="DE6" i="6" a="1"/>
  <c r="DE6" i="6" s="1"/>
  <c r="CS6" i="6" a="1"/>
  <c r="CS6" i="6" s="1"/>
  <c r="CG6" i="6" a="1"/>
  <c r="CG6" i="6" s="1"/>
  <c r="BU6" i="6" a="1"/>
  <c r="BU6" i="6" s="1"/>
  <c r="BI6" i="6" a="1"/>
  <c r="BI6" i="6" s="1"/>
  <c r="AW6" i="6" a="1"/>
  <c r="AW6" i="6" s="1"/>
  <c r="AK6" i="6" a="1"/>
  <c r="AK6" i="6" s="1"/>
  <c r="Y6" i="6" a="1"/>
  <c r="Y6" i="6" s="1"/>
  <c r="M6" i="6" a="1"/>
  <c r="M6" i="6" s="1"/>
  <c r="DQ10" i="6" l="1"/>
  <c r="AK10" i="6"/>
  <c r="AK23" i="6" s="1"/>
  <c r="Y10" i="6"/>
  <c r="Y24" i="6" s="1"/>
  <c r="DE10" i="6"/>
  <c r="BI22" i="6"/>
  <c r="M10" i="6"/>
  <c r="M22" i="6" s="1"/>
  <c r="AK22" i="6"/>
  <c r="EO10" i="6"/>
  <c r="CS10" i="6"/>
  <c r="M23" i="6"/>
  <c r="FA10" i="6"/>
  <c r="BI10" i="6"/>
  <c r="BI24" i="6" s="1"/>
  <c r="AW10" i="6"/>
  <c r="AW24" i="6" s="1"/>
  <c r="EC10" i="6"/>
  <c r="Y23" i="6"/>
  <c r="CG10" i="6"/>
  <c r="BU10" i="6"/>
  <c r="Y22" i="6"/>
  <c r="BI23" i="6"/>
  <c r="AK21" i="6" l="1"/>
  <c r="BI21" i="6"/>
  <c r="AK24" i="6"/>
  <c r="BI25" i="6"/>
  <c r="AW25" i="6"/>
  <c r="AW22" i="6"/>
  <c r="M25" i="6"/>
  <c r="M24" i="6"/>
  <c r="M21" i="6"/>
  <c r="AW21" i="6"/>
  <c r="AW23" i="6"/>
  <c r="Y25" i="6"/>
  <c r="AK25" i="6"/>
  <c r="Y21" i="6"/>
  <c r="FB18" i="2" l="1"/>
  <c r="FA18" i="2"/>
  <c r="EZ18" i="2"/>
  <c r="EY18" i="2"/>
  <c r="EX18" i="2"/>
  <c r="EW18" i="2"/>
  <c r="EV18" i="2"/>
  <c r="EU18" i="2"/>
  <c r="ET18" i="2"/>
  <c r="ES18" i="2"/>
  <c r="ER18" i="2"/>
  <c r="EP18" i="2"/>
  <c r="EO18" i="2"/>
  <c r="EN18" i="2"/>
  <c r="EM18" i="2"/>
  <c r="EL18" i="2"/>
  <c r="EK18" i="2"/>
  <c r="EJ18" i="2"/>
  <c r="EI18" i="2"/>
  <c r="EH18" i="2"/>
  <c r="EG18" i="2"/>
  <c r="EF18" i="2"/>
  <c r="ED18" i="2"/>
  <c r="EC18" i="2"/>
  <c r="EB18" i="2"/>
  <c r="EA18" i="2"/>
  <c r="DZ18" i="2"/>
  <c r="DY18" i="2"/>
  <c r="DX18" i="2"/>
  <c r="DW18" i="2"/>
  <c r="DV18" i="2"/>
  <c r="DU18" i="2"/>
  <c r="DT18" i="2"/>
  <c r="DR18" i="2"/>
  <c r="DQ18" i="2"/>
  <c r="DP18" i="2"/>
  <c r="DO18" i="2"/>
  <c r="DN18" i="2"/>
  <c r="DM18" i="2"/>
  <c r="DL18" i="2"/>
  <c r="DK18" i="2"/>
  <c r="DJ18" i="2"/>
  <c r="DI18" i="2"/>
  <c r="DH18" i="2"/>
  <c r="DF18" i="2"/>
  <c r="DE18" i="2"/>
  <c r="DD18" i="2"/>
  <c r="DC18" i="2"/>
  <c r="DB18" i="2"/>
  <c r="DA18" i="2"/>
  <c r="CZ18" i="2"/>
  <c r="CY18" i="2"/>
  <c r="CX18" i="2"/>
  <c r="CW18" i="2"/>
  <c r="CV18" i="2"/>
  <c r="CT18" i="2"/>
  <c r="CS18" i="2"/>
  <c r="CR18" i="2"/>
  <c r="CQ18" i="2"/>
  <c r="CP18" i="2"/>
  <c r="CO18" i="2"/>
  <c r="CN18" i="2"/>
  <c r="CM18" i="2"/>
  <c r="CL18" i="2"/>
  <c r="CK18" i="2"/>
  <c r="CJ18" i="2"/>
  <c r="CH18" i="2"/>
  <c r="CG18" i="2"/>
  <c r="CF18" i="2"/>
  <c r="CE18" i="2"/>
  <c r="CD18" i="2"/>
  <c r="CC18" i="2"/>
  <c r="CB18" i="2"/>
  <c r="CA18" i="2"/>
  <c r="BZ18" i="2"/>
  <c r="BY18" i="2"/>
  <c r="BX18" i="2"/>
  <c r="BV18" i="2"/>
  <c r="BU18" i="2"/>
  <c r="BT18" i="2"/>
  <c r="BS18" i="2"/>
  <c r="BR18" i="2"/>
  <c r="BQ18" i="2"/>
  <c r="BP18" i="2"/>
  <c r="BO18" i="2"/>
  <c r="BN18" i="2"/>
  <c r="BM18" i="2"/>
  <c r="BL18" i="2"/>
  <c r="BJ18" i="2"/>
  <c r="BI18" i="2"/>
  <c r="BH18" i="2"/>
  <c r="BG18" i="2"/>
  <c r="BF18" i="2"/>
  <c r="BE18" i="2"/>
  <c r="BD18" i="2"/>
  <c r="BC18" i="2"/>
  <c r="BB18" i="2"/>
  <c r="BA18" i="2"/>
  <c r="AZ18" i="2"/>
  <c r="AX18" i="2"/>
  <c r="AW18" i="2"/>
  <c r="AV18" i="2"/>
  <c r="AU18" i="2"/>
  <c r="AT18" i="2"/>
  <c r="AS18" i="2"/>
  <c r="AR18" i="2"/>
  <c r="AQ18" i="2"/>
  <c r="AP18" i="2"/>
  <c r="AO18" i="2"/>
  <c r="AN18" i="2"/>
  <c r="AL18" i="2"/>
  <c r="AK18" i="2"/>
  <c r="AJ18" i="2"/>
  <c r="AI18" i="2"/>
  <c r="AH18" i="2"/>
  <c r="AG18" i="2"/>
  <c r="AF18" i="2"/>
  <c r="AE18" i="2"/>
  <c r="AD18" i="2"/>
  <c r="AC18" i="2"/>
  <c r="AB18" i="2"/>
  <c r="Z18" i="2"/>
  <c r="Y18" i="2"/>
  <c r="X18" i="2"/>
  <c r="W18" i="2"/>
  <c r="V18" i="2"/>
  <c r="U18" i="2"/>
  <c r="T18" i="2"/>
  <c r="S18" i="2"/>
  <c r="R18" i="2"/>
  <c r="Q18" i="2"/>
  <c r="P18" i="2"/>
  <c r="N18" i="2"/>
  <c r="M18" i="2"/>
  <c r="L18" i="2"/>
  <c r="K18" i="2"/>
  <c r="J18" i="2"/>
  <c r="I18" i="2"/>
  <c r="H18" i="2"/>
  <c r="G18" i="2"/>
  <c r="F18" i="2"/>
  <c r="E18" i="2"/>
  <c r="D18" i="2"/>
  <c r="FB18" i="4"/>
  <c r="FA18" i="4"/>
  <c r="EZ18" i="4"/>
  <c r="EY18" i="4"/>
  <c r="EX18" i="4"/>
  <c r="EW18" i="4"/>
  <c r="EV18" i="4"/>
  <c r="EU18" i="4"/>
  <c r="ET18" i="4"/>
  <c r="ES18" i="4"/>
  <c r="ER18" i="4"/>
  <c r="EP18" i="4"/>
  <c r="EO18" i="4"/>
  <c r="EN18" i="4"/>
  <c r="EM18" i="4"/>
  <c r="EL18" i="4"/>
  <c r="EK18" i="4"/>
  <c r="EJ18" i="4"/>
  <c r="EI18" i="4"/>
  <c r="EH18" i="4"/>
  <c r="EG18" i="4"/>
  <c r="EF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F18" i="4"/>
  <c r="DE18" i="4"/>
  <c r="DD18" i="4"/>
  <c r="DC18" i="4"/>
  <c r="DB18" i="4"/>
  <c r="DA18" i="4"/>
  <c r="CZ18" i="4"/>
  <c r="CY18" i="4"/>
  <c r="CX18" i="4"/>
  <c r="CW18" i="4"/>
  <c r="CV18" i="4"/>
  <c r="CT18" i="4"/>
  <c r="CS18" i="4"/>
  <c r="CR18" i="4"/>
  <c r="CQ18" i="4"/>
  <c r="CP18" i="4"/>
  <c r="CO18" i="4"/>
  <c r="CN18" i="4"/>
  <c r="CM18" i="4"/>
  <c r="CL18" i="4"/>
  <c r="CK18" i="4"/>
  <c r="CJ18" i="4"/>
  <c r="CH18" i="4"/>
  <c r="CG18" i="4"/>
  <c r="CF18" i="4"/>
  <c r="CE18" i="4"/>
  <c r="CD18" i="4"/>
  <c r="CC18" i="4"/>
  <c r="CB18" i="4"/>
  <c r="CA18" i="4"/>
  <c r="BZ18" i="4"/>
  <c r="BY18" i="4"/>
  <c r="BX18" i="4"/>
  <c r="BV18" i="4"/>
  <c r="BU18" i="4"/>
  <c r="BT18" i="4"/>
  <c r="BS18" i="4"/>
  <c r="BR18" i="4"/>
  <c r="BQ18" i="4"/>
  <c r="BP18" i="4"/>
  <c r="BO18" i="4"/>
  <c r="BN18" i="4"/>
  <c r="BM18" i="4"/>
  <c r="BL18" i="4"/>
  <c r="BJ18" i="4"/>
  <c r="BI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L18" i="4"/>
  <c r="AK18" i="4"/>
  <c r="AJ18" i="4"/>
  <c r="AI18" i="4"/>
  <c r="AH18" i="4"/>
  <c r="AG18" i="4"/>
  <c r="AF18" i="4"/>
  <c r="AE18" i="4"/>
  <c r="AD18" i="4"/>
  <c r="AC18" i="4"/>
  <c r="AB18" i="4"/>
  <c r="Z18" i="4"/>
  <c r="Y18" i="4"/>
  <c r="X18" i="4"/>
  <c r="W18" i="4"/>
  <c r="V18" i="4"/>
  <c r="U18" i="4"/>
  <c r="T18" i="4"/>
  <c r="S18" i="4"/>
  <c r="R18" i="4"/>
  <c r="Q18" i="4"/>
  <c r="P18" i="4"/>
  <c r="N18" i="4"/>
  <c r="M18" i="4"/>
  <c r="L18" i="4"/>
  <c r="K18" i="4"/>
  <c r="J18" i="4"/>
  <c r="I18" i="4"/>
  <c r="H18" i="4"/>
  <c r="G18" i="4"/>
  <c r="F18" i="4"/>
  <c r="E18" i="4"/>
  <c r="D18" i="4"/>
  <c r="FB25" i="2"/>
  <c r="FA25" i="2"/>
  <c r="EZ25" i="2"/>
  <c r="EY25" i="2"/>
  <c r="EX25" i="2"/>
  <c r="EW25" i="2"/>
  <c r="EV25" i="2"/>
  <c r="EU25" i="2"/>
  <c r="ET25" i="2"/>
  <c r="ES25" i="2"/>
  <c r="ER25" i="2"/>
  <c r="EP25" i="2"/>
  <c r="EO25" i="2"/>
  <c r="EN25" i="2"/>
  <c r="EM25" i="2"/>
  <c r="EL25" i="2"/>
  <c r="EK25" i="2"/>
  <c r="EJ25" i="2"/>
  <c r="EI25" i="2"/>
  <c r="EH25" i="2"/>
  <c r="EG25" i="2"/>
  <c r="EF25" i="2"/>
  <c r="ED25" i="2"/>
  <c r="EC25" i="2"/>
  <c r="EB25" i="2"/>
  <c r="EA25" i="2"/>
  <c r="DZ25" i="2"/>
  <c r="DY25" i="2"/>
  <c r="DX25" i="2"/>
  <c r="DW25" i="2"/>
  <c r="DV25" i="2"/>
  <c r="DU25" i="2"/>
  <c r="DT25" i="2"/>
  <c r="DR25" i="2"/>
  <c r="DQ25" i="2"/>
  <c r="DP25" i="2"/>
  <c r="DO25" i="2"/>
  <c r="DN25" i="2"/>
  <c r="DM25" i="2"/>
  <c r="DL25" i="2"/>
  <c r="DK25" i="2"/>
  <c r="DJ25" i="2"/>
  <c r="DI25" i="2"/>
  <c r="DH25" i="2"/>
  <c r="DF25" i="2"/>
  <c r="DE25" i="2"/>
  <c r="DD25" i="2"/>
  <c r="DC25" i="2"/>
  <c r="DB25" i="2"/>
  <c r="DA25" i="2"/>
  <c r="CZ25" i="2"/>
  <c r="CY25" i="2"/>
  <c r="CX25" i="2"/>
  <c r="CW25" i="2"/>
  <c r="CV25" i="2"/>
  <c r="CT25" i="2"/>
  <c r="CS25" i="2"/>
  <c r="CR25" i="2"/>
  <c r="CQ25" i="2"/>
  <c r="CP25" i="2"/>
  <c r="CO25" i="2"/>
  <c r="CN25" i="2"/>
  <c r="CM25" i="2"/>
  <c r="CL25" i="2"/>
  <c r="CK25" i="2"/>
  <c r="CJ25" i="2"/>
  <c r="CH25" i="2"/>
  <c r="CG25" i="2"/>
  <c r="CF25" i="2"/>
  <c r="CE25" i="2"/>
  <c r="CD25" i="2"/>
  <c r="CC25" i="2"/>
  <c r="CB25" i="2"/>
  <c r="CA25" i="2"/>
  <c r="BZ25" i="2"/>
  <c r="BY25" i="2"/>
  <c r="BX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FB24" i="2"/>
  <c r="FA24" i="2"/>
  <c r="EZ24" i="2"/>
  <c r="EY24" i="2"/>
  <c r="EX24" i="2"/>
  <c r="EW24" i="2"/>
  <c r="EV24" i="2"/>
  <c r="EU24" i="2"/>
  <c r="ET24" i="2"/>
  <c r="ES24" i="2"/>
  <c r="ER24" i="2"/>
  <c r="EP24" i="2"/>
  <c r="EO24" i="2"/>
  <c r="EN24" i="2"/>
  <c r="EM24" i="2"/>
  <c r="EL24" i="2"/>
  <c r="EK24" i="2"/>
  <c r="EJ24" i="2"/>
  <c r="EI24" i="2"/>
  <c r="EH24" i="2"/>
  <c r="EG24" i="2"/>
  <c r="EF24" i="2"/>
  <c r="ED24" i="2"/>
  <c r="EC24" i="2"/>
  <c r="EB24" i="2"/>
  <c r="EA24" i="2"/>
  <c r="DZ24" i="2"/>
  <c r="DY24" i="2"/>
  <c r="DX24" i="2"/>
  <c r="DW24" i="2"/>
  <c r="DV24" i="2"/>
  <c r="DU24" i="2"/>
  <c r="DT24" i="2"/>
  <c r="DR24" i="2"/>
  <c r="DQ24" i="2"/>
  <c r="DP24" i="2"/>
  <c r="DO24" i="2"/>
  <c r="DN24" i="2"/>
  <c r="DM24" i="2"/>
  <c r="DL24" i="2"/>
  <c r="DK24" i="2"/>
  <c r="DJ24" i="2"/>
  <c r="DI24" i="2"/>
  <c r="DH24" i="2"/>
  <c r="DF24" i="2"/>
  <c r="DE24" i="2"/>
  <c r="DD24" i="2"/>
  <c r="DC24" i="2"/>
  <c r="DB24" i="2"/>
  <c r="DA24" i="2"/>
  <c r="CZ24" i="2"/>
  <c r="CY24" i="2"/>
  <c r="CX24" i="2"/>
  <c r="CW24" i="2"/>
  <c r="CV24" i="2"/>
  <c r="CT24" i="2"/>
  <c r="CS24" i="2"/>
  <c r="CR24" i="2"/>
  <c r="CQ24" i="2"/>
  <c r="CP24" i="2"/>
  <c r="CO24" i="2"/>
  <c r="CN24" i="2"/>
  <c r="CM24" i="2"/>
  <c r="CL24" i="2"/>
  <c r="CK24" i="2"/>
  <c r="CJ24" i="2"/>
  <c r="CH24" i="2"/>
  <c r="CG24" i="2"/>
  <c r="CF24" i="2"/>
  <c r="CE24" i="2"/>
  <c r="CD24" i="2"/>
  <c r="CC24" i="2"/>
  <c r="CB24" i="2"/>
  <c r="CA24" i="2"/>
  <c r="BZ24" i="2"/>
  <c r="BY24" i="2"/>
  <c r="BX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FB23" i="2"/>
  <c r="FA23" i="2"/>
  <c r="EZ23" i="2"/>
  <c r="EY23" i="2"/>
  <c r="EX23" i="2"/>
  <c r="EW23" i="2"/>
  <c r="EV23" i="2"/>
  <c r="EU23" i="2"/>
  <c r="ET23" i="2"/>
  <c r="ES23" i="2"/>
  <c r="ER23" i="2"/>
  <c r="EP23" i="2"/>
  <c r="EO23" i="2"/>
  <c r="EN23" i="2"/>
  <c r="EM23" i="2"/>
  <c r="EL23" i="2"/>
  <c r="EK23" i="2"/>
  <c r="EJ23" i="2"/>
  <c r="EI23" i="2"/>
  <c r="EH23" i="2"/>
  <c r="EG23" i="2"/>
  <c r="EF23" i="2"/>
  <c r="ED23" i="2"/>
  <c r="EC23" i="2"/>
  <c r="EB23" i="2"/>
  <c r="EA23" i="2"/>
  <c r="DZ23" i="2"/>
  <c r="DY23" i="2"/>
  <c r="DX23" i="2"/>
  <c r="DW23" i="2"/>
  <c r="DV23" i="2"/>
  <c r="DU23" i="2"/>
  <c r="DT23" i="2"/>
  <c r="DR23" i="2"/>
  <c r="DQ23" i="2"/>
  <c r="DP23" i="2"/>
  <c r="DO23" i="2"/>
  <c r="DN23" i="2"/>
  <c r="DM23" i="2"/>
  <c r="DL23" i="2"/>
  <c r="DK23" i="2"/>
  <c r="DJ23" i="2"/>
  <c r="DI23" i="2"/>
  <c r="DH23" i="2"/>
  <c r="DF23" i="2"/>
  <c r="DE23" i="2"/>
  <c r="DD23" i="2"/>
  <c r="DC23" i="2"/>
  <c r="DB23" i="2"/>
  <c r="DA23" i="2"/>
  <c r="CZ23" i="2"/>
  <c r="CY23" i="2"/>
  <c r="CX23" i="2"/>
  <c r="CW23" i="2"/>
  <c r="CV23" i="2"/>
  <c r="CT23" i="2"/>
  <c r="CS23" i="2"/>
  <c r="CR23" i="2"/>
  <c r="CQ23" i="2"/>
  <c r="CP23" i="2"/>
  <c r="CO23" i="2"/>
  <c r="CN23" i="2"/>
  <c r="CM23" i="2"/>
  <c r="CL23" i="2"/>
  <c r="CK23" i="2"/>
  <c r="CJ23" i="2"/>
  <c r="CH23" i="2"/>
  <c r="CG23" i="2"/>
  <c r="CF23" i="2"/>
  <c r="CE23" i="2"/>
  <c r="CD23" i="2"/>
  <c r="CC23" i="2"/>
  <c r="CB23" i="2"/>
  <c r="CA23" i="2"/>
  <c r="BZ23" i="2"/>
  <c r="BY23" i="2"/>
  <c r="BX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FB22" i="2"/>
  <c r="FA22" i="2"/>
  <c r="EZ22" i="2"/>
  <c r="EY22" i="2"/>
  <c r="EX22" i="2"/>
  <c r="EW22" i="2"/>
  <c r="EV22" i="2"/>
  <c r="EU22" i="2"/>
  <c r="ET22" i="2"/>
  <c r="ES22" i="2"/>
  <c r="ER22" i="2"/>
  <c r="EP22" i="2"/>
  <c r="EO22" i="2"/>
  <c r="EN22" i="2"/>
  <c r="EM22" i="2"/>
  <c r="EL22" i="2"/>
  <c r="EK22" i="2"/>
  <c r="EJ22" i="2"/>
  <c r="EI22" i="2"/>
  <c r="EH22" i="2"/>
  <c r="EG22" i="2"/>
  <c r="EF22" i="2"/>
  <c r="ED22" i="2"/>
  <c r="EC22" i="2"/>
  <c r="EB22" i="2"/>
  <c r="EA22" i="2"/>
  <c r="DZ22" i="2"/>
  <c r="DY22" i="2"/>
  <c r="DX22" i="2"/>
  <c r="DW22" i="2"/>
  <c r="DV22" i="2"/>
  <c r="DU22" i="2"/>
  <c r="DT22" i="2"/>
  <c r="DR22" i="2"/>
  <c r="DQ22" i="2"/>
  <c r="DP22" i="2"/>
  <c r="DO22" i="2"/>
  <c r="DN22" i="2"/>
  <c r="DM22" i="2"/>
  <c r="DL22" i="2"/>
  <c r="DK22" i="2"/>
  <c r="DJ22" i="2"/>
  <c r="DI22" i="2"/>
  <c r="DH22" i="2"/>
  <c r="DF22" i="2"/>
  <c r="DE22" i="2"/>
  <c r="DD22" i="2"/>
  <c r="DC22" i="2"/>
  <c r="DB22" i="2"/>
  <c r="DA22" i="2"/>
  <c r="CZ22" i="2"/>
  <c r="CY22" i="2"/>
  <c r="CX22" i="2"/>
  <c r="CW22" i="2"/>
  <c r="CV22" i="2"/>
  <c r="CT22" i="2"/>
  <c r="CS22" i="2"/>
  <c r="CR22" i="2"/>
  <c r="CQ22" i="2"/>
  <c r="CP22" i="2"/>
  <c r="CO22" i="2"/>
  <c r="CN22" i="2"/>
  <c r="CM22" i="2"/>
  <c r="CL22" i="2"/>
  <c r="CK22" i="2"/>
  <c r="CJ22" i="2"/>
  <c r="CH22" i="2"/>
  <c r="CG22" i="2"/>
  <c r="CF22" i="2"/>
  <c r="CE22" i="2"/>
  <c r="CD22" i="2"/>
  <c r="CC22" i="2"/>
  <c r="CB22" i="2"/>
  <c r="CA22" i="2"/>
  <c r="BZ22" i="2"/>
  <c r="BY22" i="2"/>
  <c r="BX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FB21" i="2"/>
  <c r="FA21" i="2"/>
  <c r="EZ21" i="2"/>
  <c r="EY21" i="2"/>
  <c r="EX21" i="2"/>
  <c r="EW21" i="2"/>
  <c r="EV21" i="2"/>
  <c r="EU21" i="2"/>
  <c r="ET21" i="2"/>
  <c r="ES21" i="2"/>
  <c r="ER21" i="2"/>
  <c r="EP21" i="2"/>
  <c r="EO21" i="2"/>
  <c r="EN21" i="2"/>
  <c r="EM21" i="2"/>
  <c r="EL21" i="2"/>
  <c r="EK21" i="2"/>
  <c r="EJ21" i="2"/>
  <c r="EI21" i="2"/>
  <c r="EH21" i="2"/>
  <c r="EG21" i="2"/>
  <c r="EF21" i="2"/>
  <c r="ED21" i="2"/>
  <c r="EC21" i="2"/>
  <c r="EB21" i="2"/>
  <c r="EA21" i="2"/>
  <c r="DZ21" i="2"/>
  <c r="DY21" i="2"/>
  <c r="DX21" i="2"/>
  <c r="DW21" i="2"/>
  <c r="DV21" i="2"/>
  <c r="DU21" i="2"/>
  <c r="DT21" i="2"/>
  <c r="DR21" i="2"/>
  <c r="DQ21" i="2"/>
  <c r="DP21" i="2"/>
  <c r="DO21" i="2"/>
  <c r="DN21" i="2"/>
  <c r="DM21" i="2"/>
  <c r="DL21" i="2"/>
  <c r="DK21" i="2"/>
  <c r="DJ21" i="2"/>
  <c r="DI21" i="2"/>
  <c r="DH21" i="2"/>
  <c r="DF21" i="2"/>
  <c r="DE21" i="2"/>
  <c r="DD21" i="2"/>
  <c r="DC21" i="2"/>
  <c r="DB21" i="2"/>
  <c r="DA21" i="2"/>
  <c r="CZ21" i="2"/>
  <c r="CY21" i="2"/>
  <c r="CX21" i="2"/>
  <c r="CW21" i="2"/>
  <c r="CV21" i="2"/>
  <c r="CT21" i="2"/>
  <c r="CS21" i="2"/>
  <c r="CR21" i="2"/>
  <c r="CQ21" i="2"/>
  <c r="CP21" i="2"/>
  <c r="CO21" i="2"/>
  <c r="CN21" i="2"/>
  <c r="CM21" i="2"/>
  <c r="CL21" i="2"/>
  <c r="CK21" i="2"/>
  <c r="CJ21" i="2"/>
  <c r="CH21" i="2"/>
  <c r="CG21" i="2"/>
  <c r="CF21" i="2"/>
  <c r="CE21" i="2"/>
  <c r="CD21" i="2"/>
  <c r="CC21" i="2"/>
  <c r="CB21" i="2"/>
  <c r="CA21" i="2"/>
  <c r="BZ21" i="2"/>
  <c r="BY21" i="2"/>
  <c r="BX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FB25" i="4"/>
  <c r="FA25" i="4"/>
  <c r="EZ25" i="4"/>
  <c r="EY25" i="4"/>
  <c r="EX25" i="4"/>
  <c r="EW25" i="4"/>
  <c r="EV25" i="4"/>
  <c r="EU25" i="4"/>
  <c r="ET25" i="4"/>
  <c r="ES25" i="4"/>
  <c r="ER25" i="4"/>
  <c r="FB24" i="4"/>
  <c r="FA24" i="4"/>
  <c r="EZ24" i="4"/>
  <c r="EY24" i="4"/>
  <c r="EX24" i="4"/>
  <c r="EW24" i="4"/>
  <c r="EV24" i="4"/>
  <c r="EU24" i="4"/>
  <c r="ET24" i="4"/>
  <c r="ES24" i="4"/>
  <c r="ER24" i="4"/>
  <c r="FB23" i="4"/>
  <c r="FA23" i="4"/>
  <c r="EZ23" i="4"/>
  <c r="EY23" i="4"/>
  <c r="EX23" i="4"/>
  <c r="EW23" i="4"/>
  <c r="EV23" i="4"/>
  <c r="EU23" i="4"/>
  <c r="ET23" i="4"/>
  <c r="ES23" i="4"/>
  <c r="ER23" i="4"/>
  <c r="FB22" i="4"/>
  <c r="FA22" i="4"/>
  <c r="EZ22" i="4"/>
  <c r="EY22" i="4"/>
  <c r="EX22" i="4"/>
  <c r="EW22" i="4"/>
  <c r="EV22" i="4"/>
  <c r="EU22" i="4"/>
  <c r="ET22" i="4"/>
  <c r="ES22" i="4"/>
  <c r="ER22" i="4"/>
  <c r="FB21" i="4"/>
  <c r="FA21" i="4"/>
  <c r="EZ21" i="4"/>
  <c r="EY21" i="4"/>
  <c r="EX21" i="4"/>
  <c r="EW21" i="4"/>
  <c r="EV21" i="4"/>
  <c r="EU21" i="4"/>
  <c r="ET21" i="4"/>
  <c r="ES21" i="4"/>
  <c r="ER21" i="4"/>
  <c r="EP25" i="4"/>
  <c r="EO25" i="4"/>
  <c r="EN25" i="4"/>
  <c r="EM25" i="4"/>
  <c r="EL25" i="4"/>
  <c r="EK25" i="4"/>
  <c r="EJ25" i="4"/>
  <c r="EI25" i="4"/>
  <c r="EH25" i="4"/>
  <c r="EG25" i="4"/>
  <c r="EF25" i="4"/>
  <c r="EP24" i="4"/>
  <c r="EO24" i="4"/>
  <c r="EN24" i="4"/>
  <c r="EM24" i="4"/>
  <c r="EL24" i="4"/>
  <c r="EK24" i="4"/>
  <c r="EJ24" i="4"/>
  <c r="EI24" i="4"/>
  <c r="EH24" i="4"/>
  <c r="EG24" i="4"/>
  <c r="EF24" i="4"/>
  <c r="EP23" i="4"/>
  <c r="EO23" i="4"/>
  <c r="EN23" i="4"/>
  <c r="EM23" i="4"/>
  <c r="EL23" i="4"/>
  <c r="EK23" i="4"/>
  <c r="EJ23" i="4"/>
  <c r="EI23" i="4"/>
  <c r="EH23" i="4"/>
  <c r="EG23" i="4"/>
  <c r="EF23" i="4"/>
  <c r="EP22" i="4"/>
  <c r="EO22" i="4"/>
  <c r="EN22" i="4"/>
  <c r="EM22" i="4"/>
  <c r="EL22" i="4"/>
  <c r="EK22" i="4"/>
  <c r="EJ22" i="4"/>
  <c r="EI22" i="4"/>
  <c r="EH22" i="4"/>
  <c r="EG22" i="4"/>
  <c r="EF22" i="4"/>
  <c r="EP21" i="4"/>
  <c r="EO21" i="4"/>
  <c r="EN21" i="4"/>
  <c r="EM21" i="4"/>
  <c r="EL21" i="4"/>
  <c r="EK21" i="4"/>
  <c r="EJ21" i="4"/>
  <c r="EI21" i="4"/>
  <c r="EH21" i="4"/>
  <c r="EG21" i="4"/>
  <c r="EF21" i="4"/>
  <c r="ED25" i="4"/>
  <c r="EC25" i="4"/>
  <c r="EB25" i="4"/>
  <c r="EA25" i="4"/>
  <c r="DZ25" i="4"/>
  <c r="DY25" i="4"/>
  <c r="DX25" i="4"/>
  <c r="DW25" i="4"/>
  <c r="DV25" i="4"/>
  <c r="DU25" i="4"/>
  <c r="DT25" i="4"/>
  <c r="ED24" i="4"/>
  <c r="EC24" i="4"/>
  <c r="EB24" i="4"/>
  <c r="EA24" i="4"/>
  <c r="DZ24" i="4"/>
  <c r="DY24" i="4"/>
  <c r="DX24" i="4"/>
  <c r="DW24" i="4"/>
  <c r="DV24" i="4"/>
  <c r="DU24" i="4"/>
  <c r="DT24" i="4"/>
  <c r="ED23" i="4"/>
  <c r="EC23" i="4"/>
  <c r="EB23" i="4"/>
  <c r="EA23" i="4"/>
  <c r="DZ23" i="4"/>
  <c r="DY23" i="4"/>
  <c r="DX23" i="4"/>
  <c r="DW23" i="4"/>
  <c r="DV23" i="4"/>
  <c r="DU23" i="4"/>
  <c r="DT23" i="4"/>
  <c r="ED22" i="4"/>
  <c r="EC22" i="4"/>
  <c r="EB22" i="4"/>
  <c r="EA22" i="4"/>
  <c r="DZ22" i="4"/>
  <c r="DY22" i="4"/>
  <c r="DX22" i="4"/>
  <c r="DW22" i="4"/>
  <c r="DV22" i="4"/>
  <c r="DU22" i="4"/>
  <c r="DT22" i="4"/>
  <c r="ED21" i="4"/>
  <c r="EC21" i="4"/>
  <c r="EB21" i="4"/>
  <c r="EA21" i="4"/>
  <c r="DZ21" i="4"/>
  <c r="DY21" i="4"/>
  <c r="DX21" i="4"/>
  <c r="DW21" i="4"/>
  <c r="DV21" i="4"/>
  <c r="DU21" i="4"/>
  <c r="DT21" i="4"/>
  <c r="DR25" i="4"/>
  <c r="DQ25" i="4"/>
  <c r="DP25" i="4"/>
  <c r="DO25" i="4"/>
  <c r="DN25" i="4"/>
  <c r="DM25" i="4"/>
  <c r="DL25" i="4"/>
  <c r="DK25" i="4"/>
  <c r="DJ25" i="4"/>
  <c r="DI25" i="4"/>
  <c r="DH25" i="4"/>
  <c r="DR24" i="4"/>
  <c r="DQ24" i="4"/>
  <c r="DP24" i="4"/>
  <c r="DO24" i="4"/>
  <c r="DN24" i="4"/>
  <c r="DM24" i="4"/>
  <c r="DL24" i="4"/>
  <c r="DK24" i="4"/>
  <c r="DJ24" i="4"/>
  <c r="DI24" i="4"/>
  <c r="DH24" i="4"/>
  <c r="DR23" i="4"/>
  <c r="DQ23" i="4"/>
  <c r="DP23" i="4"/>
  <c r="DO23" i="4"/>
  <c r="DN23" i="4"/>
  <c r="DM23" i="4"/>
  <c r="DL23" i="4"/>
  <c r="DK23" i="4"/>
  <c r="DJ23" i="4"/>
  <c r="DI23" i="4"/>
  <c r="DH23" i="4"/>
  <c r="DR22" i="4"/>
  <c r="DQ22" i="4"/>
  <c r="DP22" i="4"/>
  <c r="DO22" i="4"/>
  <c r="DN22" i="4"/>
  <c r="DM22" i="4"/>
  <c r="DL22" i="4"/>
  <c r="DK22" i="4"/>
  <c r="DJ22" i="4"/>
  <c r="DI22" i="4"/>
  <c r="DH22" i="4"/>
  <c r="DR21" i="4"/>
  <c r="DQ21" i="4"/>
  <c r="DP21" i="4"/>
  <c r="DO21" i="4"/>
  <c r="DN21" i="4"/>
  <c r="DM21" i="4"/>
  <c r="DL21" i="4"/>
  <c r="DK21" i="4"/>
  <c r="DJ21" i="4"/>
  <c r="DI21" i="4"/>
  <c r="DH21" i="4"/>
  <c r="DF25" i="4"/>
  <c r="DE25" i="4"/>
  <c r="DD25" i="4"/>
  <c r="DC25" i="4"/>
  <c r="DB25" i="4"/>
  <c r="DA25" i="4"/>
  <c r="CZ25" i="4"/>
  <c r="CY25" i="4"/>
  <c r="CX25" i="4"/>
  <c r="CW25" i="4"/>
  <c r="CV25" i="4"/>
  <c r="DF24" i="4"/>
  <c r="DE24" i="4"/>
  <c r="DD24" i="4"/>
  <c r="DC24" i="4"/>
  <c r="DB24" i="4"/>
  <c r="DA24" i="4"/>
  <c r="CZ24" i="4"/>
  <c r="CY24" i="4"/>
  <c r="CX24" i="4"/>
  <c r="CW24" i="4"/>
  <c r="CV24" i="4"/>
  <c r="DF23" i="4"/>
  <c r="DE23" i="4"/>
  <c r="DD23" i="4"/>
  <c r="DC23" i="4"/>
  <c r="DB23" i="4"/>
  <c r="DA23" i="4"/>
  <c r="CZ23" i="4"/>
  <c r="CY23" i="4"/>
  <c r="CX23" i="4"/>
  <c r="CW23" i="4"/>
  <c r="CV23" i="4"/>
  <c r="DF22" i="4"/>
  <c r="DE22" i="4"/>
  <c r="DD22" i="4"/>
  <c r="DC22" i="4"/>
  <c r="DB22" i="4"/>
  <c r="DA22" i="4"/>
  <c r="CZ22" i="4"/>
  <c r="CY22" i="4"/>
  <c r="CX22" i="4"/>
  <c r="CW22" i="4"/>
  <c r="CV22" i="4"/>
  <c r="DF21" i="4"/>
  <c r="DE21" i="4"/>
  <c r="DD21" i="4"/>
  <c r="DC21" i="4"/>
  <c r="DB21" i="4"/>
  <c r="DA21" i="4"/>
  <c r="CZ21" i="4"/>
  <c r="CY21" i="4"/>
  <c r="CX21" i="4"/>
  <c r="CW21" i="4"/>
  <c r="CV21" i="4"/>
  <c r="CT25" i="4"/>
  <c r="CS25" i="4"/>
  <c r="CR25" i="4"/>
  <c r="CQ25" i="4"/>
  <c r="CP25" i="4"/>
  <c r="CO25" i="4"/>
  <c r="CN25" i="4"/>
  <c r="CM25" i="4"/>
  <c r="CL25" i="4"/>
  <c r="CK25" i="4"/>
  <c r="CJ25" i="4"/>
  <c r="CT24" i="4"/>
  <c r="CS24" i="4"/>
  <c r="CR24" i="4"/>
  <c r="CQ24" i="4"/>
  <c r="CP24" i="4"/>
  <c r="CO24" i="4"/>
  <c r="CN24" i="4"/>
  <c r="CM24" i="4"/>
  <c r="CL24" i="4"/>
  <c r="CK24" i="4"/>
  <c r="CJ24" i="4"/>
  <c r="CT23" i="4"/>
  <c r="CS23" i="4"/>
  <c r="CR23" i="4"/>
  <c r="CQ23" i="4"/>
  <c r="CP23" i="4"/>
  <c r="CO23" i="4"/>
  <c r="CN23" i="4"/>
  <c r="CM23" i="4"/>
  <c r="CL23" i="4"/>
  <c r="CK23" i="4"/>
  <c r="CJ23" i="4"/>
  <c r="CT22" i="4"/>
  <c r="CS22" i="4"/>
  <c r="CR22" i="4"/>
  <c r="CQ22" i="4"/>
  <c r="CP22" i="4"/>
  <c r="CO22" i="4"/>
  <c r="CN22" i="4"/>
  <c r="CM22" i="4"/>
  <c r="CL22" i="4"/>
  <c r="CK22" i="4"/>
  <c r="CJ22" i="4"/>
  <c r="CT21" i="4"/>
  <c r="CS21" i="4"/>
  <c r="CR21" i="4"/>
  <c r="CQ21" i="4"/>
  <c r="CP21" i="4"/>
  <c r="CO21" i="4"/>
  <c r="CN21" i="4"/>
  <c r="CM21" i="4"/>
  <c r="CL21" i="4"/>
  <c r="CK21" i="4"/>
  <c r="CJ21" i="4"/>
  <c r="CH25" i="4"/>
  <c r="CG25" i="4"/>
  <c r="CF25" i="4"/>
  <c r="CE25" i="4"/>
  <c r="CD25" i="4"/>
  <c r="CC25" i="4"/>
  <c r="CB25" i="4"/>
  <c r="CA25" i="4"/>
  <c r="BZ25" i="4"/>
  <c r="BY25" i="4"/>
  <c r="BX25" i="4"/>
  <c r="CH24" i="4"/>
  <c r="CG24" i="4"/>
  <c r="CF24" i="4"/>
  <c r="CE24" i="4"/>
  <c r="CD24" i="4"/>
  <c r="CC24" i="4"/>
  <c r="CB24" i="4"/>
  <c r="CA24" i="4"/>
  <c r="BZ24" i="4"/>
  <c r="BY24" i="4"/>
  <c r="BX24" i="4"/>
  <c r="CH23" i="4"/>
  <c r="CG23" i="4"/>
  <c r="CF23" i="4"/>
  <c r="CE23" i="4"/>
  <c r="CD23" i="4"/>
  <c r="CC23" i="4"/>
  <c r="CB23" i="4"/>
  <c r="CA23" i="4"/>
  <c r="BZ23" i="4"/>
  <c r="BY23" i="4"/>
  <c r="BX23" i="4"/>
  <c r="CH22" i="4"/>
  <c r="CG22" i="4"/>
  <c r="CF22" i="4"/>
  <c r="CE22" i="4"/>
  <c r="CD22" i="4"/>
  <c r="CC22" i="4"/>
  <c r="CB22" i="4"/>
  <c r="CA22" i="4"/>
  <c r="BZ22" i="4"/>
  <c r="BY22" i="4"/>
  <c r="BX22" i="4"/>
  <c r="CH21" i="4"/>
  <c r="CG21" i="4"/>
  <c r="CF21" i="4"/>
  <c r="CE21" i="4"/>
  <c r="CD21" i="4"/>
  <c r="CC21" i="4"/>
  <c r="CB21" i="4"/>
  <c r="CA21" i="4"/>
  <c r="BZ21" i="4"/>
  <c r="BY21" i="4"/>
  <c r="BX21" i="4"/>
  <c r="BV25" i="4"/>
  <c r="BU25" i="4"/>
  <c r="BT25" i="4"/>
  <c r="BS25" i="4"/>
  <c r="BR25" i="4"/>
  <c r="BQ25" i="4"/>
  <c r="BP25" i="4"/>
  <c r="BO25" i="4"/>
  <c r="BN25" i="4"/>
  <c r="BM25" i="4"/>
  <c r="BL25" i="4"/>
  <c r="BV24" i="4"/>
  <c r="BU24" i="4"/>
  <c r="BT24" i="4"/>
  <c r="BS24" i="4"/>
  <c r="BR24" i="4"/>
  <c r="BQ24" i="4"/>
  <c r="BP24" i="4"/>
  <c r="BO24" i="4"/>
  <c r="BN24" i="4"/>
  <c r="BM24" i="4"/>
  <c r="BL24" i="4"/>
  <c r="BV23" i="4"/>
  <c r="BU23" i="4"/>
  <c r="BT23" i="4"/>
  <c r="BS23" i="4"/>
  <c r="BR23" i="4"/>
  <c r="BQ23" i="4"/>
  <c r="BP23" i="4"/>
  <c r="BO23" i="4"/>
  <c r="BN23" i="4"/>
  <c r="BM23" i="4"/>
  <c r="BL23" i="4"/>
  <c r="BV22" i="4"/>
  <c r="BU22" i="4"/>
  <c r="BT22" i="4"/>
  <c r="BS22" i="4"/>
  <c r="BR22" i="4"/>
  <c r="BQ22" i="4"/>
  <c r="BP22" i="4"/>
  <c r="BO22" i="4"/>
  <c r="BN22" i="4"/>
  <c r="BM22" i="4"/>
  <c r="BL22" i="4"/>
  <c r="BV21" i="4"/>
  <c r="BU21" i="4"/>
  <c r="BT21" i="4"/>
  <c r="BS21" i="4"/>
  <c r="BR21" i="4"/>
  <c r="BQ21" i="4"/>
  <c r="BP21" i="4"/>
  <c r="BO21" i="4"/>
  <c r="BN21" i="4"/>
  <c r="BM21" i="4"/>
  <c r="BL21" i="4"/>
  <c r="H24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G24" i="4"/>
  <c r="F24" i="4"/>
  <c r="E24" i="4"/>
  <c r="D24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BK25" i="5"/>
  <c r="AY25" i="5"/>
  <c r="AM25" i="5"/>
  <c r="AA25" i="5"/>
  <c r="BK24" i="5"/>
  <c r="AY24" i="5"/>
  <c r="AM24" i="5"/>
  <c r="AA24" i="5"/>
  <c r="BK23" i="5"/>
  <c r="AY23" i="5"/>
  <c r="AM23" i="5"/>
  <c r="AA23" i="5"/>
  <c r="BK22" i="5"/>
  <c r="AY22" i="5"/>
  <c r="AM22" i="5"/>
  <c r="AA22" i="5"/>
  <c r="BK21" i="5"/>
  <c r="AY21" i="5"/>
  <c r="AM21" i="5"/>
  <c r="AA21" i="5"/>
  <c r="O25" i="5"/>
  <c r="O24" i="5"/>
  <c r="O23" i="5"/>
  <c r="O22" i="5"/>
  <c r="O21" i="5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H6" i="2" s="1" a="1"/>
  <c r="H6" i="2" s="1"/>
  <c r="J4" i="1"/>
  <c r="J3" i="1"/>
  <c r="CF6" i="5" s="1" a="1"/>
  <c r="CF6" i="5" s="1"/>
  <c r="CF6" i="6" s="1"/>
  <c r="W7" i="2" l="1" a="1"/>
  <c r="W7" i="2" s="1"/>
  <c r="AD6" i="4" a="1"/>
  <c r="AD6" i="4" s="1"/>
  <c r="M6" i="2" a="1"/>
  <c r="M6" i="2" s="1"/>
  <c r="G9" i="2" a="1"/>
  <c r="G9" i="2" s="1"/>
  <c r="Q8" i="2" a="1"/>
  <c r="Q8" i="2" s="1"/>
  <c r="AE7" i="2" a="1"/>
  <c r="AE7" i="2" s="1"/>
  <c r="AQ6" i="4" a="1"/>
  <c r="AQ6" i="4" s="1"/>
  <c r="AF8" i="4" a="1"/>
  <c r="AF8" i="4" s="1"/>
  <c r="AK6" i="2" a="1"/>
  <c r="AK6" i="2" s="1"/>
  <c r="K8" i="4" a="1"/>
  <c r="K8" i="4" s="1"/>
  <c r="G7" i="2" a="1"/>
  <c r="G7" i="2" s="1"/>
  <c r="H9" i="2" a="1"/>
  <c r="H9" i="2" s="1"/>
  <c r="R8" i="2" a="1"/>
  <c r="R8" i="2" s="1"/>
  <c r="AF7" i="2" a="1"/>
  <c r="AF7" i="2" s="1"/>
  <c r="BF6" i="4" a="1"/>
  <c r="BF6" i="4" s="1"/>
  <c r="H7" i="2" a="1"/>
  <c r="H7" i="2" s="1"/>
  <c r="J9" i="2" a="1"/>
  <c r="J9" i="2" s="1"/>
  <c r="S8" i="2" a="1"/>
  <c r="S8" i="2" s="1"/>
  <c r="AG7" i="2" a="1"/>
  <c r="AG7" i="2" s="1"/>
  <c r="BU6" i="4" a="1"/>
  <c r="BU6" i="4" s="1"/>
  <c r="BS8" i="4" a="1"/>
  <c r="BS8" i="4" s="1"/>
  <c r="F9" i="2" a="1"/>
  <c r="F9" i="2" s="1"/>
  <c r="L9" i="2" a="1"/>
  <c r="L9" i="2" s="1"/>
  <c r="T8" i="2" a="1"/>
  <c r="T8" i="2" s="1"/>
  <c r="AD8" i="2" a="1"/>
  <c r="AD8" i="2" s="1"/>
  <c r="CK6" i="4" a="1"/>
  <c r="CK6" i="4" s="1"/>
  <c r="CS8" i="4" a="1"/>
  <c r="CS8" i="4" s="1"/>
  <c r="L6" i="2" a="1"/>
  <c r="L6" i="2" s="1"/>
  <c r="I7" i="2" a="1"/>
  <c r="I7" i="2" s="1"/>
  <c r="J7" i="2" a="1"/>
  <c r="J7" i="2" s="1"/>
  <c r="P6" i="2" a="1"/>
  <c r="P6" i="2" s="1"/>
  <c r="X8" i="2" a="1"/>
  <c r="X8" i="2" s="1"/>
  <c r="AF8" i="2" a="1"/>
  <c r="AF8" i="2" s="1"/>
  <c r="DA6" i="4" a="1"/>
  <c r="DA6" i="4" s="1"/>
  <c r="DO8" i="4" a="1"/>
  <c r="DO8" i="4" s="1"/>
  <c r="Q6" i="2" a="1"/>
  <c r="Q6" i="2" s="1"/>
  <c r="P9" i="2" a="1"/>
  <c r="P9" i="2" s="1"/>
  <c r="AG8" i="2" a="1"/>
  <c r="AG8" i="2" s="1"/>
  <c r="DV6" i="4" a="1"/>
  <c r="DV6" i="4" s="1"/>
  <c r="EO8" i="4" a="1"/>
  <c r="EO8" i="4" s="1"/>
  <c r="K7" i="2" a="1"/>
  <c r="K7" i="2" s="1"/>
  <c r="L7" i="2" a="1"/>
  <c r="L7" i="2" s="1"/>
  <c r="U6" i="2" a="1"/>
  <c r="U6" i="2" s="1"/>
  <c r="R9" i="2" a="1"/>
  <c r="R9" i="2" s="1"/>
  <c r="AK8" i="2" a="1"/>
  <c r="AK8" i="2" s="1"/>
  <c r="EM6" i="4" a="1"/>
  <c r="EM6" i="4" s="1"/>
  <c r="M7" i="2" a="1"/>
  <c r="M7" i="2" s="1"/>
  <c r="V6" i="2" a="1"/>
  <c r="V6" i="2" s="1"/>
  <c r="S9" i="2" a="1"/>
  <c r="S9" i="2" s="1"/>
  <c r="AJ9" i="2" a="1"/>
  <c r="AJ9" i="2" s="1"/>
  <c r="BL9" i="4" a="1"/>
  <c r="BL9" i="4" s="1"/>
  <c r="D6" i="2" a="1"/>
  <c r="D6" i="2" s="1"/>
  <c r="D8" i="2" a="1"/>
  <c r="D8" i="2" s="1"/>
  <c r="W6" i="2" a="1"/>
  <c r="W6" i="2" s="1"/>
  <c r="W9" i="2" a="1"/>
  <c r="W9" i="2" s="1"/>
  <c r="AN7" i="2" a="1"/>
  <c r="AN7" i="2" s="1"/>
  <c r="E6" i="2" a="1"/>
  <c r="E6" i="2" s="1"/>
  <c r="F8" i="2" a="1"/>
  <c r="F8" i="2" s="1"/>
  <c r="X6" i="2" a="1"/>
  <c r="X6" i="2" s="1"/>
  <c r="X9" i="2" a="1"/>
  <c r="X9" i="2" s="1"/>
  <c r="AO7" i="2" a="1"/>
  <c r="AO7" i="2" s="1"/>
  <c r="AQ7" i="4" a="1"/>
  <c r="AQ7" i="4" s="1"/>
  <c r="P6" i="5" a="1"/>
  <c r="P6" i="5" s="1"/>
  <c r="P6" i="6" s="1"/>
  <c r="F6" i="2" a="1"/>
  <c r="F6" i="2" s="1"/>
  <c r="H8" i="2" a="1"/>
  <c r="H8" i="2" s="1"/>
  <c r="Y6" i="2" a="1"/>
  <c r="Y6" i="2" s="1"/>
  <c r="Y9" i="2" a="1"/>
  <c r="Y9" i="2" s="1"/>
  <c r="BL6" i="2" a="1"/>
  <c r="BL6" i="2" s="1"/>
  <c r="BN7" i="4" a="1"/>
  <c r="BN7" i="4" s="1"/>
  <c r="FA9" i="5" a="1"/>
  <c r="FA9" i="5" s="1"/>
  <c r="EK9" i="5" a="1"/>
  <c r="EK9" i="5" s="1"/>
  <c r="EK9" i="6" s="1"/>
  <c r="DU9" i="5" a="1"/>
  <c r="DU9" i="5" s="1"/>
  <c r="DU9" i="6" s="1"/>
  <c r="DE9" i="5" a="1"/>
  <c r="DE9" i="5" s="1"/>
  <c r="CC9" i="5" a="1"/>
  <c r="CC9" i="5" s="1"/>
  <c r="CC9" i="6" s="1"/>
  <c r="BP9" i="5" a="1"/>
  <c r="BP9" i="5" s="1"/>
  <c r="BP9" i="6" s="1"/>
  <c r="AZ9" i="5" a="1"/>
  <c r="AZ9" i="5" s="1"/>
  <c r="AZ9" i="6" s="1"/>
  <c r="AK9" i="5" a="1"/>
  <c r="AK9" i="5" s="1"/>
  <c r="X9" i="5" a="1"/>
  <c r="X9" i="5" s="1"/>
  <c r="X9" i="6" s="1"/>
  <c r="I9" i="5" a="1"/>
  <c r="I9" i="5" s="1"/>
  <c r="I9" i="6" s="1"/>
  <c r="EV8" i="5" a="1"/>
  <c r="EV8" i="5" s="1"/>
  <c r="EV8" i="6" s="1"/>
  <c r="EH8" i="5" a="1"/>
  <c r="EH8" i="5" s="1"/>
  <c r="EH8" i="6" s="1"/>
  <c r="DV8" i="5" a="1"/>
  <c r="DV8" i="5" s="1"/>
  <c r="DH8" i="5" a="1"/>
  <c r="DH8" i="5" s="1"/>
  <c r="CR8" i="5" a="1"/>
  <c r="CR8" i="5" s="1"/>
  <c r="CR8" i="6" s="1"/>
  <c r="CC8" i="5" a="1"/>
  <c r="CC8" i="5" s="1"/>
  <c r="CC8" i="6" s="1"/>
  <c r="BB8" i="5" a="1"/>
  <c r="BB8" i="5" s="1"/>
  <c r="BB8" i="6" s="1"/>
  <c r="AO8" i="5" a="1"/>
  <c r="AO8" i="5" s="1"/>
  <c r="AO8" i="6" s="1"/>
  <c r="AB8" i="5" a="1"/>
  <c r="AB8" i="5" s="1"/>
  <c r="AB8" i="6" s="1"/>
  <c r="M8" i="5" a="1"/>
  <c r="M8" i="5" s="1"/>
  <c r="EZ7" i="5" a="1"/>
  <c r="EZ7" i="5" s="1"/>
  <c r="EZ7" i="6" s="1"/>
  <c r="EL7" i="5" a="1"/>
  <c r="EL7" i="5" s="1"/>
  <c r="EL7" i="6" s="1"/>
  <c r="CZ7" i="5" a="1"/>
  <c r="CZ7" i="5" s="1"/>
  <c r="CZ7" i="6" s="1"/>
  <c r="CL7" i="5" a="1"/>
  <c r="CL7" i="5" s="1"/>
  <c r="CL7" i="6" s="1"/>
  <c r="BT7" i="5" a="1"/>
  <c r="BT7" i="5" s="1"/>
  <c r="BT7" i="6" s="1"/>
  <c r="BF7" i="5" a="1"/>
  <c r="BF7" i="5" s="1"/>
  <c r="BF7" i="6" s="1"/>
  <c r="AR7" i="5" a="1"/>
  <c r="AR7" i="5" s="1"/>
  <c r="AR7" i="6" s="1"/>
  <c r="AF7" i="5" a="1"/>
  <c r="AF7" i="5" s="1"/>
  <c r="AF7" i="6" s="1"/>
  <c r="T7" i="5" a="1"/>
  <c r="T7" i="5" s="1"/>
  <c r="T7" i="6" s="1"/>
  <c r="EC6" i="5" a="1"/>
  <c r="EC6" i="5" s="1"/>
  <c r="CM6" i="5" a="1"/>
  <c r="CM6" i="5" s="1"/>
  <c r="CM6" i="6" s="1"/>
  <c r="BZ6" i="5" a="1"/>
  <c r="BZ6" i="5" s="1"/>
  <c r="BZ6" i="6" s="1"/>
  <c r="BM6" i="5" a="1"/>
  <c r="BM6" i="5" s="1"/>
  <c r="BM6" i="6" s="1"/>
  <c r="AV6" i="5" a="1"/>
  <c r="AV6" i="5" s="1"/>
  <c r="AV6" i="6" s="1"/>
  <c r="AH6" i="5" a="1"/>
  <c r="AH6" i="5" s="1"/>
  <c r="AH6" i="6" s="1"/>
  <c r="T6" i="5" a="1"/>
  <c r="T6" i="5" s="1"/>
  <c r="T6" i="6" s="1"/>
  <c r="EO9" i="4" a="1"/>
  <c r="EO9" i="4" s="1"/>
  <c r="DZ9" i="4" a="1"/>
  <c r="DZ9" i="4" s="1"/>
  <c r="BS9" i="4" a="1"/>
  <c r="BS9" i="4" s="1"/>
  <c r="BE9" i="4" a="1"/>
  <c r="BE9" i="4" s="1"/>
  <c r="AQ9" i="4" a="1"/>
  <c r="AQ9" i="4" s="1"/>
  <c r="Y9" i="4" a="1"/>
  <c r="Y9" i="4" s="1"/>
  <c r="EY8" i="4" a="1"/>
  <c r="EY8" i="4" s="1"/>
  <c r="EL8" i="4" a="1"/>
  <c r="EL8" i="4" s="1"/>
  <c r="DW8" i="4" a="1"/>
  <c r="DW8" i="4" s="1"/>
  <c r="DJ8" i="4" a="1"/>
  <c r="DJ8" i="4" s="1"/>
  <c r="CR8" i="4" a="1"/>
  <c r="CR8" i="4" s="1"/>
  <c r="CC8" i="4" a="1"/>
  <c r="CC8" i="4" s="1"/>
  <c r="BO8" i="4" a="1"/>
  <c r="BO8" i="4" s="1"/>
  <c r="BA8" i="4" a="1"/>
  <c r="BA8" i="4" s="1"/>
  <c r="I8" i="4" a="1"/>
  <c r="I8" i="4" s="1"/>
  <c r="EU7" i="4" a="1"/>
  <c r="EU7" i="4" s="1"/>
  <c r="EF7" i="4" a="1"/>
  <c r="EF7" i="4" s="1"/>
  <c r="DB7" i="4" a="1"/>
  <c r="DB7" i="4" s="1"/>
  <c r="CO7" i="4" a="1"/>
  <c r="CO7" i="4" s="1"/>
  <c r="BZ7" i="4" a="1"/>
  <c r="BZ7" i="4" s="1"/>
  <c r="BL7" i="4" a="1"/>
  <c r="BL7" i="4" s="1"/>
  <c r="U7" i="4" a="1"/>
  <c r="U7" i="4" s="1"/>
  <c r="G7" i="4" a="1"/>
  <c r="G7" i="4" s="1"/>
  <c r="EF6" i="4" a="1"/>
  <c r="EF6" i="4" s="1"/>
  <c r="DQ6" i="4" a="1"/>
  <c r="DQ6" i="4" s="1"/>
  <c r="DD6" i="4" a="1"/>
  <c r="DD6" i="4" s="1"/>
  <c r="EZ9" i="5" a="1"/>
  <c r="EZ9" i="5" s="1"/>
  <c r="EZ9" i="6" s="1"/>
  <c r="EJ9" i="5" a="1"/>
  <c r="EJ9" i="5" s="1"/>
  <c r="EJ9" i="6" s="1"/>
  <c r="DT9" i="5" a="1"/>
  <c r="DT9" i="5" s="1"/>
  <c r="DT9" i="6" s="1"/>
  <c r="CQ9" i="5" a="1"/>
  <c r="CQ9" i="5" s="1"/>
  <c r="CQ9" i="6" s="1"/>
  <c r="BO9" i="5" a="1"/>
  <c r="BO9" i="5" s="1"/>
  <c r="BO9" i="6" s="1"/>
  <c r="AJ9" i="5" a="1"/>
  <c r="AJ9" i="5" s="1"/>
  <c r="AJ9" i="6" s="1"/>
  <c r="W9" i="5" a="1"/>
  <c r="W9" i="5" s="1"/>
  <c r="W9" i="6" s="1"/>
  <c r="DU8" i="5" a="1"/>
  <c r="DU8" i="5" s="1"/>
  <c r="DU8" i="6" s="1"/>
  <c r="DE8" i="5" a="1"/>
  <c r="DE8" i="5" s="1"/>
  <c r="DE10" i="5" s="1"/>
  <c r="CQ8" i="5" a="1"/>
  <c r="CQ8" i="5" s="1"/>
  <c r="CQ8" i="6" s="1"/>
  <c r="BO8" i="5" a="1"/>
  <c r="BO8" i="5" s="1"/>
  <c r="BO8" i="6" s="1"/>
  <c r="Y8" i="5" a="1"/>
  <c r="Y8" i="5" s="1"/>
  <c r="L8" i="5" a="1"/>
  <c r="L8" i="5" s="1"/>
  <c r="L8" i="6" s="1"/>
  <c r="EK7" i="5" a="1"/>
  <c r="EK7" i="5" s="1"/>
  <c r="EK7" i="6" s="1"/>
  <c r="DW7" i="5" a="1"/>
  <c r="DW7" i="5" s="1"/>
  <c r="DW7" i="6" s="1"/>
  <c r="DK7" i="5" a="1"/>
  <c r="DK7" i="5" s="1"/>
  <c r="DK7" i="6" s="1"/>
  <c r="CY7" i="5" a="1"/>
  <c r="CY7" i="5" s="1"/>
  <c r="BS7" i="5" a="1"/>
  <c r="BS7" i="5" s="1"/>
  <c r="BS7" i="6" s="1"/>
  <c r="AQ7" i="5" a="1"/>
  <c r="AQ7" i="5" s="1"/>
  <c r="AQ7" i="6" s="1"/>
  <c r="S7" i="5" a="1"/>
  <c r="S7" i="5" s="1"/>
  <c r="S7" i="6" s="1"/>
  <c r="F7" i="5" a="1"/>
  <c r="F7" i="5" s="1"/>
  <c r="F7" i="6" s="1"/>
  <c r="ES6" i="5" a="1"/>
  <c r="ES6" i="5" s="1"/>
  <c r="ES6" i="6" s="1"/>
  <c r="EB6" i="5" a="1"/>
  <c r="EB6" i="5" s="1"/>
  <c r="DO6" i="5" a="1"/>
  <c r="DO6" i="5" s="1"/>
  <c r="DO6" i="6" s="1"/>
  <c r="CZ6" i="5" a="1"/>
  <c r="CZ6" i="5" s="1"/>
  <c r="CZ6" i="6" s="1"/>
  <c r="CL6" i="5" a="1"/>
  <c r="CL6" i="5" s="1"/>
  <c r="CL6" i="6" s="1"/>
  <c r="BL6" i="5" a="1"/>
  <c r="BL6" i="5" s="1"/>
  <c r="BL6" i="6" s="1"/>
  <c r="AU6" i="5" a="1"/>
  <c r="AU6" i="5" s="1"/>
  <c r="AU6" i="6" s="1"/>
  <c r="AG6" i="5" a="1"/>
  <c r="AG6" i="5" s="1"/>
  <c r="AG6" i="6" s="1"/>
  <c r="G6" i="5" a="1"/>
  <c r="G6" i="5" s="1"/>
  <c r="G6" i="6" s="1"/>
  <c r="EN9" i="4" a="1"/>
  <c r="EN9" i="4" s="1"/>
  <c r="DY9" i="4" a="1"/>
  <c r="DY9" i="4" s="1"/>
  <c r="DK9" i="4" a="1"/>
  <c r="DK9" i="4" s="1"/>
  <c r="CV9" i="4" a="1"/>
  <c r="CV9" i="4" s="1"/>
  <c r="CG9" i="4" a="1"/>
  <c r="CG9" i="4" s="1"/>
  <c r="BD9" i="4" a="1"/>
  <c r="BD9" i="4" s="1"/>
  <c r="AP9" i="4" a="1"/>
  <c r="AP9" i="4" s="1"/>
  <c r="L9" i="4" a="1"/>
  <c r="L9" i="4" s="1"/>
  <c r="EX8" i="4" a="1"/>
  <c r="EX8" i="4" s="1"/>
  <c r="DI8" i="4" a="1"/>
  <c r="DI8" i="4" s="1"/>
  <c r="BN8" i="4" a="1"/>
  <c r="BN8" i="4" s="1"/>
  <c r="AK8" i="4" a="1"/>
  <c r="AK8" i="4" s="1"/>
  <c r="W8" i="4" a="1"/>
  <c r="W8" i="4" s="1"/>
  <c r="H8" i="4" a="1"/>
  <c r="H8" i="4" s="1"/>
  <c r="ET7" i="4" a="1"/>
  <c r="ET7" i="4" s="1"/>
  <c r="DP7" i="4" a="1"/>
  <c r="DP7" i="4" s="1"/>
  <c r="CN7" i="4" a="1"/>
  <c r="CN7" i="4" s="1"/>
  <c r="BY7" i="4" a="1"/>
  <c r="BY7" i="4" s="1"/>
  <c r="BI7" i="4" a="1"/>
  <c r="BI7" i="4" s="1"/>
  <c r="AU7" i="4" a="1"/>
  <c r="AU7" i="4" s="1"/>
  <c r="AG7" i="4" a="1"/>
  <c r="AG7" i="4" s="1"/>
  <c r="ES6" i="4" a="1"/>
  <c r="ES6" i="4" s="1"/>
  <c r="EC6" i="4" a="1"/>
  <c r="EC6" i="4" s="1"/>
  <c r="DC6" i="4" a="1"/>
  <c r="DC6" i="4" s="1"/>
  <c r="CO6" i="4" a="1"/>
  <c r="CO6" i="4" s="1"/>
  <c r="CB6" i="4" a="1"/>
  <c r="CB6" i="4" s="1"/>
  <c r="BB6" i="4" a="1"/>
  <c r="BB6" i="4" s="1"/>
  <c r="EY9" i="5" a="1"/>
  <c r="EY9" i="5" s="1"/>
  <c r="EY9" i="6" s="1"/>
  <c r="EI9" i="5" a="1"/>
  <c r="EI9" i="5" s="1"/>
  <c r="EI9" i="6" s="1"/>
  <c r="DQ9" i="5" a="1"/>
  <c r="DQ9" i="5" s="1"/>
  <c r="DD9" i="5" a="1"/>
  <c r="DD9" i="5" s="1"/>
  <c r="DD9" i="6" s="1"/>
  <c r="CP9" i="5" a="1"/>
  <c r="CP9" i="5" s="1"/>
  <c r="CP9" i="6" s="1"/>
  <c r="CB9" i="5" a="1"/>
  <c r="CB9" i="5" s="1"/>
  <c r="CB9" i="6" s="1"/>
  <c r="BN9" i="5" a="1"/>
  <c r="BN9" i="5" s="1"/>
  <c r="BN9" i="6" s="1"/>
  <c r="AW9" i="5" a="1"/>
  <c r="AW9" i="5" s="1"/>
  <c r="H9" i="5" a="1"/>
  <c r="H9" i="5" s="1"/>
  <c r="H9" i="6" s="1"/>
  <c r="EU8" i="5" a="1"/>
  <c r="EU8" i="5" s="1"/>
  <c r="EU8" i="6" s="1"/>
  <c r="EG8" i="5" a="1"/>
  <c r="EG8" i="5" s="1"/>
  <c r="EG8" i="6" s="1"/>
  <c r="DD8" i="5" a="1"/>
  <c r="DD8" i="5" s="1"/>
  <c r="DD8" i="6" s="1"/>
  <c r="CP8" i="5" a="1"/>
  <c r="CP8" i="5" s="1"/>
  <c r="CP8" i="6" s="1"/>
  <c r="CB8" i="5" a="1"/>
  <c r="CB8" i="5" s="1"/>
  <c r="CB8" i="6" s="1"/>
  <c r="BN8" i="5" a="1"/>
  <c r="BN8" i="5" s="1"/>
  <c r="BN8" i="6" s="1"/>
  <c r="BA8" i="5" a="1"/>
  <c r="BA8" i="5" s="1"/>
  <c r="BA8" i="6" s="1"/>
  <c r="AN8" i="5" a="1"/>
  <c r="AN8" i="5" s="1"/>
  <c r="AN8" i="6" s="1"/>
  <c r="X8" i="5" a="1"/>
  <c r="X8" i="5" s="1"/>
  <c r="X8" i="6" s="1"/>
  <c r="K8" i="5" a="1"/>
  <c r="K8" i="5" s="1"/>
  <c r="K8" i="6" s="1"/>
  <c r="EY7" i="5" a="1"/>
  <c r="EY7" i="5" s="1"/>
  <c r="EY7" i="6" s="1"/>
  <c r="EJ7" i="5" a="1"/>
  <c r="EJ7" i="5" s="1"/>
  <c r="CX7" i="5" a="1"/>
  <c r="CX7" i="5" s="1"/>
  <c r="CX7" i="6" s="1"/>
  <c r="CK7" i="5" a="1"/>
  <c r="CK7" i="5" s="1"/>
  <c r="CK7" i="6" s="1"/>
  <c r="BR7" i="5" a="1"/>
  <c r="BR7" i="5" s="1"/>
  <c r="BR7" i="6" s="1"/>
  <c r="BE7" i="5" a="1"/>
  <c r="BE7" i="5" s="1"/>
  <c r="BE7" i="6" s="1"/>
  <c r="AE7" i="5" a="1"/>
  <c r="AE7" i="5" s="1"/>
  <c r="AE7" i="6" s="1"/>
  <c r="R7" i="5" a="1"/>
  <c r="R7" i="5" s="1"/>
  <c r="R7" i="6" s="1"/>
  <c r="E7" i="5" a="1"/>
  <c r="E7" i="5" s="1"/>
  <c r="E7" i="6" s="1"/>
  <c r="ER6" i="5" a="1"/>
  <c r="ER6" i="5" s="1"/>
  <c r="DN6" i="5" a="1"/>
  <c r="DN6" i="5" s="1"/>
  <c r="CK6" i="5" a="1"/>
  <c r="CK6" i="5" s="1"/>
  <c r="CK6" i="6" s="1"/>
  <c r="BY6" i="5" a="1"/>
  <c r="BY6" i="5" s="1"/>
  <c r="BY6" i="6" s="1"/>
  <c r="S6" i="5" a="1"/>
  <c r="S6" i="5" s="1"/>
  <c r="S6" i="6" s="1"/>
  <c r="F6" i="5" a="1"/>
  <c r="F6" i="5" s="1"/>
  <c r="F6" i="6" s="1"/>
  <c r="DX9" i="4" a="1"/>
  <c r="DX9" i="4" s="1"/>
  <c r="DJ9" i="4" a="1"/>
  <c r="DJ9" i="4" s="1"/>
  <c r="CF9" i="4" a="1"/>
  <c r="CF9" i="4" s="1"/>
  <c r="BR9" i="4" a="1"/>
  <c r="BR9" i="4" s="1"/>
  <c r="BC9" i="4" a="1"/>
  <c r="BC9" i="4" s="1"/>
  <c r="AO9" i="4" a="1"/>
  <c r="AO9" i="4" s="1"/>
  <c r="X9" i="4" a="1"/>
  <c r="X9" i="4" s="1"/>
  <c r="K9" i="4" a="1"/>
  <c r="K9" i="4" s="1"/>
  <c r="EK8" i="4" a="1"/>
  <c r="EK8" i="4" s="1"/>
  <c r="DV8" i="4" a="1"/>
  <c r="DV8" i="4" s="1"/>
  <c r="DH8" i="4" a="1"/>
  <c r="DH8" i="4" s="1"/>
  <c r="CQ8" i="4" a="1"/>
  <c r="CQ8" i="4" s="1"/>
  <c r="CB8" i="4" a="1"/>
  <c r="CB8" i="4" s="1"/>
  <c r="BM8" i="4" a="1"/>
  <c r="BM8" i="4" s="1"/>
  <c r="AZ8" i="4" a="1"/>
  <c r="AZ8" i="4" s="1"/>
  <c r="AJ8" i="4" a="1"/>
  <c r="AJ8" i="4" s="1"/>
  <c r="ES7" i="4" a="1"/>
  <c r="ES7" i="4" s="1"/>
  <c r="EC7" i="4" a="1"/>
  <c r="EC7" i="4" s="1"/>
  <c r="DO7" i="4" a="1"/>
  <c r="DO7" i="4" s="1"/>
  <c r="DA7" i="4" a="1"/>
  <c r="DA7" i="4" s="1"/>
  <c r="CM7" i="4" a="1"/>
  <c r="CM7" i="4" s="1"/>
  <c r="BX7" i="4" a="1"/>
  <c r="BX7" i="4" s="1"/>
  <c r="BH7" i="4" a="1"/>
  <c r="BH7" i="4" s="1"/>
  <c r="T7" i="4" a="1"/>
  <c r="T7" i="4" s="1"/>
  <c r="F7" i="4" a="1"/>
  <c r="F7" i="4" s="1"/>
  <c r="EB6" i="4" a="1"/>
  <c r="EB6" i="4" s="1"/>
  <c r="DP6" i="4" a="1"/>
  <c r="DP6" i="4" s="1"/>
  <c r="DB6" i="4" a="1"/>
  <c r="DB6" i="4" s="1"/>
  <c r="CA6" i="4" a="1"/>
  <c r="CA6" i="4" s="1"/>
  <c r="BO6" i="4" a="1"/>
  <c r="BO6" i="4" s="1"/>
  <c r="EV9" i="5" a="1"/>
  <c r="EV9" i="5" s="1"/>
  <c r="EV9" i="6" s="1"/>
  <c r="EG9" i="5" a="1"/>
  <c r="EG9" i="5" s="1"/>
  <c r="EG9" i="6" s="1"/>
  <c r="DA9" i="5" a="1"/>
  <c r="DA9" i="5" s="1"/>
  <c r="DA9" i="6" s="1"/>
  <c r="CN9" i="5" a="1"/>
  <c r="CN9" i="5" s="1"/>
  <c r="CN9" i="6" s="1"/>
  <c r="BZ9" i="5" a="1"/>
  <c r="BZ9" i="5" s="1"/>
  <c r="BZ9" i="6" s="1"/>
  <c r="BL9" i="5" a="1"/>
  <c r="BL9" i="5" s="1"/>
  <c r="BL9" i="6" s="1"/>
  <c r="AU9" i="5" a="1"/>
  <c r="AU9" i="5" s="1"/>
  <c r="AU9" i="6" s="1"/>
  <c r="AH9" i="5" a="1"/>
  <c r="AH9" i="5" s="1"/>
  <c r="AH9" i="6" s="1"/>
  <c r="T9" i="5" a="1"/>
  <c r="T9" i="5" s="1"/>
  <c r="T9" i="6" s="1"/>
  <c r="EC8" i="5" a="1"/>
  <c r="EC8" i="5" s="1"/>
  <c r="DB8" i="5" a="1"/>
  <c r="DB8" i="5" s="1"/>
  <c r="DB8" i="6" s="1"/>
  <c r="BZ8" i="5" a="1"/>
  <c r="BZ8" i="5" s="1"/>
  <c r="BZ8" i="6" s="1"/>
  <c r="BL8" i="5" a="1"/>
  <c r="BL8" i="5" s="1"/>
  <c r="AW8" i="5" a="1"/>
  <c r="AW8" i="5" s="1"/>
  <c r="AJ8" i="5" a="1"/>
  <c r="AJ8" i="5" s="1"/>
  <c r="AJ8" i="6" s="1"/>
  <c r="V8" i="5" a="1"/>
  <c r="V8" i="5" s="1"/>
  <c r="V8" i="6" s="1"/>
  <c r="I8" i="5" a="1"/>
  <c r="I8" i="5" s="1"/>
  <c r="I8" i="6" s="1"/>
  <c r="EV7" i="5" a="1"/>
  <c r="EV7" i="5" s="1"/>
  <c r="EV7" i="6" s="1"/>
  <c r="EH7" i="5" a="1"/>
  <c r="EH7" i="5" s="1"/>
  <c r="EH7" i="6" s="1"/>
  <c r="DU7" i="5" a="1"/>
  <c r="DU7" i="5" s="1"/>
  <c r="DU7" i="6" s="1"/>
  <c r="CV7" i="5" a="1"/>
  <c r="CV7" i="5" s="1"/>
  <c r="CV7" i="6" s="1"/>
  <c r="CF7" i="5" a="1"/>
  <c r="CF7" i="5" s="1"/>
  <c r="CF7" i="6" s="1"/>
  <c r="BO7" i="5" a="1"/>
  <c r="BO7" i="5" s="1"/>
  <c r="BO7" i="6" s="1"/>
  <c r="BC7" i="5" a="1"/>
  <c r="BC7" i="5" s="1"/>
  <c r="BC7" i="6" s="1"/>
  <c r="AO7" i="5" a="1"/>
  <c r="AO7" i="5" s="1"/>
  <c r="AO7" i="6" s="1"/>
  <c r="FA6" i="5" a="1"/>
  <c r="FA6" i="5" s="1"/>
  <c r="EN6" i="5" a="1"/>
  <c r="EN6" i="5" s="1"/>
  <c r="DZ6" i="5" a="1"/>
  <c r="DZ6" i="5" s="1"/>
  <c r="DZ6" i="6" s="1"/>
  <c r="CW6" i="5" a="1"/>
  <c r="CW6" i="5" s="1"/>
  <c r="CW6" i="6" s="1"/>
  <c r="CG6" i="5" a="1"/>
  <c r="CG6" i="5" s="1"/>
  <c r="BG6" i="5" a="1"/>
  <c r="BG6" i="5" s="1"/>
  <c r="BG6" i="6" s="1"/>
  <c r="AR6" i="5" a="1"/>
  <c r="AR6" i="5" s="1"/>
  <c r="AR6" i="6" s="1"/>
  <c r="FA9" i="4" a="1"/>
  <c r="FA9" i="4" s="1"/>
  <c r="EK9" i="4" a="1"/>
  <c r="EK9" i="4" s="1"/>
  <c r="DV9" i="4" a="1"/>
  <c r="DV9" i="4" s="1"/>
  <c r="EU9" i="5" a="1"/>
  <c r="EU9" i="5" s="1"/>
  <c r="EU9" i="6" s="1"/>
  <c r="EF9" i="5" a="1"/>
  <c r="EF9" i="5" s="1"/>
  <c r="EF9" i="6" s="1"/>
  <c r="DO9" i="5" a="1"/>
  <c r="DO9" i="5" s="1"/>
  <c r="DO9" i="6" s="1"/>
  <c r="CZ9" i="5" a="1"/>
  <c r="CZ9" i="5" s="1"/>
  <c r="CZ9" i="6" s="1"/>
  <c r="CM9" i="5" a="1"/>
  <c r="CM9" i="5" s="1"/>
  <c r="CM9" i="6" s="1"/>
  <c r="BY9" i="5" a="1"/>
  <c r="BY9" i="5" s="1"/>
  <c r="BY9" i="6" s="1"/>
  <c r="BI9" i="5" a="1"/>
  <c r="BI9" i="5" s="1"/>
  <c r="AG9" i="5" a="1"/>
  <c r="AG9" i="5" s="1"/>
  <c r="AG9" i="6" s="1"/>
  <c r="E9" i="5" a="1"/>
  <c r="E9" i="5" s="1"/>
  <c r="E9" i="6" s="1"/>
  <c r="ER8" i="5" a="1"/>
  <c r="ER8" i="5" s="1"/>
  <c r="ER8" i="6" s="1"/>
  <c r="DP8" i="5" a="1"/>
  <c r="DP8" i="5" s="1"/>
  <c r="DP8" i="6" s="1"/>
  <c r="CM8" i="5" a="1"/>
  <c r="CM8" i="5" s="1"/>
  <c r="CM8" i="6" s="1"/>
  <c r="BY8" i="5" a="1"/>
  <c r="BY8" i="5" s="1"/>
  <c r="BY8" i="6" s="1"/>
  <c r="AI8" i="5" a="1"/>
  <c r="AI8" i="5" s="1"/>
  <c r="AI8" i="6" s="1"/>
  <c r="U8" i="5" a="1"/>
  <c r="U8" i="5" s="1"/>
  <c r="U8" i="6" s="1"/>
  <c r="H8" i="5" a="1"/>
  <c r="H8" i="5" s="1"/>
  <c r="H8" i="6" s="1"/>
  <c r="EU7" i="5" a="1"/>
  <c r="EU7" i="5" s="1"/>
  <c r="EU7" i="6" s="1"/>
  <c r="EG7" i="5" a="1"/>
  <c r="EG7" i="5" s="1"/>
  <c r="EG7" i="6" s="1"/>
  <c r="DT7" i="5" a="1"/>
  <c r="DT7" i="5" s="1"/>
  <c r="DT7" i="6" s="1"/>
  <c r="DH7" i="5" a="1"/>
  <c r="DH7" i="5" s="1"/>
  <c r="CS7" i="5" a="1"/>
  <c r="CS7" i="5" s="1"/>
  <c r="CE7" i="5" a="1"/>
  <c r="CE7" i="5" s="1"/>
  <c r="CE7" i="6" s="1"/>
  <c r="BB7" i="5" a="1"/>
  <c r="BB7" i="5" s="1"/>
  <c r="BB7" i="6" s="1"/>
  <c r="AB7" i="5" a="1"/>
  <c r="AB7" i="5" s="1"/>
  <c r="AB7" i="6" s="1"/>
  <c r="P7" i="5" a="1"/>
  <c r="P7" i="5" s="1"/>
  <c r="P7" i="6" s="1"/>
  <c r="EZ6" i="5" a="1"/>
  <c r="EZ6" i="5" s="1"/>
  <c r="EZ6" i="6" s="1"/>
  <c r="EM6" i="5" a="1"/>
  <c r="EM6" i="5" s="1"/>
  <c r="EM6" i="6" s="1"/>
  <c r="DY6" i="5" a="1"/>
  <c r="DY6" i="5" s="1"/>
  <c r="DL6" i="5" a="1"/>
  <c r="DL6" i="5" s="1"/>
  <c r="DL6" i="6" s="1"/>
  <c r="CV6" i="5" a="1"/>
  <c r="CV6" i="5" s="1"/>
  <c r="CV6" i="6" s="1"/>
  <c r="BU6" i="5" a="1"/>
  <c r="BU6" i="5" s="1"/>
  <c r="BF6" i="5" a="1"/>
  <c r="BF6" i="5" s="1"/>
  <c r="BF6" i="6" s="1"/>
  <c r="EN9" i="5" a="1"/>
  <c r="EN9" i="5" s="1"/>
  <c r="EN9" i="6" s="1"/>
  <c r="DY9" i="5" a="1"/>
  <c r="DY9" i="5" s="1"/>
  <c r="DY9" i="6" s="1"/>
  <c r="DK9" i="5" a="1"/>
  <c r="DK9" i="5" s="1"/>
  <c r="DK9" i="6" s="1"/>
  <c r="CV9" i="5" a="1"/>
  <c r="CV9" i="5" s="1"/>
  <c r="CV9" i="6" s="1"/>
  <c r="CG9" i="5" a="1"/>
  <c r="CG9" i="5" s="1"/>
  <c r="BS9" i="5" a="1"/>
  <c r="BS9" i="5" s="1"/>
  <c r="BS9" i="6" s="1"/>
  <c r="BD9" i="5" a="1"/>
  <c r="BD9" i="5" s="1"/>
  <c r="BD9" i="6" s="1"/>
  <c r="AQ9" i="5" a="1"/>
  <c r="AQ9" i="5" s="1"/>
  <c r="AQ9" i="6" s="1"/>
  <c r="P9" i="5" a="1"/>
  <c r="P9" i="5" s="1"/>
  <c r="P9" i="6" s="1"/>
  <c r="EZ8" i="5" a="1"/>
  <c r="EZ8" i="5" s="1"/>
  <c r="EZ8" i="6" s="1"/>
  <c r="EL8" i="5" a="1"/>
  <c r="EL8" i="5" s="1"/>
  <c r="EL8" i="6" s="1"/>
  <c r="DL8" i="5" a="1"/>
  <c r="DL8" i="5" s="1"/>
  <c r="DL8" i="6" s="1"/>
  <c r="CX8" i="5" a="1"/>
  <c r="CX8" i="5" s="1"/>
  <c r="CX8" i="6" s="1"/>
  <c r="BS8" i="5" a="1"/>
  <c r="BS8" i="5" s="1"/>
  <c r="BS8" i="6" s="1"/>
  <c r="BF8" i="5" a="1"/>
  <c r="BF8" i="5" s="1"/>
  <c r="BF8" i="6" s="1"/>
  <c r="AF8" i="5" a="1"/>
  <c r="AF8" i="5" s="1"/>
  <c r="AF8" i="6" s="1"/>
  <c r="R8" i="5" a="1"/>
  <c r="R8" i="5" s="1"/>
  <c r="R8" i="6" s="1"/>
  <c r="EO7" i="5" a="1"/>
  <c r="EO7" i="5" s="1"/>
  <c r="EA7" i="5" a="1"/>
  <c r="EA7" i="5" s="1"/>
  <c r="EA7" i="6" s="1"/>
  <c r="DN7" i="5" a="1"/>
  <c r="DN7" i="5" s="1"/>
  <c r="DN7" i="6" s="1"/>
  <c r="CA7" i="5" a="1"/>
  <c r="CA7" i="5" s="1"/>
  <c r="CA7" i="6" s="1"/>
  <c r="BI7" i="5" a="1"/>
  <c r="BI7" i="5" s="1"/>
  <c r="AV7" i="5" a="1"/>
  <c r="AV7" i="5" s="1"/>
  <c r="AV7" i="6" s="1"/>
  <c r="J7" i="5" a="1"/>
  <c r="J7" i="5" s="1"/>
  <c r="J7" i="6" s="1"/>
  <c r="EW6" i="5" a="1"/>
  <c r="EW6" i="5" s="1"/>
  <c r="EW6" i="6" s="1"/>
  <c r="EI6" i="5" a="1"/>
  <c r="EI6" i="5" s="1"/>
  <c r="EI6" i="6" s="1"/>
  <c r="DV6" i="5" a="1"/>
  <c r="DV6" i="5" s="1"/>
  <c r="DV6" i="6" s="1"/>
  <c r="DE6" i="5" a="1"/>
  <c r="DE6" i="5" s="1"/>
  <c r="CP6" i="5" a="1"/>
  <c r="CP6" i="5" s="1"/>
  <c r="CP6" i="6" s="1"/>
  <c r="BQ6" i="5" a="1"/>
  <c r="BQ6" i="5" s="1"/>
  <c r="BC6" i="5" a="1"/>
  <c r="BC6" i="5" s="1"/>
  <c r="BC6" i="6" s="1"/>
  <c r="X6" i="5" a="1"/>
  <c r="X6" i="5" s="1"/>
  <c r="X6" i="6" s="1"/>
  <c r="EU9" i="4" a="1"/>
  <c r="EU9" i="4" s="1"/>
  <c r="DX9" i="5" a="1"/>
  <c r="DX9" i="5" s="1"/>
  <c r="DX9" i="6" s="1"/>
  <c r="CF9" i="5" a="1"/>
  <c r="CF9" i="5" s="1"/>
  <c r="CF9" i="6" s="1"/>
  <c r="BC9" i="5" a="1"/>
  <c r="BC9" i="5" s="1"/>
  <c r="BC9" i="6" s="1"/>
  <c r="AP9" i="5" a="1"/>
  <c r="AP9" i="5" s="1"/>
  <c r="AP9" i="6" s="1"/>
  <c r="AC9" i="5" a="1"/>
  <c r="AC9" i="5" s="1"/>
  <c r="AC9" i="6" s="1"/>
  <c r="M9" i="5" a="1"/>
  <c r="M9" i="5" s="1"/>
  <c r="EY8" i="5" a="1"/>
  <c r="EY8" i="5" s="1"/>
  <c r="EY8" i="6" s="1"/>
  <c r="EK8" i="5" a="1"/>
  <c r="EK8" i="5" s="1"/>
  <c r="EK8" i="6" s="1"/>
  <c r="DY8" i="5" a="1"/>
  <c r="DY8" i="5" s="1"/>
  <c r="DY8" i="6" s="1"/>
  <c r="DK8" i="5" a="1"/>
  <c r="DK8" i="5" s="1"/>
  <c r="DK8" i="6" s="1"/>
  <c r="CW8" i="5" a="1"/>
  <c r="CW8" i="5" s="1"/>
  <c r="CW8" i="6" s="1"/>
  <c r="CF8" i="5" a="1"/>
  <c r="CF8" i="5" s="1"/>
  <c r="CF8" i="6" s="1"/>
  <c r="BR8" i="5" a="1"/>
  <c r="BR8" i="5" s="1"/>
  <c r="BR8" i="6" s="1"/>
  <c r="BE8" i="5" a="1"/>
  <c r="BE8" i="5" s="1"/>
  <c r="BE8" i="6" s="1"/>
  <c r="AS8" i="5" a="1"/>
  <c r="AS8" i="5" s="1"/>
  <c r="AS8" i="6" s="1"/>
  <c r="AE8" i="5" a="1"/>
  <c r="AE8" i="5" s="1"/>
  <c r="AE8" i="6" s="1"/>
  <c r="E8" i="5" a="1"/>
  <c r="E8" i="5" s="1"/>
  <c r="E8" i="6" s="1"/>
  <c r="DZ7" i="5" a="1"/>
  <c r="DZ7" i="5" s="1"/>
  <c r="DZ7" i="6" s="1"/>
  <c r="DC7" i="5" a="1"/>
  <c r="DC7" i="5" s="1"/>
  <c r="CO7" i="5" a="1"/>
  <c r="CO7" i="5" s="1"/>
  <c r="CO7" i="6" s="1"/>
  <c r="BZ7" i="5" a="1"/>
  <c r="BZ7" i="5" s="1"/>
  <c r="BZ7" i="6" s="1"/>
  <c r="AI7" i="5" a="1"/>
  <c r="AI7" i="5" s="1"/>
  <c r="AI7" i="6" s="1"/>
  <c r="V7" i="5" a="1"/>
  <c r="V7" i="5" s="1"/>
  <c r="V7" i="6" s="1"/>
  <c r="EV6" i="5" a="1"/>
  <c r="EV6" i="5" s="1"/>
  <c r="DU6" i="5" a="1"/>
  <c r="DU6" i="5" s="1"/>
  <c r="DD6" i="5" a="1"/>
  <c r="DD6" i="5" s="1"/>
  <c r="CO6" i="5" a="1"/>
  <c r="CO6" i="5" s="1"/>
  <c r="CO6" i="6" s="1"/>
  <c r="CC6" i="5" a="1"/>
  <c r="CC6" i="5" s="1"/>
  <c r="CC6" i="6" s="1"/>
  <c r="BP6" i="5" a="1"/>
  <c r="BP6" i="5" s="1"/>
  <c r="BP6" i="6" s="1"/>
  <c r="BB6" i="5" a="1"/>
  <c r="BB6" i="5" s="1"/>
  <c r="AK6" i="5" a="1"/>
  <c r="AK6" i="5" s="1"/>
  <c r="W6" i="5" a="1"/>
  <c r="W6" i="5" s="1"/>
  <c r="W6" i="6" s="1"/>
  <c r="EM9" i="5" a="1"/>
  <c r="EM9" i="5" s="1"/>
  <c r="EM9" i="6" s="1"/>
  <c r="DJ9" i="5" a="1"/>
  <c r="DJ9" i="5" s="1"/>
  <c r="CS9" i="5" a="1"/>
  <c r="CS9" i="5" s="1"/>
  <c r="CE9" i="5" a="1"/>
  <c r="CE9" i="5" s="1"/>
  <c r="CE9" i="6" s="1"/>
  <c r="BR9" i="5" a="1"/>
  <c r="BR9" i="5" s="1"/>
  <c r="BR9" i="6" s="1"/>
  <c r="AB9" i="5" a="1"/>
  <c r="AB9" i="5" s="1"/>
  <c r="AB9" i="6" s="1"/>
  <c r="L9" i="5" a="1"/>
  <c r="L9" i="5" s="1"/>
  <c r="L9" i="6" s="1"/>
  <c r="EX8" i="5" a="1"/>
  <c r="EX8" i="5" s="1"/>
  <c r="EJ8" i="5" a="1"/>
  <c r="EJ8" i="5" s="1"/>
  <c r="EJ8" i="6" s="1"/>
  <c r="DX8" i="5" a="1"/>
  <c r="DX8" i="5" s="1"/>
  <c r="DX8" i="6" s="1"/>
  <c r="DJ8" i="5" a="1"/>
  <c r="DJ8" i="5" s="1"/>
  <c r="DJ8" i="6" s="1"/>
  <c r="CV8" i="5" a="1"/>
  <c r="CV8" i="5" s="1"/>
  <c r="CV8" i="6" s="1"/>
  <c r="AR8" i="5" a="1"/>
  <c r="AR8" i="5" s="1"/>
  <c r="AR8" i="6" s="1"/>
  <c r="AD8" i="5" a="1"/>
  <c r="AD8" i="5" s="1"/>
  <c r="AD8" i="6" s="1"/>
  <c r="Q8" i="5" a="1"/>
  <c r="Q8" i="5" s="1"/>
  <c r="Q8" i="6" s="1"/>
  <c r="D8" i="5" a="1"/>
  <c r="D8" i="5" s="1"/>
  <c r="D8" i="6" s="1"/>
  <c r="EN7" i="5" a="1"/>
  <c r="EN7" i="5" s="1"/>
  <c r="EN7" i="6" s="1"/>
  <c r="DY7" i="5" a="1"/>
  <c r="DY7" i="5" s="1"/>
  <c r="DY7" i="6" s="1"/>
  <c r="EL9" i="5" a="1"/>
  <c r="EL9" i="5" s="1"/>
  <c r="EL9" i="6" s="1"/>
  <c r="DW9" i="5" a="1"/>
  <c r="DW9" i="5" s="1"/>
  <c r="DW9" i="6" s="1"/>
  <c r="DI9" i="5" a="1"/>
  <c r="DI9" i="5" s="1"/>
  <c r="CD9" i="5" a="1"/>
  <c r="CD9" i="5" s="1"/>
  <c r="CD9" i="6" s="1"/>
  <c r="BQ9" i="5" a="1"/>
  <c r="BQ9" i="5" s="1"/>
  <c r="BQ9" i="6" s="1"/>
  <c r="BB9" i="5" a="1"/>
  <c r="BB9" i="5" s="1"/>
  <c r="BB9" i="6" s="1"/>
  <c r="AO9" i="5" a="1"/>
  <c r="AO9" i="5" s="1"/>
  <c r="AO9" i="6" s="1"/>
  <c r="Y9" i="5" a="1"/>
  <c r="Y9" i="5" s="1"/>
  <c r="K9" i="5" a="1"/>
  <c r="K9" i="5" s="1"/>
  <c r="K9" i="6" s="1"/>
  <c r="DW8" i="5" a="1"/>
  <c r="DW8" i="5" s="1"/>
  <c r="DW8" i="6" s="1"/>
  <c r="CS8" i="5" a="1"/>
  <c r="CS8" i="5" s="1"/>
  <c r="CE8" i="5" a="1"/>
  <c r="CE8" i="5" s="1"/>
  <c r="BQ8" i="5" a="1"/>
  <c r="BQ8" i="5" s="1"/>
  <c r="BQ8" i="6" s="1"/>
  <c r="BD8" i="5" a="1"/>
  <c r="BD8" i="5" s="1"/>
  <c r="BD8" i="6" s="1"/>
  <c r="AQ8" i="5" a="1"/>
  <c r="AQ8" i="5" s="1"/>
  <c r="AQ8" i="6" s="1"/>
  <c r="P8" i="5" a="1"/>
  <c r="P8" i="5" s="1"/>
  <c r="P8" i="6" s="1"/>
  <c r="EM7" i="5" a="1"/>
  <c r="EM7" i="5" s="1"/>
  <c r="EX9" i="5" a="1"/>
  <c r="EX9" i="5" s="1"/>
  <c r="EX9" i="6" s="1"/>
  <c r="DN9" i="5" a="1"/>
  <c r="DN9" i="5" s="1"/>
  <c r="DN9" i="6" s="1"/>
  <c r="CK9" i="5" a="1"/>
  <c r="CK9" i="5" s="1"/>
  <c r="CK9" i="6" s="1"/>
  <c r="BA9" i="5" a="1"/>
  <c r="BA9" i="5" s="1"/>
  <c r="BA9" i="6" s="1"/>
  <c r="U9" i="5" a="1"/>
  <c r="U9" i="5" s="1"/>
  <c r="U9" i="6" s="1"/>
  <c r="EO8" i="5" a="1"/>
  <c r="EO8" i="5" s="1"/>
  <c r="DM8" i="5" a="1"/>
  <c r="DM8" i="5" s="1"/>
  <c r="DM8" i="6" s="1"/>
  <c r="CA8" i="5" a="1"/>
  <c r="CA8" i="5" s="1"/>
  <c r="CA8" i="6" s="1"/>
  <c r="AV8" i="5" a="1"/>
  <c r="AV8" i="5" s="1"/>
  <c r="AV8" i="6" s="1"/>
  <c r="S8" i="5" a="1"/>
  <c r="S8" i="5" s="1"/>
  <c r="S8" i="6" s="1"/>
  <c r="CP7" i="5" a="1"/>
  <c r="CP7" i="5" s="1"/>
  <c r="CP7" i="6" s="1"/>
  <c r="BM7" i="5" a="1"/>
  <c r="BM7" i="5" s="1"/>
  <c r="BM7" i="6" s="1"/>
  <c r="DW6" i="5" a="1"/>
  <c r="DW6" i="5" s="1"/>
  <c r="CS6" i="5" a="1"/>
  <c r="CS6" i="5" s="1"/>
  <c r="AZ6" i="5" a="1"/>
  <c r="AZ6" i="5" s="1"/>
  <c r="AZ6" i="6" s="1"/>
  <c r="AB6" i="5" a="1"/>
  <c r="AB6" i="5" s="1"/>
  <c r="AB6" i="6" s="1"/>
  <c r="H6" i="5" a="1"/>
  <c r="H6" i="5" s="1"/>
  <c r="H6" i="6" s="1"/>
  <c r="DN9" i="4" a="1"/>
  <c r="DN9" i="4" s="1"/>
  <c r="CW9" i="4" a="1"/>
  <c r="CW9" i="4" s="1"/>
  <c r="AC9" i="4" a="1"/>
  <c r="AC9" i="4" s="1"/>
  <c r="I9" i="4" a="1"/>
  <c r="I9" i="4" s="1"/>
  <c r="ET8" i="4" a="1"/>
  <c r="ET8" i="4" s="1"/>
  <c r="EB8" i="4" a="1"/>
  <c r="EB8" i="4" s="1"/>
  <c r="CP8" i="4" a="1"/>
  <c r="CP8" i="4" s="1"/>
  <c r="BY8" i="4" a="1"/>
  <c r="BY8" i="4" s="1"/>
  <c r="BF8" i="4" a="1"/>
  <c r="BF8" i="4" s="1"/>
  <c r="AP8" i="4" a="1"/>
  <c r="AP8" i="4" s="1"/>
  <c r="X8" i="4" a="1"/>
  <c r="X8" i="4" s="1"/>
  <c r="EL7" i="4" a="1"/>
  <c r="EL7" i="4" s="1"/>
  <c r="DV7" i="4" a="1"/>
  <c r="DV7" i="4" s="1"/>
  <c r="DD7" i="4" a="1"/>
  <c r="DD7" i="4" s="1"/>
  <c r="CK7" i="4" a="1"/>
  <c r="CK7" i="4" s="1"/>
  <c r="BR7" i="4" a="1"/>
  <c r="BR7" i="4" s="1"/>
  <c r="BC7" i="4" a="1"/>
  <c r="BC7" i="4" s="1"/>
  <c r="AJ7" i="4" a="1"/>
  <c r="AJ7" i="4" s="1"/>
  <c r="S7" i="4" a="1"/>
  <c r="S7" i="4" s="1"/>
  <c r="EL6" i="4" a="1"/>
  <c r="EL6" i="4" s="1"/>
  <c r="DU6" i="4" a="1"/>
  <c r="DU6" i="4" s="1"/>
  <c r="CM6" i="4" a="1"/>
  <c r="CM6" i="4" s="1"/>
  <c r="BY6" i="4" a="1"/>
  <c r="BY6" i="4" s="1"/>
  <c r="BI6" i="4" a="1"/>
  <c r="BI6" i="4" s="1"/>
  <c r="AU6" i="4" a="1"/>
  <c r="AU6" i="4" s="1"/>
  <c r="AH6" i="4" a="1"/>
  <c r="AH6" i="4" s="1"/>
  <c r="EW9" i="5" a="1"/>
  <c r="EW9" i="5" s="1"/>
  <c r="EW9" i="6" s="1"/>
  <c r="DM9" i="5" a="1"/>
  <c r="DM9" i="5" s="1"/>
  <c r="DM9" i="6" s="1"/>
  <c r="CJ9" i="5" a="1"/>
  <c r="CJ9" i="5" s="1"/>
  <c r="CJ9" i="6" s="1"/>
  <c r="AV9" i="5" a="1"/>
  <c r="AV9" i="5" s="1"/>
  <c r="AV9" i="6" s="1"/>
  <c r="S9" i="5" a="1"/>
  <c r="S9" i="5" s="1"/>
  <c r="S9" i="6" s="1"/>
  <c r="EN8" i="5" a="1"/>
  <c r="EN8" i="5" s="1"/>
  <c r="EN8" i="6" s="1"/>
  <c r="DI8" i="5" a="1"/>
  <c r="DI8" i="5" s="1"/>
  <c r="DI8" i="6" s="1"/>
  <c r="DL7" i="5" a="1"/>
  <c r="DL7" i="5" s="1"/>
  <c r="DL7" i="6" s="1"/>
  <c r="CN7" i="5" a="1"/>
  <c r="CN7" i="5" s="1"/>
  <c r="CN7" i="6" s="1"/>
  <c r="BL7" i="5" a="1"/>
  <c r="BL7" i="5" s="1"/>
  <c r="BL7" i="6" s="1"/>
  <c r="AN7" i="5" a="1"/>
  <c r="AN7" i="5" s="1"/>
  <c r="AN7" i="6" s="1"/>
  <c r="EU6" i="5" a="1"/>
  <c r="EU6" i="5" s="1"/>
  <c r="EU6" i="6" s="1"/>
  <c r="CR6" i="5" a="1"/>
  <c r="CR6" i="5" s="1"/>
  <c r="BX6" i="5" a="1"/>
  <c r="BX6" i="5" s="1"/>
  <c r="BX6" i="6" s="1"/>
  <c r="AW6" i="5" a="1"/>
  <c r="AW6" i="5" s="1"/>
  <c r="Y6" i="5" a="1"/>
  <c r="Y6" i="5" s="1"/>
  <c r="E6" i="5" a="1"/>
  <c r="E6" i="5" s="1"/>
  <c r="E6" i="6" s="1"/>
  <c r="EH9" i="4" a="1"/>
  <c r="EH9" i="4" s="1"/>
  <c r="DM9" i="4" a="1"/>
  <c r="DM9" i="4" s="1"/>
  <c r="CS9" i="4" a="1"/>
  <c r="CS9" i="4" s="1"/>
  <c r="CC9" i="4" a="1"/>
  <c r="CC9" i="4" s="1"/>
  <c r="BM9" i="4" a="1"/>
  <c r="BM9" i="4" s="1"/>
  <c r="AT9" i="4" a="1"/>
  <c r="AT9" i="4" s="1"/>
  <c r="AB9" i="4" a="1"/>
  <c r="AB9" i="4" s="1"/>
  <c r="ES8" i="4" a="1"/>
  <c r="ES8" i="4" s="1"/>
  <c r="EA8" i="4" a="1"/>
  <c r="EA8" i="4" s="1"/>
  <c r="DK8" i="4" a="1"/>
  <c r="DK8" i="4" s="1"/>
  <c r="CO8" i="4" a="1"/>
  <c r="CO8" i="4" s="1"/>
  <c r="BX8" i="4" a="1"/>
  <c r="BX8" i="4" s="1"/>
  <c r="BE8" i="4" a="1"/>
  <c r="BE8" i="4" s="1"/>
  <c r="V8" i="4" a="1"/>
  <c r="V8" i="4" s="1"/>
  <c r="E8" i="4" a="1"/>
  <c r="E8" i="4" s="1"/>
  <c r="EK7" i="4" a="1"/>
  <c r="EK7" i="4" s="1"/>
  <c r="DU7" i="4" a="1"/>
  <c r="DU7" i="4" s="1"/>
  <c r="DC7" i="4" a="1"/>
  <c r="DC7" i="4" s="1"/>
  <c r="CJ7" i="4" a="1"/>
  <c r="CJ7" i="4" s="1"/>
  <c r="BQ7" i="4" a="1"/>
  <c r="BQ7" i="4" s="1"/>
  <c r="BB7" i="4" a="1"/>
  <c r="BB7" i="4" s="1"/>
  <c r="AI7" i="4" a="1"/>
  <c r="AI7" i="4" s="1"/>
  <c r="R7" i="4" a="1"/>
  <c r="R7" i="4" s="1"/>
  <c r="ET9" i="5" a="1"/>
  <c r="ET9" i="5" s="1"/>
  <c r="ET9" i="6" s="1"/>
  <c r="R9" i="5" a="1"/>
  <c r="R9" i="5" s="1"/>
  <c r="R9" i="6" s="1"/>
  <c r="EM8" i="5" a="1"/>
  <c r="EM8" i="5" s="1"/>
  <c r="EM8" i="6" s="1"/>
  <c r="BX8" i="5" a="1"/>
  <c r="BX8" i="5" s="1"/>
  <c r="BX8" i="6" s="1"/>
  <c r="AU8" i="5" a="1"/>
  <c r="AU8" i="5" s="1"/>
  <c r="AU8" i="6" s="1"/>
  <c r="EI7" i="5" a="1"/>
  <c r="EI7" i="5" s="1"/>
  <c r="EI7" i="6" s="1"/>
  <c r="DJ7" i="5" a="1"/>
  <c r="DJ7" i="5" s="1"/>
  <c r="DJ7" i="6" s="1"/>
  <c r="CM7" i="5" a="1"/>
  <c r="CM7" i="5" s="1"/>
  <c r="AK7" i="5" a="1"/>
  <c r="AK7" i="5" s="1"/>
  <c r="Q7" i="5" a="1"/>
  <c r="Q7" i="5" s="1"/>
  <c r="Q7" i="6" s="1"/>
  <c r="ET6" i="5" a="1"/>
  <c r="ET6" i="5" s="1"/>
  <c r="ET6" i="6" s="1"/>
  <c r="DT6" i="5" a="1"/>
  <c r="DT6" i="5" s="1"/>
  <c r="DT6" i="6" s="1"/>
  <c r="CQ6" i="5" a="1"/>
  <c r="CQ6" i="5" s="1"/>
  <c r="CQ6" i="6" s="1"/>
  <c r="BT6" i="5" a="1"/>
  <c r="BT6" i="5" s="1"/>
  <c r="BT6" i="6" s="1"/>
  <c r="AT6" i="5" a="1"/>
  <c r="AT6" i="5" s="1"/>
  <c r="AT6" i="6" s="1"/>
  <c r="ES9" i="5" a="1"/>
  <c r="ES9" i="5" s="1"/>
  <c r="ES9" i="6" s="1"/>
  <c r="DL9" i="5" a="1"/>
  <c r="DL9" i="5" s="1"/>
  <c r="DL9" i="6" s="1"/>
  <c r="CA9" i="5" a="1"/>
  <c r="CA9" i="5" s="1"/>
  <c r="CA9" i="6" s="1"/>
  <c r="AT9" i="5" a="1"/>
  <c r="AT9" i="5" s="1"/>
  <c r="AT9" i="6" s="1"/>
  <c r="Q9" i="5" a="1"/>
  <c r="Q9" i="5" s="1"/>
  <c r="Q9" i="6" s="1"/>
  <c r="EI8" i="5" a="1"/>
  <c r="EI8" i="5" s="1"/>
  <c r="EI8" i="6" s="1"/>
  <c r="DC8" i="5" a="1"/>
  <c r="DC8" i="5" s="1"/>
  <c r="DC8" i="6" s="1"/>
  <c r="BU8" i="5" a="1"/>
  <c r="BU8" i="5" s="1"/>
  <c r="AT8" i="5" a="1"/>
  <c r="AT8" i="5" s="1"/>
  <c r="AT8" i="6" s="1"/>
  <c r="DI7" i="5" a="1"/>
  <c r="DI7" i="5" s="1"/>
  <c r="DI7" i="6" s="1"/>
  <c r="BH7" i="5" a="1"/>
  <c r="BH7" i="5" s="1"/>
  <c r="BH7" i="6" s="1"/>
  <c r="DQ6" i="5" a="1"/>
  <c r="DQ6" i="5" s="1"/>
  <c r="AS6" i="5" a="1"/>
  <c r="AS6" i="5" s="1"/>
  <c r="AS6" i="6" s="1"/>
  <c r="EZ9" i="4" a="1"/>
  <c r="EZ9" i="4" s="1"/>
  <c r="EF9" i="4" a="1"/>
  <c r="EF9" i="4" s="1"/>
  <c r="DL9" i="4" a="1"/>
  <c r="DL9" i="4" s="1"/>
  <c r="CR9" i="4" a="1"/>
  <c r="CR9" i="4" s="1"/>
  <c r="CA9" i="4" a="1"/>
  <c r="CA9" i="4" s="1"/>
  <c r="BI9" i="4" a="1"/>
  <c r="BI9" i="4" s="1"/>
  <c r="AR9" i="4" a="1"/>
  <c r="AR9" i="4" s="1"/>
  <c r="W9" i="4" a="1"/>
  <c r="W9" i="4" s="1"/>
  <c r="G9" i="4" a="1"/>
  <c r="G9" i="4" s="1"/>
  <c r="ER8" i="4" a="1"/>
  <c r="ER8" i="4" s="1"/>
  <c r="ER9" i="5" a="1"/>
  <c r="ER9" i="5" s="1"/>
  <c r="ER9" i="6" s="1"/>
  <c r="DH9" i="5" a="1"/>
  <c r="DH9" i="5" s="1"/>
  <c r="DH9" i="6" s="1"/>
  <c r="AS9" i="5" a="1"/>
  <c r="AS9" i="5" s="1"/>
  <c r="AS9" i="6" s="1"/>
  <c r="DA8" i="5" a="1"/>
  <c r="DA8" i="5" s="1"/>
  <c r="DA8" i="6" s="1"/>
  <c r="AP8" i="5" a="1"/>
  <c r="AP8" i="5" s="1"/>
  <c r="AP8" i="6" s="1"/>
  <c r="J8" i="5" a="1"/>
  <c r="J8" i="5" s="1"/>
  <c r="J8" i="6" s="1"/>
  <c r="EF7" i="5" a="1"/>
  <c r="EF7" i="5" s="1"/>
  <c r="EF7" i="6" s="1"/>
  <c r="CJ7" i="5" a="1"/>
  <c r="CJ7" i="5" s="1"/>
  <c r="CJ7" i="6" s="1"/>
  <c r="AJ7" i="5" a="1"/>
  <c r="AJ7" i="5" s="1"/>
  <c r="AJ7" i="6" s="1"/>
  <c r="M7" i="5" a="1"/>
  <c r="M7" i="5" s="1"/>
  <c r="EO6" i="5" a="1"/>
  <c r="EO6" i="5" s="1"/>
  <c r="DP6" i="5" a="1"/>
  <c r="DP6" i="5" s="1"/>
  <c r="DP6" i="6" s="1"/>
  <c r="BS6" i="5" a="1"/>
  <c r="BS6" i="5" s="1"/>
  <c r="BS6" i="6" s="1"/>
  <c r="AQ6" i="5" a="1"/>
  <c r="AQ6" i="5" s="1"/>
  <c r="AQ6" i="6" s="1"/>
  <c r="V6" i="5" a="1"/>
  <c r="V6" i="5" s="1"/>
  <c r="V6" i="6" s="1"/>
  <c r="EY9" i="4" a="1"/>
  <c r="EY9" i="4" s="1"/>
  <c r="EC9" i="4" a="1"/>
  <c r="EC9" i="4" s="1"/>
  <c r="DI9" i="4" a="1"/>
  <c r="DI9" i="4" s="1"/>
  <c r="CQ9" i="4" a="1"/>
  <c r="CQ9" i="4" s="1"/>
  <c r="CT9" i="4" s="1"/>
  <c r="CO17" i="4" s="1"/>
  <c r="BZ9" i="4" a="1"/>
  <c r="BZ9" i="4" s="1"/>
  <c r="BH9" i="4" a="1"/>
  <c r="BH9" i="4" s="1"/>
  <c r="V9" i="4" a="1"/>
  <c r="V9" i="4" s="1"/>
  <c r="F9" i="4" a="1"/>
  <c r="F9" i="4" s="1"/>
  <c r="DY8" i="4" a="1"/>
  <c r="DY8" i="4" s="1"/>
  <c r="DD8" i="4" a="1"/>
  <c r="DD8" i="4" s="1"/>
  <c r="CM8" i="4" a="1"/>
  <c r="CM8" i="4" s="1"/>
  <c r="BT8" i="4" a="1"/>
  <c r="BT8" i="4" s="1"/>
  <c r="EO9" i="5" a="1"/>
  <c r="EO9" i="5" s="1"/>
  <c r="DC9" i="5" a="1"/>
  <c r="DC9" i="5" s="1"/>
  <c r="DC9" i="6" s="1"/>
  <c r="BX9" i="5" a="1"/>
  <c r="BX9" i="5" s="1"/>
  <c r="BX9" i="6" s="1"/>
  <c r="AR9" i="5" a="1"/>
  <c r="AR9" i="5" s="1"/>
  <c r="AR9" i="6" s="1"/>
  <c r="J9" i="5" a="1"/>
  <c r="J9" i="5" s="1"/>
  <c r="J9" i="6" s="1"/>
  <c r="EF8" i="5" a="1"/>
  <c r="EF8" i="5" s="1"/>
  <c r="DB9" i="5" a="1"/>
  <c r="DB9" i="5" s="1"/>
  <c r="G9" i="5" a="1"/>
  <c r="G9" i="5" s="1"/>
  <c r="G9" i="6" s="1"/>
  <c r="EB8" i="5" a="1"/>
  <c r="EB8" i="5" s="1"/>
  <c r="EB8" i="6" s="1"/>
  <c r="CY8" i="5" a="1"/>
  <c r="CY8" i="5" s="1"/>
  <c r="CY8" i="6" s="1"/>
  <c r="BP8" i="5" a="1"/>
  <c r="BP8" i="5" s="1"/>
  <c r="BP8" i="6" s="1"/>
  <c r="AK8" i="5" a="1"/>
  <c r="AK8" i="5" s="1"/>
  <c r="G8" i="5" a="1"/>
  <c r="G8" i="5" s="1"/>
  <c r="G8" i="6" s="1"/>
  <c r="EB7" i="5" a="1"/>
  <c r="EB7" i="5" s="1"/>
  <c r="EB7" i="6" s="1"/>
  <c r="BD7" i="5" a="1"/>
  <c r="BD7" i="5" s="1"/>
  <c r="BD7" i="6" s="1"/>
  <c r="AG7" i="5" a="1"/>
  <c r="AG7" i="5" s="1"/>
  <c r="AG7" i="6" s="1"/>
  <c r="K7" i="5" a="1"/>
  <c r="K7" i="5" s="1"/>
  <c r="K7" i="6" s="1"/>
  <c r="DM6" i="5" a="1"/>
  <c r="DM6" i="5" s="1"/>
  <c r="DM6" i="6" s="1"/>
  <c r="BO6" i="5" a="1"/>
  <c r="BO6" i="5" s="1"/>
  <c r="AO6" i="5" a="1"/>
  <c r="AO6" i="5" s="1"/>
  <c r="AO6" i="6" s="1"/>
  <c r="EW9" i="4" a="1"/>
  <c r="EW9" i="4" s="1"/>
  <c r="DE9" i="4" a="1"/>
  <c r="DE9" i="4" s="1"/>
  <c r="CO9" i="4" a="1"/>
  <c r="CO9" i="4" s="1"/>
  <c r="BY9" i="4" a="1"/>
  <c r="BY9" i="4" s="1"/>
  <c r="AK9" i="4" a="1"/>
  <c r="AK9" i="4" s="1"/>
  <c r="T9" i="4" a="1"/>
  <c r="T9" i="4" s="1"/>
  <c r="E9" i="4" a="1"/>
  <c r="E9" i="4" s="1"/>
  <c r="EN8" i="4" a="1"/>
  <c r="EN8" i="4" s="1"/>
  <c r="DU8" i="4" a="1"/>
  <c r="DU8" i="4" s="1"/>
  <c r="DC8" i="4" a="1"/>
  <c r="DC8" i="4" s="1"/>
  <c r="CY9" i="5" a="1"/>
  <c r="CY9" i="5" s="1"/>
  <c r="CY9" i="6" s="1"/>
  <c r="BU9" i="5" a="1"/>
  <c r="BU9" i="5" s="1"/>
  <c r="AN9" i="5" a="1"/>
  <c r="AN9" i="5" s="1"/>
  <c r="AN9" i="6" s="1"/>
  <c r="F9" i="5" a="1"/>
  <c r="F9" i="5" s="1"/>
  <c r="F9" i="6" s="1"/>
  <c r="EA8" i="5" a="1"/>
  <c r="EA8" i="5" s="1"/>
  <c r="EA8" i="6" s="1"/>
  <c r="BM8" i="5" a="1"/>
  <c r="BM8" i="5" s="1"/>
  <c r="BM8" i="6" s="1"/>
  <c r="EA9" i="5" a="1"/>
  <c r="EA9" i="5" s="1"/>
  <c r="EA9" i="6" s="1"/>
  <c r="CR9" i="5" a="1"/>
  <c r="CR9" i="5" s="1"/>
  <c r="CR9" i="6" s="1"/>
  <c r="BM9" i="5" a="1"/>
  <c r="BM9" i="5" s="1"/>
  <c r="BM9" i="6" s="1"/>
  <c r="AF9" i="5" a="1"/>
  <c r="AF9" i="5" s="1"/>
  <c r="AF9" i="6" s="1"/>
  <c r="DT8" i="5" a="1"/>
  <c r="DT8" i="5" s="1"/>
  <c r="DT8" i="6" s="1"/>
  <c r="CL8" i="5" a="1"/>
  <c r="CL8" i="5" s="1"/>
  <c r="CL8" i="6" s="1"/>
  <c r="AC8" i="5" a="1"/>
  <c r="AC8" i="5" s="1"/>
  <c r="AC8" i="6" s="1"/>
  <c r="EW7" i="5" a="1"/>
  <c r="EW7" i="5" s="1"/>
  <c r="EW7" i="6" s="1"/>
  <c r="DQ7" i="5" a="1"/>
  <c r="DQ7" i="5" s="1"/>
  <c r="BX7" i="5" a="1"/>
  <c r="BX7" i="5" s="1"/>
  <c r="BX7" i="6" s="1"/>
  <c r="AW7" i="5" a="1"/>
  <c r="AW7" i="5" s="1"/>
  <c r="Y7" i="5" a="1"/>
  <c r="Y7" i="5" s="1"/>
  <c r="EF6" i="5" a="1"/>
  <c r="EF6" i="5" s="1"/>
  <c r="DC6" i="5" a="1"/>
  <c r="DC6" i="5" s="1"/>
  <c r="DC6" i="6" s="1"/>
  <c r="CE6" i="5" a="1"/>
  <c r="CE6" i="5" s="1"/>
  <c r="CE6" i="6" s="1"/>
  <c r="ER9" i="4" a="1"/>
  <c r="ER9" i="4" s="1"/>
  <c r="DT9" i="4" a="1"/>
  <c r="DT9" i="4" s="1"/>
  <c r="DA9" i="4" a="1"/>
  <c r="DA9" i="4" s="1"/>
  <c r="BQ9" i="4" a="1"/>
  <c r="BQ9" i="4" s="1"/>
  <c r="AZ9" i="4" a="1"/>
  <c r="AZ9" i="4" s="1"/>
  <c r="AG9" i="4" a="1"/>
  <c r="AG9" i="4" s="1"/>
  <c r="EZ8" i="4" a="1"/>
  <c r="EZ8" i="4" s="1"/>
  <c r="DZ9" i="5" a="1"/>
  <c r="DZ9" i="5" s="1"/>
  <c r="DZ9" i="6" s="1"/>
  <c r="CO9" i="5" a="1"/>
  <c r="CO9" i="5" s="1"/>
  <c r="CO9" i="6" s="1"/>
  <c r="BH9" i="5" a="1"/>
  <c r="BH9" i="5" s="1"/>
  <c r="BH9" i="6" s="1"/>
  <c r="AE9" i="5" a="1"/>
  <c r="AE9" i="5" s="1"/>
  <c r="AE9" i="6" s="1"/>
  <c r="EW8" i="5" a="1"/>
  <c r="EW8" i="5" s="1"/>
  <c r="EW8" i="6" s="1"/>
  <c r="DQ8" i="5" a="1"/>
  <c r="DQ8" i="5" s="1"/>
  <c r="CK8" i="5" a="1"/>
  <c r="CK8" i="5" s="1"/>
  <c r="CK8" i="6" s="1"/>
  <c r="BG8" i="5" a="1"/>
  <c r="BG8" i="5" s="1"/>
  <c r="BG8" i="6" s="1"/>
  <c r="CW7" i="5" a="1"/>
  <c r="CW7" i="5" s="1"/>
  <c r="CW7" i="6" s="1"/>
  <c r="BU7" i="5" a="1"/>
  <c r="BU7" i="5" s="1"/>
  <c r="AU7" i="5" a="1"/>
  <c r="AU7" i="5" s="1"/>
  <c r="AU7" i="6" s="1"/>
  <c r="X7" i="5" a="1"/>
  <c r="X7" i="5" s="1"/>
  <c r="X7" i="6" s="1"/>
  <c r="EY6" i="5" a="1"/>
  <c r="EY6" i="5" s="1"/>
  <c r="EA6" i="5" a="1"/>
  <c r="EA6" i="5" s="1"/>
  <c r="EA6" i="6" s="1"/>
  <c r="DB6" i="5" a="1"/>
  <c r="DB6" i="5" s="1"/>
  <c r="DB6" i="6" s="1"/>
  <c r="CD6" i="5" a="1"/>
  <c r="CD6" i="5" s="1"/>
  <c r="CD6" i="6" s="1"/>
  <c r="BE6" i="5" a="1"/>
  <c r="BE6" i="5" s="1"/>
  <c r="BE6" i="6" s="1"/>
  <c r="AF6" i="5" a="1"/>
  <c r="AF6" i="5" s="1"/>
  <c r="AF6" i="6" s="1"/>
  <c r="L6" i="5" a="1"/>
  <c r="L6" i="5" s="1"/>
  <c r="L6" i="6" s="1"/>
  <c r="EM9" i="4" a="1"/>
  <c r="EM9" i="4" s="1"/>
  <c r="DQ9" i="4" a="1"/>
  <c r="DQ9" i="4" s="1"/>
  <c r="CK9" i="4" a="1"/>
  <c r="CK9" i="4" s="1"/>
  <c r="BP9" i="4" a="1"/>
  <c r="BP9" i="4" s="1"/>
  <c r="DV9" i="5" a="1"/>
  <c r="DV9" i="5" s="1"/>
  <c r="DV9" i="6" s="1"/>
  <c r="BG9" i="5" a="1"/>
  <c r="BG9" i="5" s="1"/>
  <c r="BG9" i="6" s="1"/>
  <c r="AD9" i="5" a="1"/>
  <c r="AD9" i="5" s="1"/>
  <c r="AD9" i="6" s="1"/>
  <c r="ET8" i="5" a="1"/>
  <c r="ET8" i="5" s="1"/>
  <c r="ET8" i="6" s="1"/>
  <c r="DO8" i="5" a="1"/>
  <c r="DO8" i="5" s="1"/>
  <c r="DO8" i="6" s="1"/>
  <c r="CJ8" i="5" a="1"/>
  <c r="CJ8" i="5" s="1"/>
  <c r="CJ8" i="6" s="1"/>
  <c r="BC8" i="5" a="1"/>
  <c r="BC8" i="5" s="1"/>
  <c r="BC8" i="6" s="1"/>
  <c r="W8" i="5" a="1"/>
  <c r="W8" i="5" s="1"/>
  <c r="W8" i="6" s="1"/>
  <c r="ET7" i="5" a="1"/>
  <c r="ET7" i="5" s="1"/>
  <c r="DP7" i="5" a="1"/>
  <c r="DP7" i="5" s="1"/>
  <c r="DP7" i="6" s="1"/>
  <c r="CR7" i="5" a="1"/>
  <c r="CR7" i="5" s="1"/>
  <c r="CR7" i="6" s="1"/>
  <c r="BQ7" i="5" a="1"/>
  <c r="BQ7" i="5" s="1"/>
  <c r="BQ7" i="6" s="1"/>
  <c r="AT7" i="5" a="1"/>
  <c r="AT7" i="5" s="1"/>
  <c r="AT7" i="6" s="1"/>
  <c r="W7" i="5" a="1"/>
  <c r="W7" i="5" s="1"/>
  <c r="W7" i="6" s="1"/>
  <c r="DA6" i="5" a="1"/>
  <c r="DA6" i="5" s="1"/>
  <c r="DA6" i="6" s="1"/>
  <c r="CB6" i="5" a="1"/>
  <c r="CB6" i="5" s="1"/>
  <c r="AE6" i="5" a="1"/>
  <c r="AE6" i="5" s="1"/>
  <c r="AE6" i="6" s="1"/>
  <c r="K6" i="5" a="1"/>
  <c r="K6" i="5" s="1"/>
  <c r="K6" i="6" s="1"/>
  <c r="EL9" i="4" a="1"/>
  <c r="EL9" i="4" s="1"/>
  <c r="DP9" i="4" a="1"/>
  <c r="DP9" i="4" s="1"/>
  <c r="CZ9" i="4" a="1"/>
  <c r="CZ9" i="4" s="1"/>
  <c r="CJ9" i="4" a="1"/>
  <c r="CJ9" i="4" s="1"/>
  <c r="EG8" i="4" a="1"/>
  <c r="EG8" i="4" s="1"/>
  <c r="EP8" i="4" s="1"/>
  <c r="CL9" i="5" a="1"/>
  <c r="CL9" i="5" s="1"/>
  <c r="BF9" i="5" a="1"/>
  <c r="BF9" i="5" s="1"/>
  <c r="BF9" i="6" s="1"/>
  <c r="ES8" i="5" a="1"/>
  <c r="ES8" i="5" s="1"/>
  <c r="ES8" i="6" s="1"/>
  <c r="CG8" i="5" a="1"/>
  <c r="CG8" i="5" s="1"/>
  <c r="ES7" i="5" a="1"/>
  <c r="ES7" i="5" s="1"/>
  <c r="ES7" i="6" s="1"/>
  <c r="DO7" i="5" a="1"/>
  <c r="DO7" i="5" s="1"/>
  <c r="DO7" i="6" s="1"/>
  <c r="CQ7" i="5" a="1"/>
  <c r="CQ7" i="5" s="1"/>
  <c r="CQ7" i="6" s="1"/>
  <c r="BP7" i="5" a="1"/>
  <c r="BP7" i="5" s="1"/>
  <c r="AS7" i="5" a="1"/>
  <c r="AS7" i="5" s="1"/>
  <c r="AS7" i="6" s="1"/>
  <c r="EX6" i="5" a="1"/>
  <c r="EX6" i="5" s="1"/>
  <c r="EX6" i="6" s="1"/>
  <c r="DX6" i="5" a="1"/>
  <c r="DX6" i="5" s="1"/>
  <c r="DX6" i="6" s="1"/>
  <c r="CY6" i="5" a="1"/>
  <c r="CY6" i="5" s="1"/>
  <c r="CY6" i="6" s="1"/>
  <c r="CA6" i="5" a="1"/>
  <c r="CA6" i="5" s="1"/>
  <c r="BD6" i="5" a="1"/>
  <c r="BD6" i="5" s="1"/>
  <c r="BD6" i="6" s="1"/>
  <c r="AD6" i="5" a="1"/>
  <c r="AD6" i="5" s="1"/>
  <c r="AD6" i="6" s="1"/>
  <c r="J6" i="5" a="1"/>
  <c r="J6" i="5" s="1"/>
  <c r="J6" i="6" s="1"/>
  <c r="EJ9" i="4" a="1"/>
  <c r="EJ9" i="4" s="1"/>
  <c r="CY9" i="4" a="1"/>
  <c r="CY9" i="4" s="1"/>
  <c r="CE9" i="4" a="1"/>
  <c r="CE9" i="4" s="1"/>
  <c r="BO9" i="4" a="1"/>
  <c r="BO9" i="4" s="1"/>
  <c r="AV9" i="4" a="1"/>
  <c r="AV9" i="4" s="1"/>
  <c r="AE9" i="4" a="1"/>
  <c r="AE9" i="4" s="1"/>
  <c r="M9" i="4" a="1"/>
  <c r="M9" i="4" s="1"/>
  <c r="DP9" i="5" a="1"/>
  <c r="DP9" i="5" s="1"/>
  <c r="DP9" i="6" s="1"/>
  <c r="BE9" i="5" a="1"/>
  <c r="BE9" i="5" s="1"/>
  <c r="BE9" i="6" s="1"/>
  <c r="V9" i="5" a="1"/>
  <c r="V9" i="5" s="1"/>
  <c r="V9" i="6" s="1"/>
  <c r="DN8" i="5" a="1"/>
  <c r="DN8" i="5" s="1"/>
  <c r="DN8" i="6" s="1"/>
  <c r="CD8" i="5" a="1"/>
  <c r="CD8" i="5" s="1"/>
  <c r="CD8" i="6" s="1"/>
  <c r="AZ8" i="5" a="1"/>
  <c r="AZ8" i="5" s="1"/>
  <c r="AZ8" i="6" s="1"/>
  <c r="T8" i="5" a="1"/>
  <c r="T8" i="5" s="1"/>
  <c r="T8" i="6" s="1"/>
  <c r="ER7" i="5" a="1"/>
  <c r="ER7" i="5" s="1"/>
  <c r="ER7" i="6" s="1"/>
  <c r="DM7" i="5" a="1"/>
  <c r="DM7" i="5" s="1"/>
  <c r="DM7" i="6" s="1"/>
  <c r="BN7" i="5" a="1"/>
  <c r="BN7" i="5" s="1"/>
  <c r="BN7" i="6" s="1"/>
  <c r="AP7" i="5" a="1"/>
  <c r="AP7" i="5" s="1"/>
  <c r="AP7" i="6" s="1"/>
  <c r="U7" i="5" a="1"/>
  <c r="U7" i="5" s="1"/>
  <c r="U7" i="6" s="1"/>
  <c r="CX6" i="5" a="1"/>
  <c r="CX6" i="5" s="1"/>
  <c r="CX6" i="6" s="1"/>
  <c r="BA6" i="5" a="1"/>
  <c r="BA6" i="5" s="1"/>
  <c r="BA6" i="6" s="1"/>
  <c r="AC6" i="5" a="1"/>
  <c r="AC6" i="5" s="1"/>
  <c r="AC6" i="6" s="1"/>
  <c r="I6" i="5" a="1"/>
  <c r="I6" i="5" s="1"/>
  <c r="I6" i="6" s="1"/>
  <c r="EI9" i="4" a="1"/>
  <c r="EI9" i="4" s="1"/>
  <c r="DO9" i="4" a="1"/>
  <c r="DO9" i="4" s="1"/>
  <c r="CX9" i="4" a="1"/>
  <c r="CX9" i="4" s="1"/>
  <c r="CD9" i="4" a="1"/>
  <c r="CD9" i="4" s="1"/>
  <c r="BN9" i="4" a="1"/>
  <c r="BN9" i="4" s="1"/>
  <c r="AU9" i="4" a="1"/>
  <c r="AU9" i="4" s="1"/>
  <c r="AD9" i="4" a="1"/>
  <c r="AD9" i="4" s="1"/>
  <c r="EH9" i="5" a="1"/>
  <c r="EH9" i="5" s="1"/>
  <c r="EH9" i="6" s="1"/>
  <c r="DZ8" i="5" a="1"/>
  <c r="DZ8" i="5" s="1"/>
  <c r="DZ8" i="6" s="1"/>
  <c r="CC7" i="5" a="1"/>
  <c r="CC7" i="5" s="1"/>
  <c r="G7" i="5" a="1"/>
  <c r="G7" i="5" s="1"/>
  <c r="G7" i="6" s="1"/>
  <c r="M6" i="5" a="1"/>
  <c r="M6" i="5" s="1"/>
  <c r="DD9" i="4" a="1"/>
  <c r="DD9" i="4" s="1"/>
  <c r="BG9" i="4" a="1"/>
  <c r="BG9" i="4" s="1"/>
  <c r="S9" i="4" a="1"/>
  <c r="S9" i="4" s="1"/>
  <c r="EM8" i="4" a="1"/>
  <c r="EM8" i="4" s="1"/>
  <c r="CN8" i="4" a="1"/>
  <c r="CN8" i="4" s="1"/>
  <c r="BR8" i="4" a="1"/>
  <c r="BR8" i="4" s="1"/>
  <c r="AW8" i="4" a="1"/>
  <c r="AW8" i="4" s="1"/>
  <c r="AE8" i="4" a="1"/>
  <c r="AE8" i="4" s="1"/>
  <c r="EN7" i="4" a="1"/>
  <c r="EN7" i="4" s="1"/>
  <c r="CX7" i="4" a="1"/>
  <c r="CX7" i="4" s="1"/>
  <c r="CD7" i="4" a="1"/>
  <c r="CD7" i="4" s="1"/>
  <c r="BM7" i="4" a="1"/>
  <c r="BM7" i="4" s="1"/>
  <c r="X7" i="4" a="1"/>
  <c r="X7" i="4" s="1"/>
  <c r="X10" i="4" s="1"/>
  <c r="E7" i="4" a="1"/>
  <c r="E7" i="4" s="1"/>
  <c r="BT6" i="4" a="1"/>
  <c r="BT6" i="4" s="1"/>
  <c r="AC6" i="4" a="1"/>
  <c r="AC6" i="4" s="1"/>
  <c r="BX7" i="2" a="1"/>
  <c r="BX7" i="2" s="1"/>
  <c r="AN9" i="2" a="1"/>
  <c r="AN9" i="2" s="1"/>
  <c r="AJ8" i="2" a="1"/>
  <c r="AJ8" i="2" s="1"/>
  <c r="AD7" i="2" a="1"/>
  <c r="AD7" i="2" s="1"/>
  <c r="V9" i="2" a="1"/>
  <c r="V9" i="2" s="1"/>
  <c r="P8" i="2" a="1"/>
  <c r="P8" i="2" s="1"/>
  <c r="T6" i="2" a="1"/>
  <c r="T6" i="2" s="1"/>
  <c r="L8" i="2" a="1"/>
  <c r="L8" i="2" s="1"/>
  <c r="F7" i="2" a="1"/>
  <c r="F7" i="2" s="1"/>
  <c r="AC7" i="2" a="1"/>
  <c r="AC7" i="2" s="1"/>
  <c r="Y7" i="2" a="1"/>
  <c r="Y7" i="2" s="1"/>
  <c r="K8" i="2" a="1"/>
  <c r="K8" i="2" s="1"/>
  <c r="EC9" i="5" a="1"/>
  <c r="EC9" i="5" s="1"/>
  <c r="F8" i="5" a="1"/>
  <c r="F8" i="5" s="1"/>
  <c r="F8" i="6" s="1"/>
  <c r="CB7" i="5" a="1"/>
  <c r="CB7" i="5" s="1"/>
  <c r="CB7" i="6" s="1"/>
  <c r="D7" i="5" a="1"/>
  <c r="D7" i="5" s="1"/>
  <c r="D7" i="6" s="1"/>
  <c r="BR6" i="5" a="1"/>
  <c r="BR6" i="5" s="1"/>
  <c r="D6" i="5" a="1"/>
  <c r="D6" i="5" s="1"/>
  <c r="DC9" i="4" a="1"/>
  <c r="DC9" i="4" s="1"/>
  <c r="BF9" i="4" a="1"/>
  <c r="BF9" i="4" s="1"/>
  <c r="R9" i="4" a="1"/>
  <c r="R9" i="4" s="1"/>
  <c r="DN8" i="4" a="1"/>
  <c r="DN8" i="4" s="1"/>
  <c r="BQ8" i="4" a="1"/>
  <c r="BQ8" i="4" s="1"/>
  <c r="AV8" i="4" a="1"/>
  <c r="AV8" i="4" s="1"/>
  <c r="AD8" i="4" a="1"/>
  <c r="AD8" i="4" s="1"/>
  <c r="J8" i="4" a="1"/>
  <c r="J8" i="4" s="1"/>
  <c r="EM7" i="4" a="1"/>
  <c r="EM7" i="4" s="1"/>
  <c r="DT7" i="4" a="1"/>
  <c r="DT7" i="4" s="1"/>
  <c r="CC7" i="4" a="1"/>
  <c r="CC7" i="4" s="1"/>
  <c r="CC10" i="4" s="1"/>
  <c r="AP7" i="4" a="1"/>
  <c r="AP7" i="4" s="1"/>
  <c r="W7" i="4" a="1"/>
  <c r="W7" i="4" s="1"/>
  <c r="D7" i="4" a="1"/>
  <c r="D7" i="4" s="1"/>
  <c r="EK6" i="4" a="1"/>
  <c r="EK6" i="4" s="1"/>
  <c r="DT6" i="4" a="1"/>
  <c r="DT6" i="4" s="1"/>
  <c r="CZ6" i="4" a="1"/>
  <c r="CZ6" i="4" s="1"/>
  <c r="CJ6" i="4" a="1"/>
  <c r="CJ6" i="4" s="1"/>
  <c r="BE6" i="4" a="1"/>
  <c r="BE6" i="4" s="1"/>
  <c r="AP6" i="4" a="1"/>
  <c r="AP6" i="4" s="1"/>
  <c r="AB6" i="4" a="1"/>
  <c r="AB6" i="4" s="1"/>
  <c r="K6" i="4" a="1"/>
  <c r="K6" i="4" s="1"/>
  <c r="BX6" i="2" a="1"/>
  <c r="BX6" i="2" s="1"/>
  <c r="AO8" i="2" a="1"/>
  <c r="AO8" i="2" s="1"/>
  <c r="AI8" i="2" a="1"/>
  <c r="AI8" i="2" s="1"/>
  <c r="U9" i="2" a="1"/>
  <c r="U9" i="2" s="1"/>
  <c r="S6" i="2" a="1"/>
  <c r="S6" i="2" s="1"/>
  <c r="E7" i="2" a="1"/>
  <c r="E7" i="2" s="1"/>
  <c r="EB9" i="5" a="1"/>
  <c r="EB9" i="5" s="1"/>
  <c r="EB9" i="6" s="1"/>
  <c r="CZ8" i="5" a="1"/>
  <c r="CZ8" i="5" s="1"/>
  <c r="CZ8" i="6" s="1"/>
  <c r="FA7" i="5" a="1"/>
  <c r="FA7" i="5" s="1"/>
  <c r="BY7" i="5" a="1"/>
  <c r="BY7" i="5" s="1"/>
  <c r="BY7" i="6" s="1"/>
  <c r="EL6" i="5" a="1"/>
  <c r="EL6" i="5" s="1"/>
  <c r="EL6" i="6" s="1"/>
  <c r="BN6" i="5" a="1"/>
  <c r="BN6" i="5" s="1"/>
  <c r="BN6" i="6" s="1"/>
  <c r="EX9" i="4" a="1"/>
  <c r="EX9" i="4" s="1"/>
  <c r="DB9" i="4" a="1"/>
  <c r="DB9" i="4" s="1"/>
  <c r="Q9" i="4" a="1"/>
  <c r="Q9" i="4" s="1"/>
  <c r="EJ8" i="4" a="1"/>
  <c r="EJ8" i="4" s="1"/>
  <c r="DM8" i="4" a="1"/>
  <c r="DM8" i="4" s="1"/>
  <c r="CL8" i="4" a="1"/>
  <c r="CL8" i="4" s="1"/>
  <c r="AU8" i="4" a="1"/>
  <c r="AU8" i="4" s="1"/>
  <c r="G8" i="4" a="1"/>
  <c r="G8" i="4" s="1"/>
  <c r="DQ7" i="4" a="1"/>
  <c r="DQ7" i="4" s="1"/>
  <c r="CW7" i="4" a="1"/>
  <c r="CW7" i="4" s="1"/>
  <c r="BG7" i="4" a="1"/>
  <c r="BG7" i="4" s="1"/>
  <c r="AO7" i="4" a="1"/>
  <c r="AO7" i="4" s="1"/>
  <c r="V7" i="4" a="1"/>
  <c r="V7" i="4" s="1"/>
  <c r="FA6" i="4" a="1"/>
  <c r="FA6" i="4" s="1"/>
  <c r="EJ6" i="4" a="1"/>
  <c r="EJ6" i="4" s="1"/>
  <c r="CG6" i="4" a="1"/>
  <c r="CG6" i="4" s="1"/>
  <c r="BS6" i="4" a="1"/>
  <c r="BS6" i="4" s="1"/>
  <c r="BD6" i="4" a="1"/>
  <c r="BD6" i="4" s="1"/>
  <c r="Y6" i="4" a="1"/>
  <c r="Y6" i="4" s="1"/>
  <c r="J6" i="4" a="1"/>
  <c r="J6" i="4" s="1"/>
  <c r="BY8" i="2" a="1"/>
  <c r="BY8" i="2" s="1"/>
  <c r="AN8" i="2" a="1"/>
  <c r="AN8" i="2" s="1"/>
  <c r="AH8" i="2" a="1"/>
  <c r="AH8" i="2" s="1"/>
  <c r="AB7" i="2" a="1"/>
  <c r="AB7" i="2" s="1"/>
  <c r="T9" i="2" a="1"/>
  <c r="T9" i="2" s="1"/>
  <c r="X7" i="2" a="1"/>
  <c r="X7" i="2" s="1"/>
  <c r="R6" i="2" a="1"/>
  <c r="R6" i="2" s="1"/>
  <c r="J8" i="2" a="1"/>
  <c r="J8" i="2" s="1"/>
  <c r="D7" i="2" a="1"/>
  <c r="D7" i="2" s="1"/>
  <c r="I6" i="4" a="1"/>
  <c r="I6" i="4" s="1"/>
  <c r="CX9" i="5" a="1"/>
  <c r="CX9" i="5" s="1"/>
  <c r="CX9" i="6" s="1"/>
  <c r="EX7" i="5" a="1"/>
  <c r="EX7" i="5" s="1"/>
  <c r="EX7" i="6" s="1"/>
  <c r="BG7" i="5" a="1"/>
  <c r="BG7" i="5" s="1"/>
  <c r="BG7" i="6" s="1"/>
  <c r="EK6" i="5" a="1"/>
  <c r="EK6" i="5" s="1"/>
  <c r="EV9" i="4" a="1"/>
  <c r="EV9" i="4" s="1"/>
  <c r="BB9" i="4" a="1"/>
  <c r="BB9" i="4" s="1"/>
  <c r="P9" i="4" a="1"/>
  <c r="P9" i="4" s="1"/>
  <c r="EI8" i="4" a="1"/>
  <c r="EI8" i="4" s="1"/>
  <c r="DL8" i="4" a="1"/>
  <c r="DL8" i="4" s="1"/>
  <c r="CK8" i="4" a="1"/>
  <c r="CK8" i="4" s="1"/>
  <c r="BP8" i="4" a="1"/>
  <c r="BP8" i="4" s="1"/>
  <c r="BV8" i="4" s="1"/>
  <c r="AT8" i="4" a="1"/>
  <c r="AT8" i="4" s="1"/>
  <c r="AC8" i="4" a="1"/>
  <c r="AC8" i="4" s="1"/>
  <c r="F8" i="4" a="1"/>
  <c r="F8" i="4" s="1"/>
  <c r="EJ7" i="4" a="1"/>
  <c r="EJ7" i="4" s="1"/>
  <c r="DN7" i="4" a="1"/>
  <c r="DN7" i="4" s="1"/>
  <c r="CV7" i="4" a="1"/>
  <c r="CV7" i="4" s="1"/>
  <c r="CB7" i="4" a="1"/>
  <c r="CB7" i="4" s="1"/>
  <c r="AN7" i="4" a="1"/>
  <c r="AN7" i="4" s="1"/>
  <c r="EZ6" i="4" a="1"/>
  <c r="EZ6" i="4" s="1"/>
  <c r="EI6" i="4" a="1"/>
  <c r="EI6" i="4" s="1"/>
  <c r="CY6" i="4" a="1"/>
  <c r="CY6" i="4" s="1"/>
  <c r="BR6" i="4" a="1"/>
  <c r="BR6" i="4" s="1"/>
  <c r="BC6" i="4" a="1"/>
  <c r="BC6" i="4" s="1"/>
  <c r="AO6" i="4" a="1"/>
  <c r="AO6" i="4" s="1"/>
  <c r="X6" i="4" a="1"/>
  <c r="X6" i="4" s="1"/>
  <c r="CW9" i="5" a="1"/>
  <c r="CW9" i="5" s="1"/>
  <c r="CW9" i="6" s="1"/>
  <c r="CO8" i="5" a="1"/>
  <c r="CO8" i="5" s="1"/>
  <c r="CO8" i="6" s="1"/>
  <c r="EC7" i="5" a="1"/>
  <c r="EC7" i="5" s="1"/>
  <c r="EJ6" i="5" a="1"/>
  <c r="EJ6" i="5" s="1"/>
  <c r="EJ6" i="6" s="1"/>
  <c r="BI6" i="5" a="1"/>
  <c r="BI6" i="5" s="1"/>
  <c r="CP9" i="4" a="1"/>
  <c r="CP9" i="4" s="1"/>
  <c r="BA9" i="4" a="1"/>
  <c r="BA9" i="4" s="1"/>
  <c r="J9" i="4" a="1"/>
  <c r="J9" i="4" s="1"/>
  <c r="EH8" i="4" a="1"/>
  <c r="EH8" i="4" s="1"/>
  <c r="CJ8" i="4" a="1"/>
  <c r="CJ8" i="4" s="1"/>
  <c r="AB8" i="4" a="1"/>
  <c r="AB8" i="4" s="1"/>
  <c r="D8" i="4" a="1"/>
  <c r="D8" i="4" s="1"/>
  <c r="DM7" i="4" a="1"/>
  <c r="DM7" i="4" s="1"/>
  <c r="CS7" i="4" a="1"/>
  <c r="CS7" i="4" s="1"/>
  <c r="CA7" i="4" a="1"/>
  <c r="CA7" i="4" s="1"/>
  <c r="BF7" i="4" a="1"/>
  <c r="BF7" i="4" s="1"/>
  <c r="AK7" i="4" a="1"/>
  <c r="AK7" i="4" s="1"/>
  <c r="AK10" i="4" s="1"/>
  <c r="EY6" i="4" a="1"/>
  <c r="EY6" i="4" s="1"/>
  <c r="DO6" i="4" a="1"/>
  <c r="DO6" i="4" s="1"/>
  <c r="CX6" i="4" a="1"/>
  <c r="CX6" i="4" s="1"/>
  <c r="CF6" i="4" a="1"/>
  <c r="CF6" i="4" s="1"/>
  <c r="BQ6" i="4" a="1"/>
  <c r="BQ6" i="4" s="1"/>
  <c r="BA6" i="4" a="1"/>
  <c r="BA6" i="4" s="1"/>
  <c r="AN6" i="4" a="1"/>
  <c r="AN6" i="4" s="1"/>
  <c r="W6" i="4" a="1"/>
  <c r="W6" i="4" s="1"/>
  <c r="H6" i="4" a="1"/>
  <c r="H6" i="4" s="1"/>
  <c r="BL8" i="2" a="1"/>
  <c r="BL8" i="2" s="1"/>
  <c r="AN6" i="2" a="1"/>
  <c r="AN6" i="2" s="1"/>
  <c r="CN8" i="5" a="1"/>
  <c r="CN8" i="5" s="1"/>
  <c r="CN8" i="6" s="1"/>
  <c r="BA7" i="5" a="1"/>
  <c r="BA7" i="5" s="1"/>
  <c r="BA7" i="6" s="1"/>
  <c r="EH6" i="5" a="1"/>
  <c r="EH6" i="5" s="1"/>
  <c r="EH6" i="6" s="1"/>
  <c r="BH6" i="5" a="1"/>
  <c r="BH6" i="5" s="1"/>
  <c r="BH6" i="6" s="1"/>
  <c r="ET9" i="4" a="1"/>
  <c r="ET9" i="4" s="1"/>
  <c r="AW9" i="4" a="1"/>
  <c r="AW9" i="4" s="1"/>
  <c r="H9" i="4" a="1"/>
  <c r="H9" i="4" s="1"/>
  <c r="DE8" i="4" a="1"/>
  <c r="DE8" i="4" s="1"/>
  <c r="CG8" i="4" a="1"/>
  <c r="CG8" i="4" s="1"/>
  <c r="BL8" i="4" a="1"/>
  <c r="BL8" i="4" s="1"/>
  <c r="AS8" i="4" a="1"/>
  <c r="AS8" i="4" s="1"/>
  <c r="Y8" i="4" a="1"/>
  <c r="Y8" i="4" s="1"/>
  <c r="FA7" i="4" a="1"/>
  <c r="FA7" i="4" s="1"/>
  <c r="EI7" i="4" a="1"/>
  <c r="EI7" i="4" s="1"/>
  <c r="DL7" i="4" a="1"/>
  <c r="DL7" i="4" s="1"/>
  <c r="CR7" i="4" a="1"/>
  <c r="CR7" i="4" s="1"/>
  <c r="BE7" i="4" a="1"/>
  <c r="BE7" i="4" s="1"/>
  <c r="Q7" i="4" a="1"/>
  <c r="Q7" i="4" s="1"/>
  <c r="EX6" i="4" a="1"/>
  <c r="EX6" i="4" s="1"/>
  <c r="EH6" i="4" a="1"/>
  <c r="EH6" i="4" s="1"/>
  <c r="DN6" i="4" a="1"/>
  <c r="DN6" i="4" s="1"/>
  <c r="DN10" i="4" s="1"/>
  <c r="CW6" i="4" a="1"/>
  <c r="CW6" i="4" s="1"/>
  <c r="V6" i="4" a="1"/>
  <c r="V6" i="4" s="1"/>
  <c r="G6" i="4" a="1"/>
  <c r="G6" i="4" s="1"/>
  <c r="BL7" i="2" a="1"/>
  <c r="BL7" i="2" s="1"/>
  <c r="AK9" i="2" a="1"/>
  <c r="AK9" i="2" s="1"/>
  <c r="AE8" i="2" a="1"/>
  <c r="AE8" i="2" s="1"/>
  <c r="AI6" i="2" a="1"/>
  <c r="AI6" i="2" s="1"/>
  <c r="Q9" i="2" a="1"/>
  <c r="Q9" i="2" s="1"/>
  <c r="U7" i="2" a="1"/>
  <c r="U7" i="2" s="1"/>
  <c r="M9" i="2" a="1"/>
  <c r="M9" i="2" s="1"/>
  <c r="G8" i="2" a="1"/>
  <c r="G8" i="2" s="1"/>
  <c r="BT9" i="5" a="1"/>
  <c r="BT9" i="5" s="1"/>
  <c r="BT9" i="6" s="1"/>
  <c r="BT8" i="5" a="1"/>
  <c r="BT8" i="5" s="1"/>
  <c r="DX7" i="5" a="1"/>
  <c r="DX7" i="5" s="1"/>
  <c r="AZ7" i="5" a="1"/>
  <c r="AZ7" i="5" s="1"/>
  <c r="AZ7" i="6" s="1"/>
  <c r="EG6" i="5" a="1"/>
  <c r="EG6" i="5" s="1"/>
  <c r="EG6" i="6" s="1"/>
  <c r="AP6" i="5" a="1"/>
  <c r="AP6" i="5" s="1"/>
  <c r="AP6" i="6" s="1"/>
  <c r="ES9" i="4" a="1"/>
  <c r="ES9" i="4" s="1"/>
  <c r="CN9" i="4" a="1"/>
  <c r="CN9" i="4" s="1"/>
  <c r="AS9" i="4" a="1"/>
  <c r="AS9" i="4" s="1"/>
  <c r="EF8" i="4" a="1"/>
  <c r="EF8" i="4" s="1"/>
  <c r="CF8" i="4" a="1"/>
  <c r="CF8" i="4" s="1"/>
  <c r="AR8" i="4" a="1"/>
  <c r="AR8" i="4" s="1"/>
  <c r="U8" i="4" a="1"/>
  <c r="U8" i="4" s="1"/>
  <c r="EZ7" i="4" a="1"/>
  <c r="EZ7" i="4" s="1"/>
  <c r="EH7" i="4" a="1"/>
  <c r="EH7" i="4" s="1"/>
  <c r="DK7" i="4" a="1"/>
  <c r="DK7" i="4" s="1"/>
  <c r="BD7" i="4" a="1"/>
  <c r="BD7" i="4" s="1"/>
  <c r="AH7" i="4" a="1"/>
  <c r="AH7" i="4" s="1"/>
  <c r="P7" i="4" a="1"/>
  <c r="P7" i="4" s="1"/>
  <c r="EW6" i="4" a="1"/>
  <c r="EW6" i="4" s="1"/>
  <c r="EG6" i="4" a="1"/>
  <c r="EG6" i="4" s="1"/>
  <c r="EP6" i="4" s="1"/>
  <c r="DM6" i="4" a="1"/>
  <c r="DM6" i="4" s="1"/>
  <c r="CV6" i="4" a="1"/>
  <c r="CV6" i="4" s="1"/>
  <c r="CE6" i="4" a="1"/>
  <c r="CE6" i="4" s="1"/>
  <c r="BP6" i="4" a="1"/>
  <c r="BP6" i="4" s="1"/>
  <c r="AZ6" i="4" a="1"/>
  <c r="AZ6" i="4" s="1"/>
  <c r="AK6" i="4" a="1"/>
  <c r="AK6" i="4" s="1"/>
  <c r="DV7" i="5" a="1"/>
  <c r="DV7" i="5" s="1"/>
  <c r="DV7" i="6" s="1"/>
  <c r="EG9" i="4" a="1"/>
  <c r="EG9" i="4" s="1"/>
  <c r="CM9" i="4" a="1"/>
  <c r="CM9" i="4" s="1"/>
  <c r="AN9" i="4" a="1"/>
  <c r="AN9" i="4" s="1"/>
  <c r="EC8" i="4" a="1"/>
  <c r="EC8" i="4" s="1"/>
  <c r="DB8" i="4" a="1"/>
  <c r="DB8" i="4" s="1"/>
  <c r="BI8" i="4" a="1"/>
  <c r="BI8" i="4" s="1"/>
  <c r="AQ8" i="4" a="1"/>
  <c r="AQ8" i="4" s="1"/>
  <c r="T8" i="4" a="1"/>
  <c r="T8" i="4" s="1"/>
  <c r="EG7" i="4" a="1"/>
  <c r="EG7" i="4" s="1"/>
  <c r="EP7" i="4" s="1"/>
  <c r="CQ7" i="4" a="1"/>
  <c r="CQ7" i="4" s="1"/>
  <c r="BU7" i="4" a="1"/>
  <c r="BU7" i="4" s="1"/>
  <c r="AF7" i="4" a="1"/>
  <c r="AF7" i="4" s="1"/>
  <c r="M7" i="4" a="1"/>
  <c r="M7" i="4" s="1"/>
  <c r="EV6" i="4" a="1"/>
  <c r="EV6" i="4" s="1"/>
  <c r="DL6" i="4" a="1"/>
  <c r="DL6" i="4" s="1"/>
  <c r="CS6" i="4" a="1"/>
  <c r="CS6" i="4" s="1"/>
  <c r="CS10" i="4" s="1"/>
  <c r="CD6" i="4" a="1"/>
  <c r="CD6" i="4" s="1"/>
  <c r="BN6" i="4" a="1"/>
  <c r="BN6" i="4" s="1"/>
  <c r="AW6" i="4" a="1"/>
  <c r="AW6" i="4" s="1"/>
  <c r="AJ6" i="4" a="1"/>
  <c r="AJ6" i="4" s="1"/>
  <c r="U6" i="4" a="1"/>
  <c r="U6" i="4" s="1"/>
  <c r="F6" i="4" a="1"/>
  <c r="F6" i="4" s="1"/>
  <c r="BM8" i="2" a="1"/>
  <c r="BM8" i="2" s="1"/>
  <c r="AI9" i="2" a="1"/>
  <c r="AI9" i="2" s="1"/>
  <c r="AC8" i="2" a="1"/>
  <c r="AC8" i="2" s="1"/>
  <c r="AG6" i="2" a="1"/>
  <c r="AG6" i="2" s="1"/>
  <c r="Y8" i="2" a="1"/>
  <c r="Y8" i="2" s="1"/>
  <c r="S7" i="2" a="1"/>
  <c r="S7" i="2" s="1"/>
  <c r="K9" i="2" a="1"/>
  <c r="K9" i="2" s="1"/>
  <c r="E8" i="2" a="1"/>
  <c r="E8" i="2" s="1"/>
  <c r="I6" i="2" a="1"/>
  <c r="I6" i="2" s="1"/>
  <c r="BI8" i="5" a="1"/>
  <c r="BI8" i="5" s="1"/>
  <c r="AH7" i="5" a="1"/>
  <c r="AH7" i="5" s="1"/>
  <c r="AH7" i="6" s="1"/>
  <c r="DK6" i="5" a="1"/>
  <c r="DK6" i="5" s="1"/>
  <c r="DK6" i="6" s="1"/>
  <c r="AN6" i="5" a="1"/>
  <c r="AN6" i="5" s="1"/>
  <c r="AN6" i="6" s="1"/>
  <c r="EB9" i="4" a="1"/>
  <c r="EB9" i="4" s="1"/>
  <c r="CL9" i="4" a="1"/>
  <c r="CL9" i="4" s="1"/>
  <c r="AJ9" i="4" a="1"/>
  <c r="AJ9" i="4" s="1"/>
  <c r="D9" i="4" a="1"/>
  <c r="D9" i="4" s="1"/>
  <c r="DZ8" i="4" a="1"/>
  <c r="DZ8" i="4" s="1"/>
  <c r="DA8" i="4" a="1"/>
  <c r="DA8" i="4" s="1"/>
  <c r="DA10" i="4" s="1"/>
  <c r="CE8" i="4" a="1"/>
  <c r="CE8" i="4" s="1"/>
  <c r="BH8" i="4" a="1"/>
  <c r="BH8" i="4" s="1"/>
  <c r="AO8" i="4" a="1"/>
  <c r="AO8" i="4" s="1"/>
  <c r="S8" i="4" a="1"/>
  <c r="S8" i="4" s="1"/>
  <c r="EY7" i="4" a="1"/>
  <c r="EY7" i="4" s="1"/>
  <c r="DJ7" i="4" a="1"/>
  <c r="DJ7" i="4" s="1"/>
  <c r="BT7" i="4" a="1"/>
  <c r="BT7" i="4" s="1"/>
  <c r="BT15" i="4" s="1"/>
  <c r="BA7" i="4" a="1"/>
  <c r="BA7" i="4" s="1"/>
  <c r="AE7" i="4" a="1"/>
  <c r="AE7" i="4" s="1"/>
  <c r="L7" i="4" a="1"/>
  <c r="L7" i="4" s="1"/>
  <c r="EA6" i="4" a="1"/>
  <c r="EA6" i="4" s="1"/>
  <c r="DK6" i="4" a="1"/>
  <c r="DK6" i="4" s="1"/>
  <c r="CR6" i="4" a="1"/>
  <c r="CR6" i="4" s="1"/>
  <c r="T6" i="4" a="1"/>
  <c r="T6" i="4" s="1"/>
  <c r="E6" i="4" a="1"/>
  <c r="E6" i="4" s="1"/>
  <c r="E10" i="4" s="1"/>
  <c r="BA9" i="2" a="1"/>
  <c r="BA9" i="2" s="1"/>
  <c r="AH9" i="2" a="1"/>
  <c r="AH9" i="2" s="1"/>
  <c r="AB8" i="2" a="1"/>
  <c r="AB8" i="2" s="1"/>
  <c r="AI9" i="5" a="1"/>
  <c r="AI9" i="5" s="1"/>
  <c r="AI9" i="6" s="1"/>
  <c r="BH8" i="5" a="1"/>
  <c r="BH8" i="5" s="1"/>
  <c r="BH8" i="6" s="1"/>
  <c r="DE7" i="5" a="1"/>
  <c r="DE7" i="5" s="1"/>
  <c r="DJ6" i="5" a="1"/>
  <c r="DJ6" i="5" s="1"/>
  <c r="DJ6" i="6" s="1"/>
  <c r="AJ6" i="5" a="1"/>
  <c r="AJ6" i="5" s="1"/>
  <c r="EA9" i="4" a="1"/>
  <c r="EA9" i="4" s="1"/>
  <c r="CB9" i="4" a="1"/>
  <c r="CB9" i="4" s="1"/>
  <c r="FA8" i="4" a="1"/>
  <c r="FA8" i="4" s="1"/>
  <c r="CZ8" i="4" a="1"/>
  <c r="CZ8" i="4" s="1"/>
  <c r="CD8" i="4" a="1"/>
  <c r="CD8" i="4" s="1"/>
  <c r="CD10" i="4" s="1"/>
  <c r="BG8" i="4" a="1"/>
  <c r="BG8" i="4" s="1"/>
  <c r="AN8" i="4" a="1"/>
  <c r="AN8" i="4" s="1"/>
  <c r="AN10" i="4" s="1"/>
  <c r="EX7" i="4" a="1"/>
  <c r="EX7" i="4" s="1"/>
  <c r="EB7" i="4" a="1"/>
  <c r="EB7" i="4" s="1"/>
  <c r="EB10" i="4" s="1"/>
  <c r="DI7" i="4" a="1"/>
  <c r="DI7" i="4" s="1"/>
  <c r="CP7" i="4" a="1"/>
  <c r="CP7" i="4" s="1"/>
  <c r="BS7" i="4" a="1"/>
  <c r="BS7" i="4" s="1"/>
  <c r="AZ7" i="4" a="1"/>
  <c r="AZ7" i="4" s="1"/>
  <c r="AD7" i="4" a="1"/>
  <c r="AD7" i="4" s="1"/>
  <c r="EU6" i="4" a="1"/>
  <c r="EU6" i="4" s="1"/>
  <c r="CQ6" i="4" a="1"/>
  <c r="CQ6" i="4" s="1"/>
  <c r="CC6" i="4" a="1"/>
  <c r="CC6" i="4" s="1"/>
  <c r="BM6" i="4" a="1"/>
  <c r="BM6" i="4" s="1"/>
  <c r="AV6" i="4" a="1"/>
  <c r="AV6" i="4" s="1"/>
  <c r="AI6" i="4" a="1"/>
  <c r="AI6" i="4" s="1"/>
  <c r="AI10" i="4" s="1"/>
  <c r="S6" i="4" a="1"/>
  <c r="S6" i="4" s="1"/>
  <c r="AZ9" i="2" a="1"/>
  <c r="AZ9" i="2" s="1"/>
  <c r="AG9" i="2" a="1"/>
  <c r="AG9" i="2" s="1"/>
  <c r="AK7" i="2" a="1"/>
  <c r="AK7" i="2" s="1"/>
  <c r="AE6" i="2" a="1"/>
  <c r="AE6" i="2" s="1"/>
  <c r="W8" i="2" a="1"/>
  <c r="W8" i="2" s="1"/>
  <c r="Q7" i="2" a="1"/>
  <c r="Q7" i="2" s="1"/>
  <c r="I9" i="2" a="1"/>
  <c r="I9" i="2" s="1"/>
  <c r="DD7" i="5" a="1"/>
  <c r="DD7" i="5" s="1"/>
  <c r="DD7" i="6" s="1"/>
  <c r="AD7" i="5" a="1"/>
  <c r="AD7" i="5" s="1"/>
  <c r="AD7" i="6" s="1"/>
  <c r="DI6" i="5" a="1"/>
  <c r="DI6" i="5" s="1"/>
  <c r="AI6" i="5" a="1"/>
  <c r="AI6" i="5" s="1"/>
  <c r="AI6" i="6" s="1"/>
  <c r="AI9" i="4" a="1"/>
  <c r="AI9" i="4" s="1"/>
  <c r="DX8" i="4" a="1"/>
  <c r="DX8" i="4" s="1"/>
  <c r="CY8" i="4" a="1"/>
  <c r="CY8" i="4" s="1"/>
  <c r="CA8" i="4" a="1"/>
  <c r="CA8" i="4" s="1"/>
  <c r="CA16" i="4" s="1"/>
  <c r="AI8" i="4" a="1"/>
  <c r="AI8" i="4" s="1"/>
  <c r="R8" i="4" a="1"/>
  <c r="R8" i="4" s="1"/>
  <c r="EW7" i="4" a="1"/>
  <c r="EW7" i="4" s="1"/>
  <c r="EA7" i="4" a="1"/>
  <c r="EA7" i="4" s="1"/>
  <c r="AW7" i="4" a="1"/>
  <c r="AW7" i="4" s="1"/>
  <c r="AW10" i="4" s="1"/>
  <c r="AC7" i="4" a="1"/>
  <c r="AC7" i="4" s="1"/>
  <c r="K7" i="4" a="1"/>
  <c r="K7" i="4" s="1"/>
  <c r="ET6" i="4" a="1"/>
  <c r="ET6" i="4" s="1"/>
  <c r="DZ6" i="4" a="1"/>
  <c r="DZ6" i="4" s="1"/>
  <c r="DJ6" i="4" a="1"/>
  <c r="DJ6" i="4" s="1"/>
  <c r="BL6" i="4" a="1"/>
  <c r="BL6" i="4" s="1"/>
  <c r="AG6" i="4" a="1"/>
  <c r="AG6" i="4" s="1"/>
  <c r="AG10" i="4" s="1"/>
  <c r="R6" i="4" a="1"/>
  <c r="R6" i="4" s="1"/>
  <c r="Z6" i="4" s="1"/>
  <c r="D6" i="4" a="1"/>
  <c r="D6" i="4" s="1"/>
  <c r="D10" i="4" s="1"/>
  <c r="AZ8" i="2" a="1"/>
  <c r="AZ8" i="2" s="1"/>
  <c r="AF9" i="2" a="1"/>
  <c r="AF9" i="2" s="1"/>
  <c r="AJ7" i="2" a="1"/>
  <c r="AJ7" i="2" s="1"/>
  <c r="AD6" i="2" a="1"/>
  <c r="AD6" i="2" s="1"/>
  <c r="V8" i="2" a="1"/>
  <c r="V8" i="2" s="1"/>
  <c r="DB7" i="5" a="1"/>
  <c r="DB7" i="5" s="1"/>
  <c r="DB7" i="6" s="1"/>
  <c r="AC7" i="5" a="1"/>
  <c r="AC7" i="5" s="1"/>
  <c r="AC7" i="6" s="1"/>
  <c r="DH6" i="5" a="1"/>
  <c r="DH6" i="5" s="1"/>
  <c r="DH6" i="6" s="1"/>
  <c r="DW9" i="4" a="1"/>
  <c r="DW9" i="4" s="1"/>
  <c r="BX9" i="4" a="1"/>
  <c r="BX9" i="4" s="1"/>
  <c r="AH9" i="4" a="1"/>
  <c r="AH9" i="4" s="1"/>
  <c r="EW8" i="4" a="1"/>
  <c r="EW8" i="4" s="1"/>
  <c r="BD8" i="4" a="1"/>
  <c r="BD8" i="4" s="1"/>
  <c r="Q8" i="4" a="1"/>
  <c r="Q8" i="4" s="1"/>
  <c r="Z8" i="4" s="1"/>
  <c r="P16" i="4" s="1"/>
  <c r="EV7" i="4" a="1"/>
  <c r="EV7" i="4" s="1"/>
  <c r="DZ7" i="4" a="1"/>
  <c r="DZ7" i="4" s="1"/>
  <c r="DZ10" i="4" s="1"/>
  <c r="DH7" i="4" a="1"/>
  <c r="DH7" i="4" s="1"/>
  <c r="CL7" i="4" a="1"/>
  <c r="CL7" i="4" s="1"/>
  <c r="CT7" i="4" s="1"/>
  <c r="BP7" i="4" a="1"/>
  <c r="BP7" i="4" s="1"/>
  <c r="BV7" i="4" s="1"/>
  <c r="AV7" i="4" a="1"/>
  <c r="AV7" i="4" s="1"/>
  <c r="AV10" i="4" s="1"/>
  <c r="J7" i="4" a="1"/>
  <c r="J7" i="4" s="1"/>
  <c r="ER6" i="4" a="1"/>
  <c r="ER6" i="4" s="1"/>
  <c r="FB6" i="4" s="1"/>
  <c r="ES14" i="4" s="1"/>
  <c r="DY6" i="4" a="1"/>
  <c r="DY6" i="4" s="1"/>
  <c r="DY10" i="4" s="1"/>
  <c r="CP6" i="4" a="1"/>
  <c r="CP6" i="4" s="1"/>
  <c r="BZ6" i="4" a="1"/>
  <c r="BZ6" i="4" s="1"/>
  <c r="Q6" i="4" a="1"/>
  <c r="Q6" i="4" s="1"/>
  <c r="AZ7" i="2" a="1"/>
  <c r="AZ7" i="2" s="1"/>
  <c r="AE9" i="2" a="1"/>
  <c r="AE9" i="2" s="1"/>
  <c r="AI7" i="2" a="1"/>
  <c r="AI7" i="2" s="1"/>
  <c r="AC6" i="2" a="1"/>
  <c r="AC6" i="2" s="1"/>
  <c r="U8" i="2" a="1"/>
  <c r="U8" i="2" s="1"/>
  <c r="Z8" i="2" s="1"/>
  <c r="Z16" i="2" s="1"/>
  <c r="D9" i="5" a="1"/>
  <c r="D9" i="5" s="1"/>
  <c r="D9" i="6" s="1"/>
  <c r="AH8" i="5" a="1"/>
  <c r="AH8" i="5" s="1"/>
  <c r="AH8" i="6" s="1"/>
  <c r="DA7" i="5" a="1"/>
  <c r="DA7" i="5" s="1"/>
  <c r="DA7" i="6" s="1"/>
  <c r="CN6" i="5" a="1"/>
  <c r="CN6" i="5" s="1"/>
  <c r="CN6" i="6" s="1"/>
  <c r="U6" i="5" a="1"/>
  <c r="U6" i="5" s="1"/>
  <c r="DU9" i="4" a="1"/>
  <c r="DU9" i="4" s="1"/>
  <c r="AF9" i="4" a="1"/>
  <c r="AF9" i="4" s="1"/>
  <c r="EV8" i="4" a="1"/>
  <c r="EV8" i="4" s="1"/>
  <c r="DT8" i="4" a="1"/>
  <c r="DT8" i="4" s="1"/>
  <c r="CX8" i="4" a="1"/>
  <c r="CX8" i="4" s="1"/>
  <c r="BZ8" i="4" a="1"/>
  <c r="BZ8" i="4" s="1"/>
  <c r="BC8" i="4" a="1"/>
  <c r="BC8" i="4" s="1"/>
  <c r="AH8" i="4" a="1"/>
  <c r="AH8" i="4" s="1"/>
  <c r="P8" i="4" a="1"/>
  <c r="P8" i="4" s="1"/>
  <c r="DY7" i="4" a="1"/>
  <c r="DY7" i="4" s="1"/>
  <c r="CG7" i="4" a="1"/>
  <c r="CG7" i="4" s="1"/>
  <c r="CG10" i="4" s="1"/>
  <c r="AT7" i="4" a="1"/>
  <c r="AT7" i="4" s="1"/>
  <c r="AB7" i="4" a="1"/>
  <c r="AB7" i="4" s="1"/>
  <c r="EO6" i="4" a="1"/>
  <c r="EO6" i="4" s="1"/>
  <c r="EO10" i="4" s="1"/>
  <c r="DX6" i="4" a="1"/>
  <c r="DX6" i="4" s="1"/>
  <c r="DX10" i="4" s="1"/>
  <c r="DI6" i="4" a="1"/>
  <c r="DI6" i="4" s="1"/>
  <c r="BH6" i="4" a="1"/>
  <c r="BH6" i="4" s="1"/>
  <c r="BH10" i="4" s="1"/>
  <c r="AT6" i="4" a="1"/>
  <c r="AT6" i="4" s="1"/>
  <c r="AF6" i="4" a="1"/>
  <c r="AF6" i="4" s="1"/>
  <c r="AF10" i="4" s="1"/>
  <c r="BA6" i="2" a="1"/>
  <c r="BA6" i="2" s="1"/>
  <c r="AD9" i="2" a="1"/>
  <c r="AD9" i="2" s="1"/>
  <c r="AH7" i="2" a="1"/>
  <c r="AH7" i="2" s="1"/>
  <c r="AG8" i="5" a="1"/>
  <c r="AG8" i="5" s="1"/>
  <c r="AG8" i="6" s="1"/>
  <c r="L7" i="5" a="1"/>
  <c r="L7" i="5" s="1"/>
  <c r="L7" i="6" s="1"/>
  <c r="R6" i="5" a="1"/>
  <c r="R6" i="5" s="1"/>
  <c r="R6" i="6" s="1"/>
  <c r="BU9" i="4" a="1"/>
  <c r="BU9" i="4" s="1"/>
  <c r="BV9" i="4" s="1"/>
  <c r="BP17" i="4" s="1"/>
  <c r="EU8" i="4" a="1"/>
  <c r="EU8" i="4" s="1"/>
  <c r="DQ8" i="4" a="1"/>
  <c r="DQ8" i="4" s="1"/>
  <c r="DR8" i="4" s="1"/>
  <c r="CW8" i="4" a="1"/>
  <c r="CW8" i="4" s="1"/>
  <c r="BU8" i="4" a="1"/>
  <c r="BU8" i="4" s="1"/>
  <c r="BB8" i="4" a="1"/>
  <c r="BB8" i="4" s="1"/>
  <c r="M8" i="4" a="1"/>
  <c r="M8" i="4" s="1"/>
  <c r="ER7" i="4" a="1"/>
  <c r="ER7" i="4" s="1"/>
  <c r="FB7" i="4" s="1"/>
  <c r="ES15" i="4" s="1"/>
  <c r="DE7" i="4" a="1"/>
  <c r="DE7" i="4" s="1"/>
  <c r="CF7" i="4" a="1"/>
  <c r="CF7" i="4" s="1"/>
  <c r="BO7" i="4" a="1"/>
  <c r="BO7" i="4" s="1"/>
  <c r="AS7" i="4" a="1"/>
  <c r="AS7" i="4" s="1"/>
  <c r="I7" i="4" a="1"/>
  <c r="I7" i="4" s="1"/>
  <c r="EN6" i="4" a="1"/>
  <c r="EN6" i="4" s="1"/>
  <c r="DH6" i="4" a="1"/>
  <c r="DH6" i="4" s="1"/>
  <c r="CN6" i="4" a="1"/>
  <c r="CN6" i="4" s="1"/>
  <c r="CN10" i="4" s="1"/>
  <c r="BX6" i="4" a="1"/>
  <c r="BX6" i="4" s="1"/>
  <c r="BX10" i="4" s="1"/>
  <c r="BG6" i="4" a="1"/>
  <c r="BG6" i="4" s="1"/>
  <c r="AS6" i="4" a="1"/>
  <c r="AS6" i="4" s="1"/>
  <c r="P6" i="4" a="1"/>
  <c r="P6" i="4" s="1"/>
  <c r="CJ9" i="2" a="1"/>
  <c r="CJ9" i="2" s="1"/>
  <c r="AZ6" i="2" a="1"/>
  <c r="AZ6" i="2" s="1"/>
  <c r="AC9" i="2" a="1"/>
  <c r="AC9" i="2" s="1"/>
  <c r="FA8" i="5" a="1"/>
  <c r="FA8" i="5" s="1"/>
  <c r="CG7" i="5" a="1"/>
  <c r="CG7" i="5" s="1"/>
  <c r="CG10" i="5" s="1"/>
  <c r="I7" i="5" a="1"/>
  <c r="I7" i="5" s="1"/>
  <c r="I7" i="6" s="1"/>
  <c r="CJ6" i="5" a="1"/>
  <c r="CJ6" i="5" s="1"/>
  <c r="CJ6" i="6" s="1"/>
  <c r="Q6" i="5" a="1"/>
  <c r="Q6" i="5" s="1"/>
  <c r="Q6" i="6" s="1"/>
  <c r="DH9" i="4" a="1"/>
  <c r="DH9" i="4" s="1"/>
  <c r="BT9" i="4" a="1"/>
  <c r="BT9" i="4" s="1"/>
  <c r="U9" i="4" a="1"/>
  <c r="U9" i="4" s="1"/>
  <c r="DP8" i="4" a="1"/>
  <c r="DP8" i="4" s="1"/>
  <c r="CV8" i="4" a="1"/>
  <c r="CV8" i="4" s="1"/>
  <c r="AG8" i="4" a="1"/>
  <c r="AG8" i="4" s="1"/>
  <c r="L8" i="4" a="1"/>
  <c r="L8" i="4" s="1"/>
  <c r="EO7" i="4" a="1"/>
  <c r="EO7" i="4" s="1"/>
  <c r="DX7" i="4" a="1"/>
  <c r="DX7" i="4" s="1"/>
  <c r="CZ7" i="4" a="1"/>
  <c r="CZ7" i="4" s="1"/>
  <c r="DF7" i="4" s="1"/>
  <c r="CE7" i="4" a="1"/>
  <c r="CE7" i="4" s="1"/>
  <c r="AR7" i="4" a="1"/>
  <c r="AR7" i="4" s="1"/>
  <c r="AR10" i="4" s="1"/>
  <c r="Y7" i="4" a="1"/>
  <c r="Y7" i="4" s="1"/>
  <c r="Y10" i="4" s="1"/>
  <c r="H7" i="4" a="1"/>
  <c r="H7" i="4" s="1"/>
  <c r="DW6" i="4" a="1"/>
  <c r="DW6" i="4" s="1"/>
  <c r="DE6" i="4" a="1"/>
  <c r="DE6" i="4" s="1"/>
  <c r="CL6" i="4" a="1"/>
  <c r="CL6" i="4" s="1"/>
  <c r="AR6" i="4" a="1"/>
  <c r="AR6" i="4" s="1"/>
  <c r="AE6" i="4" a="1"/>
  <c r="AE6" i="4" s="1"/>
  <c r="M6" i="4" a="1"/>
  <c r="M6" i="4" s="1"/>
  <c r="BX9" i="2" a="1"/>
  <c r="BX9" i="2" s="1"/>
  <c r="BA8" i="2" a="1"/>
  <c r="BA8" i="2" s="1"/>
  <c r="AB9" i="2" a="1"/>
  <c r="AB9" i="2" s="1"/>
  <c r="G6" i="2" a="1"/>
  <c r="G6" i="2" s="1"/>
  <c r="I8" i="2" a="1"/>
  <c r="I8" i="2" s="1"/>
  <c r="P7" i="2" a="1"/>
  <c r="P7" i="2" s="1"/>
  <c r="AB6" i="2" a="1"/>
  <c r="AB6" i="2" s="1"/>
  <c r="BL9" i="2" a="1"/>
  <c r="BL9" i="2" s="1"/>
  <c r="H7" i="5" a="1"/>
  <c r="H7" i="5" s="1"/>
  <c r="H7" i="6" s="1"/>
  <c r="M8" i="2" a="1"/>
  <c r="M8" i="2" s="1"/>
  <c r="R7" i="2" a="1"/>
  <c r="R7" i="2" s="1"/>
  <c r="AF6" i="2" a="1"/>
  <c r="AF6" i="2" s="1"/>
  <c r="BX8" i="2" a="1"/>
  <c r="BX8" i="2" s="1"/>
  <c r="CY7" i="4" a="1"/>
  <c r="CY7" i="4" s="1"/>
  <c r="CD7" i="5" a="1"/>
  <c r="CD7" i="5" s="1"/>
  <c r="CD7" i="6" s="1"/>
  <c r="D9" i="2" a="1"/>
  <c r="D9" i="2" s="1"/>
  <c r="T7" i="2" a="1"/>
  <c r="T7" i="2" s="1"/>
  <c r="AH6" i="2" a="1"/>
  <c r="AH6" i="2" s="1"/>
  <c r="L6" i="4" a="1"/>
  <c r="L6" i="4" s="1"/>
  <c r="L10" i="4" s="1"/>
  <c r="DW7" i="4" a="1"/>
  <c r="DW7" i="4" s="1"/>
  <c r="J6" i="2" a="1"/>
  <c r="J6" i="2" s="1"/>
  <c r="K6" i="2" a="1"/>
  <c r="K6" i="2" s="1"/>
  <c r="E9" i="2" a="1"/>
  <c r="E9" i="2" s="1"/>
  <c r="V7" i="2" a="1"/>
  <c r="V7" i="2" s="1"/>
  <c r="V10" i="2" s="1"/>
  <c r="AJ6" i="2" a="1"/>
  <c r="AJ6" i="2" s="1"/>
  <c r="DQ10" i="5"/>
  <c r="CQ10" i="5"/>
  <c r="FB6" i="5"/>
  <c r="ES14" i="5" s="1"/>
  <c r="CK10" i="5"/>
  <c r="AG10" i="5"/>
  <c r="DO10" i="5"/>
  <c r="BS10" i="5"/>
  <c r="BZ10" i="5"/>
  <c r="CJ10" i="5"/>
  <c r="BM10" i="5"/>
  <c r="BU10" i="5"/>
  <c r="W10" i="4"/>
  <c r="J10" i="4"/>
  <c r="BN10" i="4"/>
  <c r="CP16" i="4"/>
  <c r="BA10" i="4"/>
  <c r="CA10" i="4"/>
  <c r="CA14" i="4"/>
  <c r="DB10" i="4"/>
  <c r="CB10" i="4"/>
  <c r="DC10" i="4"/>
  <c r="EC10" i="4"/>
  <c r="AC10" i="4"/>
  <c r="EF10" i="4"/>
  <c r="AQ10" i="4"/>
  <c r="BQ10" i="4"/>
  <c r="BR10" i="4"/>
  <c r="CQ10" i="4"/>
  <c r="DH10" i="4"/>
  <c r="BJ7" i="4"/>
  <c r="BJ15" i="4" s="1"/>
  <c r="AD10" i="4"/>
  <c r="Q10" i="4"/>
  <c r="CR10" i="4"/>
  <c r="BD10" i="4"/>
  <c r="DV10" i="4"/>
  <c r="EJ10" i="4"/>
  <c r="EW10" i="4"/>
  <c r="BG10" i="4"/>
  <c r="CV10" i="4"/>
  <c r="DF6" i="4"/>
  <c r="CZ14" i="4" s="1"/>
  <c r="EX10" i="4"/>
  <c r="CT8" i="4"/>
  <c r="CT16" i="4" s="1"/>
  <c r="AH10" i="4"/>
  <c r="CH6" i="4"/>
  <c r="CT6" i="4"/>
  <c r="DL10" i="4"/>
  <c r="T10" i="4"/>
  <c r="CX10" i="4"/>
  <c r="DK10" i="4"/>
  <c r="G10" i="4"/>
  <c r="CK10" i="4"/>
  <c r="DM10" i="4"/>
  <c r="CH8" i="4"/>
  <c r="CE16" i="4" s="1"/>
  <c r="EZ10" i="4"/>
  <c r="H14" i="4"/>
  <c r="V10" i="4"/>
  <c r="CL10" i="4"/>
  <c r="CL14" i="4"/>
  <c r="EN10" i="4"/>
  <c r="AL9" i="4"/>
  <c r="AL17" i="4" s="1"/>
  <c r="N6" i="4"/>
  <c r="R10" i="4"/>
  <c r="AB10" i="4"/>
  <c r="EY10" i="4"/>
  <c r="BY16" i="4"/>
  <c r="AU10" i="4"/>
  <c r="BE10" i="4"/>
  <c r="BO10" i="4"/>
  <c r="BY14" i="4"/>
  <c r="Z9" i="4"/>
  <c r="Z17" i="4" s="1"/>
  <c r="CP15" i="4"/>
  <c r="I10" i="4"/>
  <c r="S10" i="4"/>
  <c r="AJ10" i="4"/>
  <c r="AT10" i="4"/>
  <c r="BF10" i="4"/>
  <c r="CC16" i="4"/>
  <c r="R17" i="4"/>
  <c r="FA10" i="4"/>
  <c r="CQ16" i="4"/>
  <c r="ED8" i="4"/>
  <c r="DU16" i="4" s="1"/>
  <c r="AF17" i="4"/>
  <c r="DF9" i="4"/>
  <c r="EH10" i="4"/>
  <c r="ES10" i="4"/>
  <c r="S17" i="4"/>
  <c r="AU17" i="4"/>
  <c r="BZ16" i="4"/>
  <c r="CJ10" i="4"/>
  <c r="CJ14" i="4"/>
  <c r="AL8" i="4"/>
  <c r="AL16" i="4" s="1"/>
  <c r="DE10" i="4"/>
  <c r="DO10" i="4"/>
  <c r="BC15" i="4"/>
  <c r="BN15" i="4"/>
  <c r="DD10" i="4"/>
  <c r="CP10" i="4"/>
  <c r="DJ10" i="4"/>
  <c r="DT10" i="4"/>
  <c r="K10" i="4"/>
  <c r="AE10" i="4"/>
  <c r="AO10" i="4"/>
  <c r="EI10" i="4"/>
  <c r="AP10" i="4"/>
  <c r="CM14" i="4"/>
  <c r="CW10" i="4"/>
  <c r="DV16" i="4"/>
  <c r="BI10" i="4"/>
  <c r="BS10" i="4"/>
  <c r="DP10" i="4"/>
  <c r="EU10" i="4"/>
  <c r="BO15" i="4"/>
  <c r="EM10" i="4"/>
  <c r="BZ10" i="4"/>
  <c r="BZ14" i="4"/>
  <c r="D14" i="4"/>
  <c r="BT10" i="4"/>
  <c r="BT14" i="4"/>
  <c r="DB17" i="4"/>
  <c r="EP9" i="4"/>
  <c r="BL10" i="4"/>
  <c r="EA10" i="4"/>
  <c r="BX16" i="4"/>
  <c r="AX9" i="4"/>
  <c r="AN17" i="4" s="1"/>
  <c r="DC17" i="4"/>
  <c r="CO10" i="4"/>
  <c r="CY10" i="4"/>
  <c r="EL10" i="4"/>
  <c r="F10" i="4"/>
  <c r="P10" i="4"/>
  <c r="BC10" i="4"/>
  <c r="BM10" i="4"/>
  <c r="BV6" i="4"/>
  <c r="CL16" i="4"/>
  <c r="DR9" i="4"/>
  <c r="P17" i="4"/>
  <c r="Q10" i="2"/>
  <c r="W10" i="2"/>
  <c r="R10" i="2"/>
  <c r="CV9" i="2" a="1"/>
  <c r="CV9" i="2" s="1"/>
  <c r="CV8" i="2" a="1"/>
  <c r="CV8" i="2" s="1"/>
  <c r="CV6" i="2" a="1"/>
  <c r="CV6" i="2" s="1"/>
  <c r="CV7" i="2" a="1"/>
  <c r="CV7" i="2" s="1"/>
  <c r="CJ7" i="2" a="1"/>
  <c r="CJ7" i="2" s="1"/>
  <c r="CJ6" i="2" a="1"/>
  <c r="CJ6" i="2" s="1"/>
  <c r="CJ8" i="2" a="1"/>
  <c r="CJ8" i="2" s="1"/>
  <c r="BY7" i="2" a="1"/>
  <c r="BY7" i="2" s="1"/>
  <c r="CW6" i="2" a="1"/>
  <c r="CW6" i="2" s="1"/>
  <c r="CW9" i="2" a="1"/>
  <c r="CW9" i="2" s="1"/>
  <c r="CW7" i="2" a="1"/>
  <c r="CW7" i="2" s="1"/>
  <c r="CW8" i="2" a="1"/>
  <c r="CW8" i="2" s="1"/>
  <c r="BY9" i="2" a="1"/>
  <c r="BY9" i="2" s="1"/>
  <c r="BY6" i="2" a="1"/>
  <c r="BY6" i="2" s="1"/>
  <c r="BM9" i="2" a="1"/>
  <c r="BM9" i="2" s="1"/>
  <c r="BM6" i="2" a="1"/>
  <c r="BM6" i="2" s="1"/>
  <c r="BM7" i="2" a="1"/>
  <c r="BM7" i="2" s="1"/>
  <c r="BA7" i="2" a="1"/>
  <c r="BA7" i="2" s="1"/>
  <c r="AN10" i="2"/>
  <c r="AO6" i="2" a="1"/>
  <c r="AO6" i="2" s="1"/>
  <c r="AO9" i="2" a="1"/>
  <c r="AO9" i="2" s="1"/>
  <c r="AD10" i="2"/>
  <c r="AE10" i="2"/>
  <c r="AI10" i="2"/>
  <c r="AL7" i="2"/>
  <c r="AL15" i="2" s="1"/>
  <c r="AK10" i="2"/>
  <c r="X10" i="2"/>
  <c r="Y10" i="2"/>
  <c r="N7" i="2"/>
  <c r="N15" i="2" s="1"/>
  <c r="L10" i="2"/>
  <c r="G10" i="2"/>
  <c r="H10" i="2"/>
  <c r="I10" i="2"/>
  <c r="J10" i="2"/>
  <c r="E10" i="2"/>
  <c r="F10" i="2"/>
  <c r="L10" i="6" l="1"/>
  <c r="L21" i="6" s="1"/>
  <c r="DZ10" i="6"/>
  <c r="FA10" i="5"/>
  <c r="CR10" i="5"/>
  <c r="CR6" i="6"/>
  <c r="BQ10" i="5"/>
  <c r="BQ6" i="6"/>
  <c r="BL10" i="5"/>
  <c r="BL8" i="6"/>
  <c r="ES10" i="6"/>
  <c r="BT10" i="5"/>
  <c r="BT8" i="6"/>
  <c r="EK10" i="5"/>
  <c r="EK6" i="6"/>
  <c r="N7" i="6"/>
  <c r="E15" i="6" s="1"/>
  <c r="CA10" i="5"/>
  <c r="CA6" i="6"/>
  <c r="BE10" i="6"/>
  <c r="BE21" i="6"/>
  <c r="AX9" i="6"/>
  <c r="AU17" i="6" s="1"/>
  <c r="AN17" i="6"/>
  <c r="BO10" i="5"/>
  <c r="BO6" i="6"/>
  <c r="DA16" i="6"/>
  <c r="AS10" i="6"/>
  <c r="AS21" i="6" s="1"/>
  <c r="EU10" i="6"/>
  <c r="DW10" i="5"/>
  <c r="DW6" i="6"/>
  <c r="Z8" i="6"/>
  <c r="P16" i="6" s="1"/>
  <c r="P23" i="6"/>
  <c r="AL9" i="6"/>
  <c r="EV10" i="5"/>
  <c r="EV6" i="6"/>
  <c r="CP10" i="6"/>
  <c r="BF23" i="6"/>
  <c r="EN17" i="6"/>
  <c r="ED7" i="6"/>
  <c r="EA15" i="6" s="1"/>
  <c r="BZ16" i="6"/>
  <c r="F10" i="6"/>
  <c r="F21" i="6"/>
  <c r="DV10" i="5"/>
  <c r="DV8" i="6"/>
  <c r="BJ8" i="6"/>
  <c r="AZ16" i="6"/>
  <c r="AZ23" i="6"/>
  <c r="J16" i="6"/>
  <c r="DD10" i="5"/>
  <c r="DD6" i="6"/>
  <c r="DD10" i="6" s="1"/>
  <c r="DX10" i="5"/>
  <c r="DX7" i="6"/>
  <c r="F24" i="6"/>
  <c r="EM10" i="5"/>
  <c r="EM7" i="6"/>
  <c r="DY17" i="6"/>
  <c r="EJ10" i="5"/>
  <c r="EJ7" i="6"/>
  <c r="CV10" i="5"/>
  <c r="BG15" i="6"/>
  <c r="CD10" i="6"/>
  <c r="CH7" i="6"/>
  <c r="BX15" i="6"/>
  <c r="DM10" i="6"/>
  <c r="CQ10" i="6"/>
  <c r="AX7" i="6"/>
  <c r="AP15" i="6" s="1"/>
  <c r="AN15" i="6"/>
  <c r="BM15" i="6"/>
  <c r="AQ16" i="6"/>
  <c r="BF10" i="6"/>
  <c r="BF21" i="6"/>
  <c r="CZ17" i="6"/>
  <c r="DB16" i="6"/>
  <c r="S10" i="6"/>
  <c r="BF15" i="6"/>
  <c r="D6" i="6"/>
  <c r="D14" i="5"/>
  <c r="R17" i="6"/>
  <c r="BC10" i="6"/>
  <c r="EB10" i="5"/>
  <c r="EB6" i="6"/>
  <c r="BD10" i="6"/>
  <c r="BD21" i="6"/>
  <c r="AP16" i="6"/>
  <c r="CW16" i="6"/>
  <c r="CD15" i="6"/>
  <c r="BH10" i="6"/>
  <c r="I10" i="6"/>
  <c r="I21" i="6"/>
  <c r="BE24" i="6"/>
  <c r="BE17" i="6"/>
  <c r="DX10" i="6"/>
  <c r="CT8" i="6"/>
  <c r="DB10" i="6"/>
  <c r="CH9" i="6"/>
  <c r="BX17" i="6" s="1"/>
  <c r="DT10" i="6"/>
  <c r="CE17" i="6"/>
  <c r="CX16" i="6"/>
  <c r="BC22" i="6"/>
  <c r="BY10" i="6"/>
  <c r="DP15" i="6"/>
  <c r="AZ10" i="6"/>
  <c r="BJ6" i="6"/>
  <c r="AZ14" i="6"/>
  <c r="EI10" i="6"/>
  <c r="CV10" i="6"/>
  <c r="DF6" i="6"/>
  <c r="CV14" i="6"/>
  <c r="EP9" i="6"/>
  <c r="EF17" i="6" s="1"/>
  <c r="CK10" i="6"/>
  <c r="AX8" i="6"/>
  <c r="AR16" i="6" s="1"/>
  <c r="AN16" i="6"/>
  <c r="AN23" i="6"/>
  <c r="I24" i="6"/>
  <c r="BR10" i="5"/>
  <c r="BR6" i="6"/>
  <c r="BR10" i="6" s="1"/>
  <c r="CS10" i="5"/>
  <c r="AF16" i="6"/>
  <c r="EH10" i="6"/>
  <c r="EX10" i="6"/>
  <c r="DC17" i="6"/>
  <c r="ET10" i="6"/>
  <c r="BA22" i="6"/>
  <c r="BA15" i="6"/>
  <c r="EY10" i="5"/>
  <c r="EY6" i="6"/>
  <c r="AC16" i="6"/>
  <c r="BD22" i="6"/>
  <c r="BD15" i="6"/>
  <c r="AQ10" i="6"/>
  <c r="AQ21" i="6"/>
  <c r="AQ14" i="6"/>
  <c r="AT16" i="6"/>
  <c r="CE10" i="5"/>
  <c r="CE8" i="6"/>
  <c r="N8" i="6"/>
  <c r="H16" i="6" s="1"/>
  <c r="D16" i="6"/>
  <c r="DJ10" i="5"/>
  <c r="DJ9" i="6"/>
  <c r="EW10" i="6"/>
  <c r="DL10" i="6"/>
  <c r="DN10" i="5"/>
  <c r="DN6" i="6"/>
  <c r="BA16" i="6"/>
  <c r="BA23" i="6"/>
  <c r="CY10" i="5"/>
  <c r="CY7" i="6"/>
  <c r="CY10" i="6" s="1"/>
  <c r="ED9" i="6"/>
  <c r="DT17" i="6" s="1"/>
  <c r="X17" i="6"/>
  <c r="CT9" i="5"/>
  <c r="CL9" i="6"/>
  <c r="BX10" i="6"/>
  <c r="CH6" i="6"/>
  <c r="CD14" i="6" s="1"/>
  <c r="BX14" i="6"/>
  <c r="R23" i="6"/>
  <c r="EP8" i="5"/>
  <c r="EK16" i="5" s="1"/>
  <c r="EF8" i="6"/>
  <c r="BY17" i="6"/>
  <c r="FB9" i="6"/>
  <c r="ER17" i="6"/>
  <c r="BA10" i="6"/>
  <c r="BA25" i="6" s="1"/>
  <c r="BA21" i="6"/>
  <c r="DR6" i="5"/>
  <c r="DJ14" i="5" s="1"/>
  <c r="DI6" i="6"/>
  <c r="CX10" i="6"/>
  <c r="CL16" i="6"/>
  <c r="BS10" i="6"/>
  <c r="DC10" i="5"/>
  <c r="DC7" i="6"/>
  <c r="DY10" i="5"/>
  <c r="DY6" i="6"/>
  <c r="ED6" i="6" s="1"/>
  <c r="AI23" i="6"/>
  <c r="AI16" i="6"/>
  <c r="DF7" i="6"/>
  <c r="ER10" i="5"/>
  <c r="ER6" i="6"/>
  <c r="G10" i="6"/>
  <c r="G21" i="6"/>
  <c r="DK15" i="6"/>
  <c r="EJ17" i="6"/>
  <c r="T10" i="6"/>
  <c r="T14" i="6"/>
  <c r="T21" i="6"/>
  <c r="P10" i="6"/>
  <c r="P25" i="6" s="1"/>
  <c r="Z6" i="6"/>
  <c r="P14" i="6" s="1"/>
  <c r="EF10" i="5"/>
  <c r="EF6" i="6"/>
  <c r="CD17" i="6"/>
  <c r="ET10" i="5"/>
  <c r="ET7" i="6"/>
  <c r="AO10" i="6"/>
  <c r="AO22" i="6" s="1"/>
  <c r="AO14" i="6"/>
  <c r="DR9" i="5"/>
  <c r="DR17" i="5" s="1"/>
  <c r="DI9" i="6"/>
  <c r="DH10" i="5"/>
  <c r="DH7" i="6"/>
  <c r="DR7" i="6" s="1"/>
  <c r="U10" i="5"/>
  <c r="U21" i="5" s="1"/>
  <c r="AG15" i="6"/>
  <c r="DI15" i="6"/>
  <c r="S16" i="6"/>
  <c r="CO16" i="6"/>
  <c r="BP10" i="5"/>
  <c r="BP7" i="6"/>
  <c r="BV7" i="6" s="1"/>
  <c r="AE10" i="6"/>
  <c r="AE21" i="6" s="1"/>
  <c r="U6" i="6"/>
  <c r="DH10" i="6"/>
  <c r="AD15" i="6"/>
  <c r="AD22" i="6"/>
  <c r="BN10" i="6"/>
  <c r="CC10" i="5"/>
  <c r="CC7" i="6"/>
  <c r="CB10" i="5"/>
  <c r="CB6" i="6"/>
  <c r="AU15" i="6"/>
  <c r="ED8" i="6"/>
  <c r="DT16" i="6" s="1"/>
  <c r="G23" i="6"/>
  <c r="DP10" i="6"/>
  <c r="CM10" i="5"/>
  <c r="CM7" i="6"/>
  <c r="AD16" i="6"/>
  <c r="W10" i="6"/>
  <c r="W14" i="6"/>
  <c r="W21" i="6"/>
  <c r="AP17" i="6"/>
  <c r="Z9" i="6"/>
  <c r="T17" i="6" s="1"/>
  <c r="BV9" i="6"/>
  <c r="E22" i="6"/>
  <c r="AG10" i="6"/>
  <c r="AH10" i="6"/>
  <c r="AH21" i="6" s="1"/>
  <c r="BJ9" i="6"/>
  <c r="AZ17" i="6"/>
  <c r="AI24" i="6"/>
  <c r="AI17" i="6"/>
  <c r="DB10" i="5"/>
  <c r="DB9" i="6"/>
  <c r="EX10" i="5"/>
  <c r="EX8" i="6"/>
  <c r="FB8" i="6" s="1"/>
  <c r="ET16" i="6" s="1"/>
  <c r="AG25" i="5"/>
  <c r="AF10" i="6"/>
  <c r="AF23" i="6" s="1"/>
  <c r="AT10" i="6"/>
  <c r="AT23" i="6" s="1"/>
  <c r="AT21" i="6"/>
  <c r="AT14" i="6"/>
  <c r="DU10" i="5"/>
  <c r="DU6" i="6"/>
  <c r="EN10" i="5"/>
  <c r="EN6" i="6"/>
  <c r="AC10" i="6"/>
  <c r="AC24" i="6" s="1"/>
  <c r="EA10" i="6"/>
  <c r="V10" i="6"/>
  <c r="V21" i="6" s="1"/>
  <c r="AI10" i="6"/>
  <c r="AI21" i="6"/>
  <c r="K10" i="6"/>
  <c r="CN16" i="6"/>
  <c r="G22" i="6"/>
  <c r="CN10" i="6"/>
  <c r="AC22" i="6"/>
  <c r="EL10" i="6"/>
  <c r="DZ16" i="6"/>
  <c r="AP22" i="6"/>
  <c r="DO15" i="6"/>
  <c r="DA10" i="6"/>
  <c r="DV17" i="6"/>
  <c r="DJ15" i="6"/>
  <c r="S17" i="6"/>
  <c r="K17" i="6"/>
  <c r="K24" i="6"/>
  <c r="AR23" i="6"/>
  <c r="E16" i="6"/>
  <c r="EZ10" i="6"/>
  <c r="BZ17" i="6"/>
  <c r="R22" i="6"/>
  <c r="R15" i="6"/>
  <c r="CP16" i="6"/>
  <c r="AU10" i="6"/>
  <c r="AU14" i="6"/>
  <c r="AV10" i="6"/>
  <c r="AV21" i="6"/>
  <c r="AL8" i="6"/>
  <c r="AB16" i="6"/>
  <c r="CC17" i="6"/>
  <c r="AD10" i="6"/>
  <c r="AD21" i="6"/>
  <c r="H22" i="6"/>
  <c r="AJ10" i="5"/>
  <c r="AJ6" i="6"/>
  <c r="CW15" i="6"/>
  <c r="Q17" i="6"/>
  <c r="U17" i="6"/>
  <c r="AE23" i="6"/>
  <c r="AR10" i="6"/>
  <c r="AR14" i="6"/>
  <c r="AE15" i="6"/>
  <c r="AE22" i="6"/>
  <c r="L16" i="6"/>
  <c r="AH16" i="6"/>
  <c r="AN10" i="6"/>
  <c r="AX6" i="6"/>
  <c r="AN14" i="6" s="1"/>
  <c r="DM15" i="6"/>
  <c r="CY16" i="6"/>
  <c r="AJ15" i="6"/>
  <c r="AT24" i="6"/>
  <c r="AU16" i="6"/>
  <c r="E10" i="6"/>
  <c r="E21" i="6" s="1"/>
  <c r="BA24" i="6"/>
  <c r="BA17" i="6"/>
  <c r="AO24" i="6"/>
  <c r="BP10" i="6"/>
  <c r="DX17" i="6"/>
  <c r="DN15" i="6"/>
  <c r="AL7" i="6"/>
  <c r="AF15" i="6" s="1"/>
  <c r="BG10" i="6"/>
  <c r="I16" i="6"/>
  <c r="I23" i="6"/>
  <c r="DA17" i="6"/>
  <c r="BE15" i="6"/>
  <c r="BE22" i="6"/>
  <c r="BZ10" i="6"/>
  <c r="BJ7" i="6"/>
  <c r="BC15" i="6" s="1"/>
  <c r="AZ15" i="6"/>
  <c r="EA16" i="6"/>
  <c r="DB15" i="6"/>
  <c r="EH17" i="6"/>
  <c r="W22" i="6"/>
  <c r="BB10" i="5"/>
  <c r="BB6" i="6"/>
  <c r="Q14" i="6"/>
  <c r="Q10" i="6"/>
  <c r="DJ10" i="6"/>
  <c r="CJ10" i="6"/>
  <c r="N9" i="6"/>
  <c r="I17" i="6" s="1"/>
  <c r="D17" i="6"/>
  <c r="DK10" i="6"/>
  <c r="AP10" i="6"/>
  <c r="AP14" i="6"/>
  <c r="CZ16" i="6"/>
  <c r="EA17" i="6"/>
  <c r="CT7" i="6"/>
  <c r="CJ15" i="6" s="1"/>
  <c r="CH8" i="6"/>
  <c r="BX16" i="6" s="1"/>
  <c r="H10" i="6"/>
  <c r="CC10" i="6"/>
  <c r="BE23" i="6"/>
  <c r="BE16" i="6"/>
  <c r="BB15" i="6"/>
  <c r="E24" i="6"/>
  <c r="EG17" i="6"/>
  <c r="CZ10" i="6"/>
  <c r="CM10" i="6"/>
  <c r="BB16" i="6"/>
  <c r="DU17" i="6"/>
  <c r="AV24" i="6"/>
  <c r="DF8" i="6"/>
  <c r="CV16" i="6"/>
  <c r="CF17" i="6"/>
  <c r="Z7" i="6"/>
  <c r="P15" i="6"/>
  <c r="BM10" i="6"/>
  <c r="R10" i="6"/>
  <c r="R24" i="6" s="1"/>
  <c r="R21" i="6"/>
  <c r="I22" i="6"/>
  <c r="AG16" i="6"/>
  <c r="AH15" i="6"/>
  <c r="AH22" i="6"/>
  <c r="EG10" i="6"/>
  <c r="EB17" i="6"/>
  <c r="J10" i="6"/>
  <c r="J21" i="6" s="1"/>
  <c r="BF17" i="6"/>
  <c r="BF24" i="6"/>
  <c r="CR15" i="6"/>
  <c r="DC10" i="6"/>
  <c r="DC14" i="6"/>
  <c r="G17" i="6"/>
  <c r="AB10" i="6"/>
  <c r="BQ17" i="6"/>
  <c r="CO10" i="6"/>
  <c r="X10" i="6"/>
  <c r="X14" i="6"/>
  <c r="DF9" i="6"/>
  <c r="CY17" i="6" s="1"/>
  <c r="CW10" i="6"/>
  <c r="AJ16" i="6"/>
  <c r="EV17" i="6"/>
  <c r="CK15" i="6"/>
  <c r="DO10" i="6"/>
  <c r="DR8" i="5"/>
  <c r="DH8" i="6"/>
  <c r="CF10" i="6"/>
  <c r="DL16" i="5"/>
  <c r="DP16" i="5"/>
  <c r="DQ16" i="5"/>
  <c r="AZ10" i="5"/>
  <c r="AW23" i="5"/>
  <c r="AW24" i="5"/>
  <c r="CH9" i="5"/>
  <c r="AN10" i="5"/>
  <c r="AN21" i="5" s="1"/>
  <c r="CH6" i="5"/>
  <c r="BX14" i="5" s="1"/>
  <c r="BD10" i="5"/>
  <c r="BH10" i="5"/>
  <c r="AP23" i="5"/>
  <c r="ES10" i="5"/>
  <c r="AD10" i="5"/>
  <c r="D22" i="5"/>
  <c r="AW22" i="5"/>
  <c r="AW10" i="5"/>
  <c r="EU10" i="5"/>
  <c r="DT10" i="5"/>
  <c r="BF10" i="5"/>
  <c r="BE10" i="5"/>
  <c r="BX10" i="5"/>
  <c r="CD14" i="5"/>
  <c r="BV7" i="5"/>
  <c r="BR15" i="5" s="1"/>
  <c r="BY10" i="5"/>
  <c r="AP10" i="5"/>
  <c r="CT8" i="5"/>
  <c r="AO21" i="5"/>
  <c r="AO10" i="5"/>
  <c r="AL6" i="5"/>
  <c r="AH14" i="5" s="1"/>
  <c r="K10" i="5"/>
  <c r="K24" i="5" s="1"/>
  <c r="U23" i="5"/>
  <c r="AE21" i="5"/>
  <c r="BV9" i="5"/>
  <c r="BJ9" i="5"/>
  <c r="BJ10" i="5" s="1"/>
  <c r="DF6" i="5"/>
  <c r="CX14" i="5" s="1"/>
  <c r="BA10" i="5"/>
  <c r="M24" i="5"/>
  <c r="CF10" i="5"/>
  <c r="AI10" i="5"/>
  <c r="AI21" i="5" s="1"/>
  <c r="CX10" i="5"/>
  <c r="M10" i="5"/>
  <c r="AL8" i="5"/>
  <c r="Q22" i="5"/>
  <c r="Z7" i="5"/>
  <c r="CO10" i="5"/>
  <c r="X22" i="5"/>
  <c r="AC24" i="5"/>
  <c r="DF7" i="5"/>
  <c r="DE15" i="5" s="1"/>
  <c r="BJ7" i="5"/>
  <c r="F24" i="5"/>
  <c r="BJ6" i="5"/>
  <c r="BA14" i="5" s="1"/>
  <c r="D23" i="5"/>
  <c r="N8" i="5"/>
  <c r="N16" i="5" s="1"/>
  <c r="CL10" i="5"/>
  <c r="AK10" i="5"/>
  <c r="AK22" i="5" s="1"/>
  <c r="Z8" i="5"/>
  <c r="S16" i="5" s="1"/>
  <c r="AI23" i="5"/>
  <c r="DK10" i="5"/>
  <c r="T10" i="5"/>
  <c r="P10" i="5"/>
  <c r="ED7" i="5"/>
  <c r="EA15" i="5" s="1"/>
  <c r="BN10" i="5"/>
  <c r="DP10" i="5"/>
  <c r="DM16" i="5"/>
  <c r="W10" i="5"/>
  <c r="CH8" i="5"/>
  <c r="AX6" i="5"/>
  <c r="AX8" i="5"/>
  <c r="AR16" i="5" s="1"/>
  <c r="AE10" i="5"/>
  <c r="Y10" i="5"/>
  <c r="CN10" i="5"/>
  <c r="EL10" i="5"/>
  <c r="EO10" i="5"/>
  <c r="EZ10" i="5"/>
  <c r="R10" i="5"/>
  <c r="AV10" i="5"/>
  <c r="EP9" i="5"/>
  <c r="EK17" i="5" s="1"/>
  <c r="DF8" i="5"/>
  <c r="CN17" i="5"/>
  <c r="L10" i="5"/>
  <c r="BV6" i="5"/>
  <c r="BN14" i="5" s="1"/>
  <c r="Q10" i="5"/>
  <c r="AQ10" i="5"/>
  <c r="F22" i="5"/>
  <c r="AS10" i="5"/>
  <c r="AS24" i="5" s="1"/>
  <c r="BF21" i="5"/>
  <c r="K23" i="5"/>
  <c r="CD10" i="5"/>
  <c r="BH21" i="5"/>
  <c r="F23" i="5"/>
  <c r="BE24" i="5"/>
  <c r="BH22" i="5"/>
  <c r="AI22" i="5"/>
  <c r="AO22" i="5"/>
  <c r="BI10" i="5"/>
  <c r="AC21" i="5"/>
  <c r="AG22" i="5"/>
  <c r="BV8" i="5"/>
  <c r="BL16" i="5" s="1"/>
  <c r="Z6" i="5"/>
  <c r="AD22" i="5"/>
  <c r="E22" i="5"/>
  <c r="AG21" i="5"/>
  <c r="AC10" i="5"/>
  <c r="AC23" i="5" s="1"/>
  <c r="BC24" i="5"/>
  <c r="AQ24" i="5"/>
  <c r="AX7" i="5"/>
  <c r="AV14" i="5"/>
  <c r="EP7" i="5"/>
  <c r="EM15" i="5" s="1"/>
  <c r="CT7" i="5"/>
  <c r="Q24" i="5"/>
  <c r="BB21" i="5"/>
  <c r="BG10" i="5"/>
  <c r="R21" i="5"/>
  <c r="BA24" i="5"/>
  <c r="AS23" i="5"/>
  <c r="AO23" i="5"/>
  <c r="AP21" i="5"/>
  <c r="BB24" i="5"/>
  <c r="BE23" i="5"/>
  <c r="BB22" i="5"/>
  <c r="V23" i="5"/>
  <c r="BB23" i="5"/>
  <c r="P21" i="5"/>
  <c r="U22" i="5"/>
  <c r="AP24" i="5"/>
  <c r="P24" i="5"/>
  <c r="DZ10" i="5"/>
  <c r="E23" i="5"/>
  <c r="BI22" i="5"/>
  <c r="R22" i="5"/>
  <c r="DA10" i="5"/>
  <c r="U24" i="5"/>
  <c r="P22" i="5"/>
  <c r="Q21" i="5"/>
  <c r="AO24" i="5"/>
  <c r="BE22" i="5"/>
  <c r="Z9" i="5"/>
  <c r="AU10" i="5"/>
  <c r="AR10" i="5"/>
  <c r="D10" i="5"/>
  <c r="D24" i="5"/>
  <c r="F10" i="5"/>
  <c r="AG23" i="5"/>
  <c r="J10" i="5"/>
  <c r="J21" i="5"/>
  <c r="G10" i="5"/>
  <c r="G24" i="5"/>
  <c r="AW21" i="5"/>
  <c r="X10" i="5"/>
  <c r="AG24" i="5"/>
  <c r="EV16" i="4"/>
  <c r="EH14" i="4"/>
  <c r="EJ14" i="4"/>
  <c r="EK14" i="4"/>
  <c r="EF14" i="4"/>
  <c r="EI14" i="4"/>
  <c r="EL14" i="4"/>
  <c r="BV16" i="4"/>
  <c r="BN16" i="4"/>
  <c r="BL16" i="4"/>
  <c r="EP16" i="4"/>
  <c r="EH16" i="4"/>
  <c r="EO16" i="4"/>
  <c r="EI16" i="4"/>
  <c r="EJ16" i="4"/>
  <c r="EG16" i="4"/>
  <c r="EN16" i="4"/>
  <c r="EF16" i="4"/>
  <c r="EP15" i="4"/>
  <c r="EH15" i="4"/>
  <c r="EI15" i="4"/>
  <c r="EN15" i="4"/>
  <c r="EJ15" i="4"/>
  <c r="EL15" i="4"/>
  <c r="EO15" i="4"/>
  <c r="EF15" i="4"/>
  <c r="DF9" i="5"/>
  <c r="CW10" i="5"/>
  <c r="ED6" i="5"/>
  <c r="EA10" i="5"/>
  <c r="EK15" i="4"/>
  <c r="E10" i="5"/>
  <c r="E21" i="5" s="1"/>
  <c r="N6" i="5"/>
  <c r="EW10" i="5"/>
  <c r="FB9" i="5"/>
  <c r="FB17" i="5" s="1"/>
  <c r="X16" i="4"/>
  <c r="W16" i="5"/>
  <c r="T17" i="2"/>
  <c r="H10" i="5"/>
  <c r="N7" i="5"/>
  <c r="DE15" i="4"/>
  <c r="AL7" i="5"/>
  <c r="BC10" i="5"/>
  <c r="BC23" i="5" s="1"/>
  <c r="DU10" i="4"/>
  <c r="ED9" i="4"/>
  <c r="DY17" i="4" s="1"/>
  <c r="J15" i="4"/>
  <c r="CH9" i="4"/>
  <c r="BY17" i="4" s="1"/>
  <c r="AL7" i="4"/>
  <c r="AB15" i="4" s="1"/>
  <c r="ER10" i="4"/>
  <c r="BY10" i="4"/>
  <c r="DC15" i="5"/>
  <c r="DI10" i="4"/>
  <c r="DI14" i="4"/>
  <c r="R16" i="4"/>
  <c r="M16" i="2"/>
  <c r="M10" i="2"/>
  <c r="DR7" i="5"/>
  <c r="DM15" i="5" s="1"/>
  <c r="CT6" i="5"/>
  <c r="CN14" i="5" s="1"/>
  <c r="BV15" i="4"/>
  <c r="BR15" i="4"/>
  <c r="BS15" i="4"/>
  <c r="BL15" i="4"/>
  <c r="BM15" i="4"/>
  <c r="BU15" i="4"/>
  <c r="EC10" i="5"/>
  <c r="ED9" i="5"/>
  <c r="Z7" i="4"/>
  <c r="X15" i="4" s="1"/>
  <c r="BU14" i="4"/>
  <c r="BQ14" i="4"/>
  <c r="EG10" i="4"/>
  <c r="BO14" i="4"/>
  <c r="N6" i="2"/>
  <c r="J14" i="2" s="1"/>
  <c r="I16" i="2"/>
  <c r="CT15" i="4"/>
  <c r="CM15" i="4"/>
  <c r="CR15" i="4"/>
  <c r="CN15" i="4"/>
  <c r="CJ15" i="4"/>
  <c r="DI17" i="4"/>
  <c r="DP17" i="4"/>
  <c r="DM17" i="4"/>
  <c r="EP17" i="4"/>
  <c r="EM17" i="4"/>
  <c r="EK17" i="4"/>
  <c r="DD15" i="5"/>
  <c r="CZ15" i="5"/>
  <c r="Z6" i="2"/>
  <c r="Z14" i="2" s="1"/>
  <c r="S10" i="2"/>
  <c r="CE10" i="4"/>
  <c r="BM17" i="4"/>
  <c r="DF17" i="4"/>
  <c r="CV17" i="4"/>
  <c r="DE17" i="4"/>
  <c r="DA17" i="4"/>
  <c r="CY17" i="4"/>
  <c r="DD17" i="4"/>
  <c r="BP14" i="4"/>
  <c r="CD14" i="4"/>
  <c r="CG14" i="4"/>
  <c r="CB14" i="4"/>
  <c r="CE14" i="4"/>
  <c r="ED7" i="4"/>
  <c r="EA15" i="4" s="1"/>
  <c r="DI10" i="5"/>
  <c r="AF10" i="5"/>
  <c r="AL9" i="5"/>
  <c r="BM14" i="4"/>
  <c r="BJ6" i="4"/>
  <c r="BP10" i="4"/>
  <c r="BU17" i="4"/>
  <c r="EV10" i="4"/>
  <c r="DZ15" i="5"/>
  <c r="EB15" i="5"/>
  <c r="AL9" i="2"/>
  <c r="AL17" i="2" s="1"/>
  <c r="N8" i="4"/>
  <c r="L16" i="4" s="1"/>
  <c r="AS10" i="4"/>
  <c r="AX6" i="4"/>
  <c r="AP14" i="4" s="1"/>
  <c r="DR16" i="4"/>
  <c r="DM16" i="4"/>
  <c r="EG10" i="5"/>
  <c r="AJ10" i="2"/>
  <c r="E17" i="2"/>
  <c r="BB10" i="4"/>
  <c r="BJ8" i="4"/>
  <c r="BO17" i="4"/>
  <c r="S16" i="4"/>
  <c r="CS14" i="4"/>
  <c r="CK14" i="4"/>
  <c r="BJ8" i="5"/>
  <c r="AW17" i="4"/>
  <c r="AP17" i="4"/>
  <c r="AO17" i="4"/>
  <c r="AS17" i="4"/>
  <c r="AV17" i="4"/>
  <c r="AR17" i="4"/>
  <c r="AL6" i="4"/>
  <c r="CH7" i="5"/>
  <c r="BX15" i="5" s="1"/>
  <c r="FB8" i="4"/>
  <c r="ER16" i="4" s="1"/>
  <c r="Y14" i="4"/>
  <c r="X14" i="4"/>
  <c r="DO17" i="4"/>
  <c r="DN14" i="4"/>
  <c r="AZ17" i="4"/>
  <c r="BJ9" i="4"/>
  <c r="FB15" i="4"/>
  <c r="EX15" i="4"/>
  <c r="EY15" i="4"/>
  <c r="N8" i="2"/>
  <c r="N16" i="2" s="1"/>
  <c r="AL8" i="2"/>
  <c r="AL16" i="2" s="1"/>
  <c r="AX7" i="4"/>
  <c r="DF15" i="4"/>
  <c r="DB15" i="4"/>
  <c r="CW15" i="4"/>
  <c r="DA15" i="4"/>
  <c r="CX15" i="4"/>
  <c r="CZ10" i="4"/>
  <c r="AC10" i="2"/>
  <c r="M10" i="4"/>
  <c r="DM10" i="5"/>
  <c r="AZ10" i="2"/>
  <c r="Z9" i="2"/>
  <c r="Z17" i="2" s="1"/>
  <c r="CF10" i="4"/>
  <c r="EK10" i="4"/>
  <c r="CY15" i="4"/>
  <c r="N7" i="4"/>
  <c r="H10" i="4"/>
  <c r="H15" i="4"/>
  <c r="FB9" i="4"/>
  <c r="FA17" i="4" s="1"/>
  <c r="ET10" i="4"/>
  <c r="BL10" i="2"/>
  <c r="P10" i="2"/>
  <c r="Z7" i="2"/>
  <c r="Z15" i="2" s="1"/>
  <c r="DF8" i="4"/>
  <c r="BV17" i="4"/>
  <c r="BN17" i="4"/>
  <c r="BQ17" i="4"/>
  <c r="BS17" i="4"/>
  <c r="BR17" i="4"/>
  <c r="Z16" i="4"/>
  <c r="W16" i="4"/>
  <c r="Y16" i="4"/>
  <c r="U16" i="4"/>
  <c r="Q16" i="4"/>
  <c r="V16" i="4"/>
  <c r="AE14" i="5"/>
  <c r="AK14" i="5"/>
  <c r="AG14" i="5"/>
  <c r="CZ15" i="4"/>
  <c r="T10" i="2"/>
  <c r="EW15" i="4"/>
  <c r="DC14" i="4"/>
  <c r="DD14" i="4"/>
  <c r="ED6" i="4"/>
  <c r="ED10" i="4" s="1"/>
  <c r="EH16" i="5"/>
  <c r="EN16" i="5"/>
  <c r="ED8" i="5"/>
  <c r="DZ16" i="5" s="1"/>
  <c r="CC15" i="4"/>
  <c r="CY15" i="5"/>
  <c r="AZ10" i="4"/>
  <c r="DR6" i="4"/>
  <c r="CH7" i="4"/>
  <c r="CW15" i="5"/>
  <c r="EP6" i="5"/>
  <c r="EF14" i="5" s="1"/>
  <c r="AE14" i="2"/>
  <c r="DQ10" i="4"/>
  <c r="DR7" i="4"/>
  <c r="DQ15" i="4" s="1"/>
  <c r="AB14" i="2"/>
  <c r="AL6" i="2"/>
  <c r="AL14" i="2" s="1"/>
  <c r="AB10" i="2"/>
  <c r="K10" i="2"/>
  <c r="EH17" i="4"/>
  <c r="EF17" i="4"/>
  <c r="J14" i="4"/>
  <c r="G14" i="4"/>
  <c r="F14" i="4"/>
  <c r="ER14" i="5"/>
  <c r="CV15" i="5"/>
  <c r="M15" i="2"/>
  <c r="AK15" i="2"/>
  <c r="AI17" i="2"/>
  <c r="AB15" i="2"/>
  <c r="U17" i="2"/>
  <c r="K16" i="2"/>
  <c r="FB7" i="5"/>
  <c r="J15" i="2"/>
  <c r="AF15" i="2"/>
  <c r="V16" i="2"/>
  <c r="AG17" i="2"/>
  <c r="EH10" i="5"/>
  <c r="AH16" i="2"/>
  <c r="AI16" i="2"/>
  <c r="Y15" i="2"/>
  <c r="S10" i="5"/>
  <c r="S23" i="5" s="1"/>
  <c r="AK16" i="2"/>
  <c r="I15" i="2"/>
  <c r="R16" i="2"/>
  <c r="AC15" i="2"/>
  <c r="CP10" i="5"/>
  <c r="DL10" i="5"/>
  <c r="CZ10" i="5"/>
  <c r="X17" i="2"/>
  <c r="R17" i="2"/>
  <c r="H17" i="2"/>
  <c r="AJ15" i="2"/>
  <c r="U10" i="4"/>
  <c r="F15" i="2"/>
  <c r="V10" i="5"/>
  <c r="G15" i="2"/>
  <c r="G16" i="2"/>
  <c r="CM10" i="4"/>
  <c r="F16" i="2"/>
  <c r="L15" i="2"/>
  <c r="AF17" i="2"/>
  <c r="AJ16" i="4"/>
  <c r="DT16" i="4"/>
  <c r="AE16" i="4"/>
  <c r="DK16" i="5"/>
  <c r="M17" i="2"/>
  <c r="EI10" i="5"/>
  <c r="FB8" i="5"/>
  <c r="FA16" i="5" s="1"/>
  <c r="K15" i="2"/>
  <c r="AD16" i="2"/>
  <c r="U15" i="2"/>
  <c r="P16" i="2"/>
  <c r="AX9" i="5"/>
  <c r="AS17" i="5" s="1"/>
  <c r="AH10" i="5"/>
  <c r="AH23" i="5" s="1"/>
  <c r="T16" i="2"/>
  <c r="Q17" i="2"/>
  <c r="V17" i="2"/>
  <c r="L17" i="2"/>
  <c r="AI14" i="2"/>
  <c r="AD15" i="2"/>
  <c r="I10" i="5"/>
  <c r="N9" i="4"/>
  <c r="AG16" i="2"/>
  <c r="AE15" i="2"/>
  <c r="BP15" i="4"/>
  <c r="CG15" i="4"/>
  <c r="EB16" i="4"/>
  <c r="D17" i="2"/>
  <c r="AI15" i="2"/>
  <c r="AE16" i="2"/>
  <c r="AJ16" i="2"/>
  <c r="AT10" i="5"/>
  <c r="D16" i="2"/>
  <c r="P17" i="2"/>
  <c r="Q16" i="2"/>
  <c r="EC16" i="4"/>
  <c r="AH14" i="2"/>
  <c r="V17" i="4"/>
  <c r="CD16" i="4"/>
  <c r="AH17" i="4"/>
  <c r="DH16" i="5"/>
  <c r="AE17" i="2"/>
  <c r="E16" i="2"/>
  <c r="AK17" i="2"/>
  <c r="BU10" i="4"/>
  <c r="CG16" i="4"/>
  <c r="BX10" i="2"/>
  <c r="U17" i="4"/>
  <c r="T17" i="4"/>
  <c r="CJ16" i="4"/>
  <c r="CB16" i="5"/>
  <c r="K17" i="2"/>
  <c r="D15" i="2"/>
  <c r="AB10" i="5"/>
  <c r="Y17" i="2"/>
  <c r="AG15" i="2"/>
  <c r="DW16" i="4"/>
  <c r="CS16" i="4"/>
  <c r="Q17" i="4"/>
  <c r="Y17" i="5"/>
  <c r="AH15" i="2"/>
  <c r="I17" i="2"/>
  <c r="S15" i="2"/>
  <c r="J16" i="2"/>
  <c r="S16" i="2"/>
  <c r="U16" i="2"/>
  <c r="AH10" i="2"/>
  <c r="U10" i="2"/>
  <c r="AG10" i="2"/>
  <c r="AD17" i="2"/>
  <c r="Q15" i="2"/>
  <c r="AB16" i="2"/>
  <c r="Y16" i="2"/>
  <c r="H16" i="2"/>
  <c r="AF16" i="2"/>
  <c r="W15" i="2"/>
  <c r="T15" i="2"/>
  <c r="AF10" i="2"/>
  <c r="AK16" i="4"/>
  <c r="AX8" i="4"/>
  <c r="AX16" i="4" s="1"/>
  <c r="CF16" i="4"/>
  <c r="EO14" i="4"/>
  <c r="Y17" i="4"/>
  <c r="N9" i="5"/>
  <c r="K17" i="5" s="1"/>
  <c r="D10" i="2"/>
  <c r="N9" i="2"/>
  <c r="N17" i="2" s="1"/>
  <c r="EH15" i="5"/>
  <c r="EK15" i="5"/>
  <c r="R15" i="2"/>
  <c r="DW10" i="4"/>
  <c r="W16" i="2"/>
  <c r="AH17" i="2"/>
  <c r="AG14" i="2"/>
  <c r="X15" i="2"/>
  <c r="E15" i="2"/>
  <c r="X16" i="2"/>
  <c r="H15" i="2"/>
  <c r="DR14" i="5"/>
  <c r="DN14" i="5"/>
  <c r="L14" i="5"/>
  <c r="E14" i="5"/>
  <c r="DP17" i="5"/>
  <c r="EN17" i="5"/>
  <c r="EL16" i="5"/>
  <c r="EO17" i="5"/>
  <c r="EH17" i="5"/>
  <c r="ED15" i="5"/>
  <c r="EC15" i="5"/>
  <c r="DV15" i="5"/>
  <c r="DW15" i="5"/>
  <c r="DU15" i="5"/>
  <c r="DX15" i="5"/>
  <c r="DR15" i="5"/>
  <c r="DK15" i="5"/>
  <c r="FB14" i="5"/>
  <c r="EV14" i="5"/>
  <c r="FA14" i="5"/>
  <c r="P14" i="5"/>
  <c r="E17" i="5"/>
  <c r="D17" i="5"/>
  <c r="DI15" i="5"/>
  <c r="AC16" i="5"/>
  <c r="DT15" i="5"/>
  <c r="U14" i="5"/>
  <c r="CT17" i="5"/>
  <c r="CS17" i="5"/>
  <c r="CP17" i="5"/>
  <c r="CM17" i="5"/>
  <c r="CJ17" i="5"/>
  <c r="EP16" i="5"/>
  <c r="EM16" i="5"/>
  <c r="EG16" i="5"/>
  <c r="EJ16" i="5"/>
  <c r="EF16" i="5"/>
  <c r="DM14" i="5"/>
  <c r="AF16" i="5"/>
  <c r="DW16" i="5"/>
  <c r="AL15" i="5"/>
  <c r="DI17" i="5"/>
  <c r="CK17" i="5"/>
  <c r="EZ14" i="5"/>
  <c r="CO17" i="5"/>
  <c r="EB16" i="5"/>
  <c r="EU14" i="5"/>
  <c r="V14" i="5"/>
  <c r="AB16" i="5"/>
  <c r="DH15" i="5"/>
  <c r="DK14" i="5"/>
  <c r="DL14" i="5"/>
  <c r="DO15" i="5"/>
  <c r="DN17" i="5"/>
  <c r="L15" i="5"/>
  <c r="DY15" i="5"/>
  <c r="BI16" i="5"/>
  <c r="BJ16" i="5"/>
  <c r="BH16" i="5"/>
  <c r="BB16" i="5"/>
  <c r="DJ15" i="5"/>
  <c r="G17" i="5"/>
  <c r="DF15" i="5"/>
  <c r="DA15" i="5"/>
  <c r="CX15" i="5"/>
  <c r="CL17" i="5"/>
  <c r="DI14" i="5"/>
  <c r="EM17" i="5"/>
  <c r="DB15" i="5"/>
  <c r="DH14" i="5"/>
  <c r="CR17" i="5"/>
  <c r="EO16" i="5"/>
  <c r="AE16" i="5"/>
  <c r="EA16" i="5"/>
  <c r="DV16" i="5"/>
  <c r="DY16" i="5"/>
  <c r="EY14" i="5"/>
  <c r="CQ17" i="5"/>
  <c r="EW14" i="5"/>
  <c r="DN15" i="5"/>
  <c r="DO14" i="5"/>
  <c r="BJ15" i="5"/>
  <c r="BG15" i="5"/>
  <c r="BF15" i="5"/>
  <c r="BH15" i="5"/>
  <c r="BJ14" i="5"/>
  <c r="BD14" i="5"/>
  <c r="AL16" i="5"/>
  <c r="AI16" i="5"/>
  <c r="AG16" i="5"/>
  <c r="AX15" i="5"/>
  <c r="AR15" i="5"/>
  <c r="EI16" i="5"/>
  <c r="Z14" i="5"/>
  <c r="X14" i="5"/>
  <c r="T14" i="5"/>
  <c r="AW15" i="5"/>
  <c r="Q14" i="5"/>
  <c r="AL14" i="5"/>
  <c r="AI14" i="5"/>
  <c r="AD14" i="5"/>
  <c r="AJ16" i="5"/>
  <c r="ET14" i="5"/>
  <c r="AH16" i="5"/>
  <c r="DP15" i="5"/>
  <c r="CG15" i="5"/>
  <c r="DQ14" i="5"/>
  <c r="AJ14" i="5"/>
  <c r="EX14" i="5"/>
  <c r="F16" i="5"/>
  <c r="DP14" i="5"/>
  <c r="DF17" i="5"/>
  <c r="DD17" i="5"/>
  <c r="CZ17" i="5"/>
  <c r="DA17" i="5"/>
  <c r="CV17" i="5"/>
  <c r="DB17" i="5"/>
  <c r="DR16" i="5"/>
  <c r="DN16" i="5"/>
  <c r="DJ16" i="5"/>
  <c r="DO16" i="5"/>
  <c r="DI16" i="5"/>
  <c r="AZ15" i="5"/>
  <c r="CP14" i="5"/>
  <c r="CT14" i="5"/>
  <c r="CH14" i="5"/>
  <c r="BZ14" i="5"/>
  <c r="CB14" i="5"/>
  <c r="T14" i="4"/>
  <c r="AR14" i="4"/>
  <c r="AN14" i="4"/>
  <c r="AS14" i="4"/>
  <c r="AW16" i="4"/>
  <c r="CN17" i="4"/>
  <c r="CM17" i="4"/>
  <c r="AG17" i="4"/>
  <c r="EL17" i="4"/>
  <c r="AB17" i="4"/>
  <c r="BE15" i="4"/>
  <c r="AP16" i="4"/>
  <c r="CR16" i="4"/>
  <c r="FB10" i="4"/>
  <c r="FB14" i="4"/>
  <c r="FB16" i="4"/>
  <c r="EY14" i="4"/>
  <c r="DN16" i="4"/>
  <c r="P15" i="4"/>
  <c r="P14" i="4"/>
  <c r="EG17" i="4"/>
  <c r="AJ17" i="4"/>
  <c r="AF14" i="4"/>
  <c r="BR16" i="4"/>
  <c r="ED16" i="4"/>
  <c r="DY16" i="4"/>
  <c r="BG17" i="4"/>
  <c r="AB14" i="4"/>
  <c r="CM16" i="4"/>
  <c r="V14" i="4"/>
  <c r="BA15" i="4"/>
  <c r="BQ16" i="4"/>
  <c r="V15" i="4"/>
  <c r="EP10" i="4"/>
  <c r="EP14" i="4"/>
  <c r="BB14" i="4"/>
  <c r="CT17" i="4"/>
  <c r="CS17" i="4"/>
  <c r="CR17" i="4"/>
  <c r="Z10" i="4"/>
  <c r="Z14" i="4"/>
  <c r="AC17" i="4"/>
  <c r="AE17" i="4"/>
  <c r="AD16" i="4"/>
  <c r="AD17" i="4"/>
  <c r="DO16" i="4"/>
  <c r="EV14" i="4"/>
  <c r="EW14" i="4"/>
  <c r="DQ16" i="4"/>
  <c r="EU14" i="4"/>
  <c r="AU16" i="4"/>
  <c r="DI16" i="4"/>
  <c r="AS16" i="4"/>
  <c r="AN16" i="4"/>
  <c r="CN16" i="4"/>
  <c r="R14" i="4"/>
  <c r="N16" i="4"/>
  <c r="G16" i="4"/>
  <c r="DA16" i="4"/>
  <c r="EX14" i="4"/>
  <c r="AZ15" i="4"/>
  <c r="DJ17" i="4"/>
  <c r="ET16" i="4"/>
  <c r="FA16" i="4"/>
  <c r="AK17" i="4"/>
  <c r="AF16" i="4"/>
  <c r="DH16" i="4"/>
  <c r="BT16" i="4"/>
  <c r="CP14" i="4"/>
  <c r="BG15" i="4"/>
  <c r="ER15" i="4"/>
  <c r="EI17" i="4"/>
  <c r="CO16" i="4"/>
  <c r="AO16" i="4"/>
  <c r="N10" i="4"/>
  <c r="N14" i="4"/>
  <c r="CH10" i="4"/>
  <c r="CH14" i="4"/>
  <c r="CR14" i="4"/>
  <c r="DR10" i="4"/>
  <c r="DR14" i="4"/>
  <c r="AX14" i="4"/>
  <c r="AX10" i="4"/>
  <c r="CW16" i="4"/>
  <c r="AO14" i="4"/>
  <c r="U15" i="4"/>
  <c r="BA17" i="4"/>
  <c r="EA16" i="4"/>
  <c r="BM16" i="4"/>
  <c r="EY16" i="4"/>
  <c r="CL15" i="4"/>
  <c r="ER14" i="4"/>
  <c r="BO16" i="4"/>
  <c r="BF15" i="4"/>
  <c r="CQ17" i="4"/>
  <c r="BQ15" i="4"/>
  <c r="BX14" i="4"/>
  <c r="DF10" i="4"/>
  <c r="DF14" i="4"/>
  <c r="DH14" i="4"/>
  <c r="AV15" i="4"/>
  <c r="L14" i="4"/>
  <c r="S15" i="4"/>
  <c r="CK15" i="4"/>
  <c r="Q15" i="4"/>
  <c r="EZ14" i="4"/>
  <c r="AC14" i="4"/>
  <c r="BS16" i="4"/>
  <c r="EW16" i="4"/>
  <c r="AV16" i="4"/>
  <c r="AT16" i="4"/>
  <c r="EN17" i="4"/>
  <c r="DP15" i="4"/>
  <c r="BB17" i="4"/>
  <c r="EK16" i="4"/>
  <c r="AH16" i="4"/>
  <c r="DP14" i="4"/>
  <c r="AG16" i="4"/>
  <c r="EO17" i="4"/>
  <c r="DH15" i="4"/>
  <c r="DC16" i="4"/>
  <c r="DT17" i="4"/>
  <c r="S14" i="4"/>
  <c r="AK14" i="4"/>
  <c r="EJ17" i="4"/>
  <c r="EU16" i="4"/>
  <c r="CV14" i="4"/>
  <c r="Q14" i="4"/>
  <c r="ET14" i="4"/>
  <c r="BH15" i="4"/>
  <c r="DA14" i="4"/>
  <c r="EZ16" i="4"/>
  <c r="AQ14" i="4"/>
  <c r="DR17" i="4"/>
  <c r="DL17" i="4"/>
  <c r="ES16" i="4"/>
  <c r="CT10" i="4"/>
  <c r="CT14" i="4"/>
  <c r="CN14" i="4"/>
  <c r="AR16" i="4"/>
  <c r="EZ15" i="4"/>
  <c r="EL16" i="4"/>
  <c r="DN17" i="4"/>
  <c r="X17" i="4"/>
  <c r="BV10" i="4"/>
  <c r="BV14" i="4"/>
  <c r="DL16" i="4"/>
  <c r="W17" i="4"/>
  <c r="BL14" i="4"/>
  <c r="DX16" i="4"/>
  <c r="H16" i="4"/>
  <c r="CC14" i="4"/>
  <c r="CZ17" i="4"/>
  <c r="BD15" i="4"/>
  <c r="U14" i="4"/>
  <c r="T16" i="4"/>
  <c r="CL17" i="4"/>
  <c r="CX17" i="4"/>
  <c r="CV15" i="4"/>
  <c r="DK17" i="4"/>
  <c r="EG14" i="4"/>
  <c r="EM14" i="4"/>
  <c r="AC16" i="4"/>
  <c r="DO15" i="4"/>
  <c r="DU17" i="4"/>
  <c r="CH16" i="4"/>
  <c r="CB16" i="4"/>
  <c r="DK14" i="4"/>
  <c r="DB16" i="4"/>
  <c r="AW15" i="4"/>
  <c r="CQ14" i="4"/>
  <c r="BI15" i="4"/>
  <c r="W14" i="4"/>
  <c r="CP17" i="4"/>
  <c r="AB16" i="4"/>
  <c r="DP16" i="4"/>
  <c r="EZ17" i="4"/>
  <c r="EX16" i="4"/>
  <c r="CW14" i="4"/>
  <c r="BP16" i="4"/>
  <c r="I14" i="4"/>
  <c r="DC15" i="4"/>
  <c r="DH17" i="4"/>
  <c r="CO15" i="4"/>
  <c r="EV15" i="4"/>
  <c r="M14" i="4"/>
  <c r="BN14" i="4"/>
  <c r="AW14" i="4"/>
  <c r="CJ17" i="4"/>
  <c r="Y15" i="4"/>
  <c r="DJ16" i="4"/>
  <c r="DQ17" i="4"/>
  <c r="BJ14" i="4"/>
  <c r="EB15" i="4"/>
  <c r="R15" i="4"/>
  <c r="AX17" i="4"/>
  <c r="AT17" i="4"/>
  <c r="AQ17" i="4"/>
  <c r="CF14" i="4"/>
  <c r="EM16" i="4"/>
  <c r="CY16" i="4"/>
  <c r="CY14" i="4"/>
  <c r="BU16" i="4"/>
  <c r="EU15" i="4"/>
  <c r="K14" i="4"/>
  <c r="ET15" i="4"/>
  <c r="AR15" i="4"/>
  <c r="CK17" i="4"/>
  <c r="FA14" i="4"/>
  <c r="FA15" i="4"/>
  <c r="DZ16" i="4"/>
  <c r="CK16" i="4"/>
  <c r="CO14" i="4"/>
  <c r="DK16" i="4"/>
  <c r="E14" i="4"/>
  <c r="AI16" i="4"/>
  <c r="ET17" i="4"/>
  <c r="BS14" i="4"/>
  <c r="AI17" i="4"/>
  <c r="ES17" i="4"/>
  <c r="EG15" i="4"/>
  <c r="BL17" i="4"/>
  <c r="BB15" i="4"/>
  <c r="CW17" i="4"/>
  <c r="AQ16" i="4"/>
  <c r="BT17" i="4"/>
  <c r="DD15" i="4"/>
  <c r="CQ15" i="4"/>
  <c r="EN14" i="4"/>
  <c r="DK15" i="4"/>
  <c r="CX14" i="4"/>
  <c r="EM15" i="4"/>
  <c r="DE14" i="4"/>
  <c r="BR14" i="4"/>
  <c r="DB14" i="4"/>
  <c r="CS15" i="4"/>
  <c r="CV10" i="2"/>
  <c r="AO10" i="2"/>
  <c r="CJ10" i="2"/>
  <c r="CK8" i="2" a="1"/>
  <c r="CK8" i="2" s="1"/>
  <c r="CK6" i="2" a="1"/>
  <c r="CK6" i="2" s="1"/>
  <c r="CK7" i="2" a="1"/>
  <c r="CK7" i="2" s="1"/>
  <c r="CK9" i="2" a="1"/>
  <c r="CK9" i="2" s="1"/>
  <c r="DH7" i="2" a="1"/>
  <c r="DH7" i="2" s="1"/>
  <c r="DH9" i="2" a="1"/>
  <c r="DH9" i="2" s="1"/>
  <c r="DH6" i="2" a="1"/>
  <c r="DH6" i="2" s="1"/>
  <c r="DH8" i="2" a="1"/>
  <c r="DH8" i="2" s="1"/>
  <c r="CW10" i="2"/>
  <c r="CL7" i="2" a="1"/>
  <c r="CL7" i="2" s="1"/>
  <c r="CL8" i="2" a="1"/>
  <c r="CL8" i="2" s="1"/>
  <c r="CL6" i="2" a="1"/>
  <c r="CL6" i="2" s="1"/>
  <c r="CL9" i="2" a="1"/>
  <c r="CL9" i="2" s="1"/>
  <c r="BY10" i="2"/>
  <c r="BZ6" i="2" a="1"/>
  <c r="BZ6" i="2" s="1"/>
  <c r="BZ9" i="2" a="1"/>
  <c r="BZ9" i="2" s="1"/>
  <c r="BZ7" i="2" a="1"/>
  <c r="BZ7" i="2" s="1"/>
  <c r="BZ8" i="2" a="1"/>
  <c r="BZ8" i="2" s="1"/>
  <c r="CX8" i="2" a="1"/>
  <c r="CX8" i="2" s="1"/>
  <c r="CX7" i="2" a="1"/>
  <c r="CX7" i="2" s="1"/>
  <c r="CX9" i="2" a="1"/>
  <c r="CX9" i="2" s="1"/>
  <c r="CX6" i="2" a="1"/>
  <c r="CX6" i="2" s="1"/>
  <c r="BN8" i="2" a="1"/>
  <c r="BN8" i="2" s="1"/>
  <c r="BN6" i="2" a="1"/>
  <c r="BN6" i="2" s="1"/>
  <c r="BN7" i="2" a="1"/>
  <c r="BN7" i="2" s="1"/>
  <c r="BN9" i="2" a="1"/>
  <c r="BN9" i="2" s="1"/>
  <c r="BM10" i="2"/>
  <c r="BA10" i="2"/>
  <c r="BB8" i="2" a="1"/>
  <c r="BB8" i="2" s="1"/>
  <c r="BB6" i="2" a="1"/>
  <c r="BB6" i="2" s="1"/>
  <c r="BB7" i="2" a="1"/>
  <c r="BB7" i="2" s="1"/>
  <c r="BB9" i="2" a="1"/>
  <c r="BB9" i="2" s="1"/>
  <c r="AP8" i="2" a="1"/>
  <c r="AP8" i="2" s="1"/>
  <c r="AP6" i="2" a="1"/>
  <c r="AP6" i="2" s="1"/>
  <c r="AP9" i="2" a="1"/>
  <c r="AP9" i="2" s="1"/>
  <c r="AP7" i="2" a="1"/>
  <c r="AP7" i="2" s="1"/>
  <c r="AL10" i="2"/>
  <c r="BJ25" i="5" l="1"/>
  <c r="BJ18" i="5"/>
  <c r="DV14" i="6"/>
  <c r="ED14" i="6"/>
  <c r="ED10" i="6"/>
  <c r="EC14" i="6"/>
  <c r="DZ14" i="6"/>
  <c r="EA14" i="6"/>
  <c r="DX14" i="6"/>
  <c r="DT14" i="6"/>
  <c r="D10" i="6"/>
  <c r="N6" i="6"/>
  <c r="D14" i="6"/>
  <c r="D21" i="6"/>
  <c r="EK10" i="6"/>
  <c r="BU17" i="5"/>
  <c r="BV17" i="5"/>
  <c r="BP17" i="5"/>
  <c r="BO17" i="5"/>
  <c r="BM17" i="5"/>
  <c r="BS17" i="5"/>
  <c r="DB18" i="5"/>
  <c r="BH21" i="6"/>
  <c r="BH25" i="6"/>
  <c r="BH24" i="6"/>
  <c r="AU25" i="5"/>
  <c r="AU24" i="5"/>
  <c r="AP24" i="6"/>
  <c r="AP25" i="6"/>
  <c r="AP21" i="6"/>
  <c r="AJ25" i="5"/>
  <c r="AJ18" i="5"/>
  <c r="AJ24" i="5"/>
  <c r="AJ22" i="5"/>
  <c r="W24" i="6"/>
  <c r="W25" i="6"/>
  <c r="W23" i="6"/>
  <c r="AB15" i="5"/>
  <c r="AJ15" i="5"/>
  <c r="AE15" i="5"/>
  <c r="AD15" i="5"/>
  <c r="AI15" i="5"/>
  <c r="AK15" i="5"/>
  <c r="AH15" i="5"/>
  <c r="CW18" i="5"/>
  <c r="AJ23" i="5"/>
  <c r="P17" i="5"/>
  <c r="W17" i="5"/>
  <c r="V17" i="5"/>
  <c r="S17" i="5"/>
  <c r="V15" i="5"/>
  <c r="X15" i="5"/>
  <c r="Q15" i="5"/>
  <c r="Y15" i="5"/>
  <c r="T15" i="5"/>
  <c r="S15" i="5"/>
  <c r="R15" i="5"/>
  <c r="Y15" i="6"/>
  <c r="Z15" i="6"/>
  <c r="V15" i="6"/>
  <c r="Q15" i="6"/>
  <c r="U15" i="6"/>
  <c r="S15" i="6"/>
  <c r="T15" i="6"/>
  <c r="X15" i="6"/>
  <c r="W15" i="6"/>
  <c r="EN10" i="6"/>
  <c r="CH15" i="6"/>
  <c r="CG15" i="6"/>
  <c r="CB15" i="6"/>
  <c r="BY15" i="6"/>
  <c r="CE15" i="6"/>
  <c r="BZ15" i="6"/>
  <c r="CA15" i="6"/>
  <c r="CF15" i="6"/>
  <c r="AR25" i="5"/>
  <c r="AR23" i="5"/>
  <c r="AJ10" i="6"/>
  <c r="AJ21" i="6"/>
  <c r="AL6" i="6"/>
  <c r="BE17" i="5"/>
  <c r="AK24" i="5"/>
  <c r="BX17" i="5"/>
  <c r="CD17" i="5"/>
  <c r="CG17" i="5"/>
  <c r="CH17" i="5"/>
  <c r="CB17" i="5"/>
  <c r="CC17" i="5"/>
  <c r="BY17" i="5"/>
  <c r="CF17" i="5"/>
  <c r="BZ17" i="5"/>
  <c r="BO10" i="6"/>
  <c r="BJ17" i="5"/>
  <c r="Y25" i="5"/>
  <c r="Y18" i="5"/>
  <c r="AN21" i="6"/>
  <c r="AN25" i="6"/>
  <c r="H15" i="6"/>
  <c r="T24" i="6"/>
  <c r="T25" i="6"/>
  <c r="T23" i="6"/>
  <c r="T22" i="6"/>
  <c r="DN10" i="6"/>
  <c r="DR6" i="6"/>
  <c r="DI14" i="6" s="1"/>
  <c r="AQ22" i="6"/>
  <c r="AQ25" i="6"/>
  <c r="AQ24" i="6"/>
  <c r="AP23" i="6"/>
  <c r="AN24" i="6"/>
  <c r="DT15" i="6"/>
  <c r="ED15" i="6"/>
  <c r="EC15" i="6"/>
  <c r="DW15" i="6"/>
  <c r="DY15" i="6"/>
  <c r="DV15" i="6"/>
  <c r="DU15" i="6"/>
  <c r="DZ15" i="6"/>
  <c r="CO18" i="5"/>
  <c r="FA17" i="6"/>
  <c r="FB17" i="6"/>
  <c r="ES17" i="6"/>
  <c r="EX17" i="6"/>
  <c r="ET17" i="6"/>
  <c r="EY17" i="6"/>
  <c r="EZ17" i="6"/>
  <c r="EW17" i="6"/>
  <c r="EU17" i="6"/>
  <c r="DD14" i="6"/>
  <c r="DE14" i="6"/>
  <c r="DF10" i="6"/>
  <c r="DD18" i="6" s="1"/>
  <c r="DF14" i="6"/>
  <c r="DB14" i="6"/>
  <c r="DA14" i="6"/>
  <c r="CX14" i="6"/>
  <c r="CY14" i="6"/>
  <c r="CZ14" i="6"/>
  <c r="CW14" i="6"/>
  <c r="S23" i="6"/>
  <c r="S25" i="6"/>
  <c r="S22" i="6"/>
  <c r="S21" i="6"/>
  <c r="BI17" i="5"/>
  <c r="CA17" i="5"/>
  <c r="X25" i="5"/>
  <c r="X23" i="5"/>
  <c r="AQ25" i="5"/>
  <c r="AQ22" i="5"/>
  <c r="AQ23" i="5"/>
  <c r="AQ21" i="5"/>
  <c r="AZ25" i="5"/>
  <c r="AZ18" i="5"/>
  <c r="DU10" i="6"/>
  <c r="DU18" i="6" s="1"/>
  <c r="DU14" i="6"/>
  <c r="DN18" i="5"/>
  <c r="BH22" i="6"/>
  <c r="BV8" i="6"/>
  <c r="BL16" i="6" s="1"/>
  <c r="BL10" i="6"/>
  <c r="EC17" i="5"/>
  <c r="DW17" i="5"/>
  <c r="G25" i="5"/>
  <c r="AU15" i="5"/>
  <c r="AV15" i="5"/>
  <c r="AN15" i="5"/>
  <c r="AO15" i="5"/>
  <c r="AQ15" i="5"/>
  <c r="AS15" i="5"/>
  <c r="L25" i="5"/>
  <c r="BY16" i="5"/>
  <c r="CE16" i="5"/>
  <c r="CT16" i="5"/>
  <c r="CN16" i="5"/>
  <c r="CM16" i="5"/>
  <c r="CR16" i="5"/>
  <c r="CS16" i="5"/>
  <c r="CO16" i="5"/>
  <c r="CK16" i="5"/>
  <c r="CP16" i="5"/>
  <c r="CJ16" i="5"/>
  <c r="AD25" i="5"/>
  <c r="H24" i="6"/>
  <c r="H25" i="6"/>
  <c r="H21" i="6"/>
  <c r="H23" i="6"/>
  <c r="Q25" i="6"/>
  <c r="Q23" i="6"/>
  <c r="Q24" i="6"/>
  <c r="Q22" i="6"/>
  <c r="Q21" i="6"/>
  <c r="AO25" i="6"/>
  <c r="AO23" i="6"/>
  <c r="AO21" i="6"/>
  <c r="BZ14" i="6"/>
  <c r="CH14" i="6"/>
  <c r="CH10" i="6"/>
  <c r="CG14" i="6"/>
  <c r="CF14" i="6"/>
  <c r="BY14" i="6"/>
  <c r="CC14" i="6"/>
  <c r="CE14" i="6"/>
  <c r="DJ17" i="6"/>
  <c r="DR9" i="6"/>
  <c r="CL15" i="6"/>
  <c r="AZ24" i="6"/>
  <c r="AZ25" i="6"/>
  <c r="AZ22" i="6"/>
  <c r="AZ21" i="6"/>
  <c r="CM16" i="6"/>
  <c r="CT16" i="6"/>
  <c r="CS16" i="6"/>
  <c r="CR16" i="6"/>
  <c r="CQ16" i="6"/>
  <c r="CK16" i="6"/>
  <c r="CJ16" i="6"/>
  <c r="BH16" i="6"/>
  <c r="BJ16" i="6"/>
  <c r="BI16" i="6"/>
  <c r="BD16" i="6"/>
  <c r="BC16" i="6"/>
  <c r="BG16" i="6"/>
  <c r="BF16" i="6"/>
  <c r="BN17" i="5"/>
  <c r="BL17" i="5"/>
  <c r="CE17" i="5"/>
  <c r="EW16" i="5"/>
  <c r="V25" i="5"/>
  <c r="V18" i="5"/>
  <c r="S25" i="5"/>
  <c r="S21" i="5"/>
  <c r="AJ21" i="5"/>
  <c r="W25" i="5"/>
  <c r="W23" i="5"/>
  <c r="BH23" i="6"/>
  <c r="S24" i="6"/>
  <c r="ED16" i="6"/>
  <c r="EC16" i="6"/>
  <c r="DU16" i="6"/>
  <c r="DY16" i="6"/>
  <c r="EB16" i="6"/>
  <c r="DX16" i="6"/>
  <c r="DW16" i="6"/>
  <c r="BV15" i="6"/>
  <c r="BU15" i="6"/>
  <c r="BO15" i="6"/>
  <c r="BQ15" i="6"/>
  <c r="BR15" i="6"/>
  <c r="BT15" i="6"/>
  <c r="BN15" i="6"/>
  <c r="BL15" i="6"/>
  <c r="ET15" i="6"/>
  <c r="FB7" i="6"/>
  <c r="BX18" i="6"/>
  <c r="BS15" i="6"/>
  <c r="AQ23" i="6"/>
  <c r="EJ15" i="6"/>
  <c r="EP7" i="6"/>
  <c r="EJ10" i="6"/>
  <c r="DV16" i="6"/>
  <c r="DV10" i="6"/>
  <c r="DV18" i="6" s="1"/>
  <c r="AT25" i="5"/>
  <c r="AT18" i="5"/>
  <c r="AT24" i="5"/>
  <c r="AT23" i="5"/>
  <c r="AT21" i="5"/>
  <c r="AU21" i="6"/>
  <c r="AU25" i="6"/>
  <c r="AU23" i="6"/>
  <c r="AU24" i="6"/>
  <c r="I15" i="6"/>
  <c r="N15" i="6"/>
  <c r="M15" i="6"/>
  <c r="G15" i="6"/>
  <c r="F15" i="6"/>
  <c r="K15" i="6"/>
  <c r="J15" i="6"/>
  <c r="L15" i="6"/>
  <c r="BB17" i="5"/>
  <c r="BC17" i="5"/>
  <c r="AZ17" i="5"/>
  <c r="BH17" i="5"/>
  <c r="CE15" i="5"/>
  <c r="CD15" i="5"/>
  <c r="CA15" i="5"/>
  <c r="CH15" i="5"/>
  <c r="BY15" i="5"/>
  <c r="AS14" i="5"/>
  <c r="AT14" i="5"/>
  <c r="AG23" i="6"/>
  <c r="AG25" i="6"/>
  <c r="AG21" i="6"/>
  <c r="AG24" i="6"/>
  <c r="AG22" i="6"/>
  <c r="BA14" i="6"/>
  <c r="BJ10" i="6"/>
  <c r="BJ14" i="6"/>
  <c r="BI14" i="6"/>
  <c r="BJ21" i="6"/>
  <c r="BC14" i="6"/>
  <c r="BE14" i="6"/>
  <c r="BF14" i="6"/>
  <c r="BD14" i="6"/>
  <c r="BG14" i="6"/>
  <c r="BH14" i="6"/>
  <c r="CB15" i="5"/>
  <c r="CX16" i="5"/>
  <c r="DF16" i="5"/>
  <c r="CV16" i="5"/>
  <c r="CF16" i="6"/>
  <c r="CH16" i="6"/>
  <c r="CG16" i="6"/>
  <c r="CC16" i="6"/>
  <c r="BY16" i="6"/>
  <c r="CA16" i="6"/>
  <c r="CB16" i="6"/>
  <c r="CD16" i="6"/>
  <c r="K22" i="6"/>
  <c r="K25" i="6"/>
  <c r="K23" i="6"/>
  <c r="K21" i="6"/>
  <c r="BU17" i="6"/>
  <c r="BV17" i="6"/>
  <c r="BP17" i="6"/>
  <c r="BS17" i="6"/>
  <c r="BM17" i="6"/>
  <c r="BO17" i="6"/>
  <c r="BN17" i="6"/>
  <c r="BT17" i="6"/>
  <c r="BR17" i="6"/>
  <c r="AU22" i="6"/>
  <c r="ET18" i="5"/>
  <c r="DX18" i="6"/>
  <c r="Y16" i="6"/>
  <c r="Z16" i="6"/>
  <c r="W16" i="6"/>
  <c r="V16" i="6"/>
  <c r="X16" i="6"/>
  <c r="T16" i="6"/>
  <c r="U16" i="6"/>
  <c r="R16" i="6"/>
  <c r="Q16" i="6"/>
  <c r="CV14" i="5"/>
  <c r="DB14" i="5"/>
  <c r="CY14" i="5"/>
  <c r="DD14" i="5"/>
  <c r="DY10" i="6"/>
  <c r="DY18" i="6" s="1"/>
  <c r="DY14" i="6"/>
  <c r="DA14" i="5"/>
  <c r="H25" i="5"/>
  <c r="H18" i="5"/>
  <c r="AK25" i="5"/>
  <c r="AK18" i="5"/>
  <c r="AK23" i="5"/>
  <c r="AK21" i="5"/>
  <c r="X21" i="6"/>
  <c r="X25" i="6"/>
  <c r="X23" i="6"/>
  <c r="X24" i="6"/>
  <c r="X22" i="6"/>
  <c r="EB15" i="6"/>
  <c r="DF14" i="5"/>
  <c r="BQ10" i="6"/>
  <c r="BQ14" i="6"/>
  <c r="BT17" i="5"/>
  <c r="I25" i="5"/>
  <c r="I18" i="5"/>
  <c r="AU21" i="5"/>
  <c r="EG15" i="5"/>
  <c r="CD16" i="5"/>
  <c r="BV6" i="6"/>
  <c r="BL17" i="6"/>
  <c r="CV15" i="6"/>
  <c r="DF15" i="6"/>
  <c r="DE15" i="6"/>
  <c r="CX15" i="6"/>
  <c r="DA15" i="6"/>
  <c r="CZ15" i="6"/>
  <c r="DD15" i="6"/>
  <c r="AN22" i="6"/>
  <c r="DW10" i="6"/>
  <c r="DW18" i="6" s="1"/>
  <c r="DW14" i="6"/>
  <c r="BU14" i="5"/>
  <c r="BG17" i="5"/>
  <c r="EJ15" i="5"/>
  <c r="BD15" i="5"/>
  <c r="BI15" i="5"/>
  <c r="BA15" i="5"/>
  <c r="CO15" i="6"/>
  <c r="CS15" i="6"/>
  <c r="CT15" i="6"/>
  <c r="CP15" i="6"/>
  <c r="CQ15" i="6"/>
  <c r="CN15" i="6"/>
  <c r="ES16" i="6"/>
  <c r="FB16" i="6"/>
  <c r="FA16" i="6"/>
  <c r="EW16" i="6"/>
  <c r="EU16" i="6"/>
  <c r="EY16" i="6"/>
  <c r="ER16" i="6"/>
  <c r="EZ16" i="6"/>
  <c r="EV16" i="6"/>
  <c r="D15" i="6"/>
  <c r="BP18" i="5"/>
  <c r="CY18" i="5"/>
  <c r="BY18" i="6"/>
  <c r="BC24" i="6"/>
  <c r="BC25" i="6"/>
  <c r="BC18" i="6"/>
  <c r="AC17" i="6"/>
  <c r="AK17" i="6"/>
  <c r="AL17" i="6"/>
  <c r="EJ17" i="5"/>
  <c r="EP17" i="5"/>
  <c r="D25" i="5"/>
  <c r="DA18" i="5"/>
  <c r="E24" i="5"/>
  <c r="CT10" i="5"/>
  <c r="CL18" i="5" s="1"/>
  <c r="K22" i="5"/>
  <c r="Q25" i="5"/>
  <c r="Q18" i="5"/>
  <c r="AE25" i="5"/>
  <c r="AE18" i="5"/>
  <c r="Q23" i="5"/>
  <c r="BA25" i="5"/>
  <c r="BA18" i="5"/>
  <c r="AP25" i="5"/>
  <c r="H17" i="6"/>
  <c r="P22" i="6"/>
  <c r="AT17" i="6"/>
  <c r="AH23" i="6"/>
  <c r="AV22" i="6"/>
  <c r="AV18" i="6"/>
  <c r="AV25" i="6"/>
  <c r="DB17" i="6"/>
  <c r="G16" i="6"/>
  <c r="EI17" i="6"/>
  <c r="S14" i="6"/>
  <c r="EL17" i="6"/>
  <c r="J23" i="6"/>
  <c r="F25" i="6"/>
  <c r="DW17" i="6"/>
  <c r="J24" i="6"/>
  <c r="DR10" i="5"/>
  <c r="DP18" i="5" s="1"/>
  <c r="EG18" i="5"/>
  <c r="BH25" i="5"/>
  <c r="BH18" i="5"/>
  <c r="DF16" i="6"/>
  <c r="DE16" i="6"/>
  <c r="J17" i="6"/>
  <c r="N17" i="6"/>
  <c r="M17" i="6"/>
  <c r="AI22" i="6"/>
  <c r="AI25" i="6"/>
  <c r="AT25" i="6"/>
  <c r="AT18" i="6"/>
  <c r="BH17" i="6"/>
  <c r="BI17" i="6"/>
  <c r="BJ17" i="6"/>
  <c r="BG17" i="6"/>
  <c r="AH17" i="6"/>
  <c r="M16" i="6"/>
  <c r="N16" i="6"/>
  <c r="CD18" i="6"/>
  <c r="EM15" i="6"/>
  <c r="AO17" i="6"/>
  <c r="AW17" i="6"/>
  <c r="AX17" i="6"/>
  <c r="AX24" i="6"/>
  <c r="CR10" i="6"/>
  <c r="DM17" i="5"/>
  <c r="L16" i="5"/>
  <c r="DJ17" i="5"/>
  <c r="AF25" i="5"/>
  <c r="AF18" i="5"/>
  <c r="J25" i="5"/>
  <c r="BI25" i="5"/>
  <c r="BI18" i="5"/>
  <c r="AV25" i="5"/>
  <c r="BE25" i="5"/>
  <c r="BE18" i="5"/>
  <c r="BH24" i="5"/>
  <c r="CF18" i="6"/>
  <c r="CZ18" i="6"/>
  <c r="CC18" i="6"/>
  <c r="BG21" i="6"/>
  <c r="BG25" i="6"/>
  <c r="BG23" i="6"/>
  <c r="AR21" i="6"/>
  <c r="AR25" i="6"/>
  <c r="BG24" i="6"/>
  <c r="CE16" i="6"/>
  <c r="AS16" i="6"/>
  <c r="AW16" i="6"/>
  <c r="AX16" i="6"/>
  <c r="AJ17" i="6"/>
  <c r="AO15" i="6"/>
  <c r="AX15" i="6"/>
  <c r="AW15" i="6"/>
  <c r="AX22" i="6"/>
  <c r="BC23" i="6"/>
  <c r="AR15" i="6"/>
  <c r="DK17" i="5"/>
  <c r="EK14" i="5"/>
  <c r="EG17" i="5"/>
  <c r="EI17" i="5"/>
  <c r="AH22" i="5"/>
  <c r="AH21" i="5"/>
  <c r="R25" i="5"/>
  <c r="AV23" i="5"/>
  <c r="BF25" i="5"/>
  <c r="BF18" i="5"/>
  <c r="DR8" i="6"/>
  <c r="DH16" i="6"/>
  <c r="AB21" i="6"/>
  <c r="AB25" i="6"/>
  <c r="R14" i="6"/>
  <c r="AV17" i="6"/>
  <c r="L22" i="6"/>
  <c r="BH15" i="6"/>
  <c r="BI15" i="6"/>
  <c r="BJ15" i="6"/>
  <c r="BD17" i="6"/>
  <c r="AD23" i="6"/>
  <c r="AD25" i="6"/>
  <c r="AC15" i="6"/>
  <c r="AF21" i="6"/>
  <c r="CB10" i="6"/>
  <c r="CB18" i="6" s="1"/>
  <c r="CB14" i="6"/>
  <c r="AD24" i="6"/>
  <c r="CX17" i="6"/>
  <c r="CE18" i="5"/>
  <c r="AC23" i="6"/>
  <c r="AI15" i="6"/>
  <c r="F17" i="6"/>
  <c r="AR22" i="6"/>
  <c r="BT18" i="5"/>
  <c r="FA18" i="5"/>
  <c r="DL17" i="5"/>
  <c r="DO17" i="5"/>
  <c r="BH23" i="5"/>
  <c r="M25" i="5"/>
  <c r="K25" i="5"/>
  <c r="BD25" i="5"/>
  <c r="BD18" i="5"/>
  <c r="AG17" i="6"/>
  <c r="J22" i="6"/>
  <c r="J25" i="6"/>
  <c r="R25" i="6"/>
  <c r="CE10" i="6"/>
  <c r="CE18" i="6" s="1"/>
  <c r="CT9" i="6"/>
  <c r="CL17" i="6" s="1"/>
  <c r="AT15" i="6"/>
  <c r="AF17" i="6"/>
  <c r="V23" i="6"/>
  <c r="V25" i="6"/>
  <c r="AF25" i="6"/>
  <c r="AH24" i="6"/>
  <c r="AH25" i="6"/>
  <c r="EM10" i="6"/>
  <c r="CM15" i="6"/>
  <c r="U10" i="6"/>
  <c r="U14" i="6"/>
  <c r="U25" i="5"/>
  <c r="EF10" i="6"/>
  <c r="EP6" i="6"/>
  <c r="G24" i="6"/>
  <c r="G25" i="6"/>
  <c r="AD17" i="6"/>
  <c r="AV23" i="6"/>
  <c r="EY10" i="6"/>
  <c r="AQ15" i="6"/>
  <c r="CA17" i="6"/>
  <c r="CG17" i="6"/>
  <c r="CH17" i="6"/>
  <c r="I25" i="6"/>
  <c r="BD24" i="6"/>
  <c r="BD25" i="6"/>
  <c r="BD18" i="6"/>
  <c r="BF22" i="6"/>
  <c r="BF25" i="6"/>
  <c r="BF18" i="6"/>
  <c r="W17" i="6"/>
  <c r="DZ18" i="6"/>
  <c r="E25" i="5"/>
  <c r="AC25" i="5"/>
  <c r="AC18" i="5"/>
  <c r="P25" i="5"/>
  <c r="P18" i="5"/>
  <c r="AI24" i="5"/>
  <c r="EU18" i="5"/>
  <c r="EK17" i="6"/>
  <c r="BB17" i="6"/>
  <c r="CT6" i="6"/>
  <c r="CR14" i="6" s="1"/>
  <c r="BB10" i="6"/>
  <c r="BB14" i="6"/>
  <c r="AO16" i="6"/>
  <c r="AB15" i="6"/>
  <c r="AT22" i="6"/>
  <c r="AB23" i="6"/>
  <c r="AF24" i="6"/>
  <c r="P17" i="6"/>
  <c r="CM18" i="5"/>
  <c r="DC15" i="6"/>
  <c r="L24" i="6"/>
  <c r="AV16" i="6"/>
  <c r="EY18" i="5"/>
  <c r="DD17" i="6"/>
  <c r="F16" i="6"/>
  <c r="EB10" i="6"/>
  <c r="EB18" i="6" s="1"/>
  <c r="EB14" i="6"/>
  <c r="AS24" i="6"/>
  <c r="DX15" i="6"/>
  <c r="F22" i="6"/>
  <c r="EV10" i="6"/>
  <c r="BT10" i="6"/>
  <c r="BE25" i="6"/>
  <c r="BE18" i="6"/>
  <c r="AF22" i="6"/>
  <c r="EF17" i="5"/>
  <c r="AB25" i="5"/>
  <c r="AH25" i="5"/>
  <c r="AH18" i="5"/>
  <c r="CZ18" i="5"/>
  <c r="F25" i="5"/>
  <c r="F18" i="5"/>
  <c r="AB23" i="5"/>
  <c r="AS25" i="5"/>
  <c r="AS18" i="5"/>
  <c r="T25" i="5"/>
  <c r="T18" i="5"/>
  <c r="DH17" i="5"/>
  <c r="AW25" i="5"/>
  <c r="CV17" i="6"/>
  <c r="BB25" i="5"/>
  <c r="BB18" i="5"/>
  <c r="BZ18" i="6"/>
  <c r="AB22" i="6"/>
  <c r="AQ17" i="6"/>
  <c r="EA18" i="6"/>
  <c r="P24" i="6"/>
  <c r="DC16" i="6"/>
  <c r="DH15" i="6"/>
  <c r="DR15" i="6"/>
  <c r="DQ15" i="6"/>
  <c r="DC18" i="5"/>
  <c r="L17" i="6"/>
  <c r="DL15" i="6"/>
  <c r="AS22" i="6"/>
  <c r="BR18" i="5"/>
  <c r="BD23" i="6"/>
  <c r="F23" i="6"/>
  <c r="AS17" i="6"/>
  <c r="V24" i="6"/>
  <c r="AS14" i="6"/>
  <c r="BG25" i="5"/>
  <c r="BG18" i="5"/>
  <c r="BC22" i="5"/>
  <c r="DQ17" i="5"/>
  <c r="AI25" i="5"/>
  <c r="AI18" i="5"/>
  <c r="AO25" i="5"/>
  <c r="P23" i="5"/>
  <c r="CW17" i="6"/>
  <c r="DE17" i="6"/>
  <c r="DF17" i="6"/>
  <c r="AK15" i="6"/>
  <c r="AL15" i="6"/>
  <c r="E23" i="6"/>
  <c r="E25" i="6"/>
  <c r="AE16" i="6"/>
  <c r="AK16" i="6"/>
  <c r="AL16" i="6"/>
  <c r="V17" i="6"/>
  <c r="Z17" i="6"/>
  <c r="Y17" i="6"/>
  <c r="Z24" i="6"/>
  <c r="AE24" i="6"/>
  <c r="AE25" i="6"/>
  <c r="P21" i="6"/>
  <c r="ER10" i="6"/>
  <c r="FB6" i="6"/>
  <c r="ER14" i="6" s="1"/>
  <c r="EM17" i="6"/>
  <c r="DI10" i="6"/>
  <c r="EP8" i="6"/>
  <c r="EF16" i="6"/>
  <c r="EC17" i="6"/>
  <c r="ED17" i="6"/>
  <c r="AS15" i="6"/>
  <c r="AE17" i="6"/>
  <c r="DZ17" i="6"/>
  <c r="BC21" i="6"/>
  <c r="V22" i="6"/>
  <c r="AR24" i="6"/>
  <c r="CB17" i="6"/>
  <c r="AB17" i="6"/>
  <c r="EL17" i="5"/>
  <c r="CP18" i="5"/>
  <c r="BC25" i="5"/>
  <c r="BC18" i="5"/>
  <c r="ED10" i="5"/>
  <c r="ED18" i="5" s="1"/>
  <c r="CF18" i="5"/>
  <c r="AN25" i="5"/>
  <c r="DD16" i="6"/>
  <c r="E17" i="6"/>
  <c r="CL10" i="6"/>
  <c r="AV14" i="6"/>
  <c r="AX14" i="6"/>
  <c r="AX10" i="6"/>
  <c r="AW14" i="6"/>
  <c r="AX21" i="6"/>
  <c r="BC17" i="6"/>
  <c r="DA18" i="6"/>
  <c r="AC21" i="6"/>
  <c r="AC25" i="6"/>
  <c r="EX16" i="6"/>
  <c r="AV15" i="6"/>
  <c r="CC15" i="6"/>
  <c r="BP15" i="6"/>
  <c r="DI17" i="6"/>
  <c r="V14" i="6"/>
  <c r="Y14" i="6"/>
  <c r="Z14" i="6"/>
  <c r="Z10" i="6"/>
  <c r="Q18" i="6" s="1"/>
  <c r="Z21" i="6"/>
  <c r="ER18" i="5"/>
  <c r="CY15" i="6"/>
  <c r="EP17" i="6"/>
  <c r="EO17" i="6"/>
  <c r="K16" i="6"/>
  <c r="AR17" i="6"/>
  <c r="BG22" i="6"/>
  <c r="AB24" i="6"/>
  <c r="AS23" i="6"/>
  <c r="AS25" i="6"/>
  <c r="AS18" i="6"/>
  <c r="CA10" i="6"/>
  <c r="CA18" i="6" s="1"/>
  <c r="CA14" i="6"/>
  <c r="L23" i="6"/>
  <c r="L25" i="6"/>
  <c r="BV16" i="5"/>
  <c r="H15" i="5"/>
  <c r="H22" i="5"/>
  <c r="H23" i="5"/>
  <c r="BR14" i="5"/>
  <c r="BL14" i="5"/>
  <c r="BM14" i="5"/>
  <c r="BP14" i="5"/>
  <c r="E16" i="5"/>
  <c r="I16" i="5"/>
  <c r="G21" i="5"/>
  <c r="T22" i="5"/>
  <c r="BD21" i="5"/>
  <c r="CO15" i="5"/>
  <c r="K14" i="5"/>
  <c r="N21" i="5"/>
  <c r="BF24" i="5"/>
  <c r="V21" i="5"/>
  <c r="BI24" i="5"/>
  <c r="T16" i="5"/>
  <c r="U15" i="5"/>
  <c r="I15" i="5"/>
  <c r="AK17" i="5"/>
  <c r="W15" i="5"/>
  <c r="T17" i="5"/>
  <c r="CQ15" i="5"/>
  <c r="EO15" i="5"/>
  <c r="P15" i="5"/>
  <c r="X16" i="5"/>
  <c r="L22" i="5"/>
  <c r="L23" i="5"/>
  <c r="BG23" i="5"/>
  <c r="AP15" i="5"/>
  <c r="AT15" i="5"/>
  <c r="AD23" i="5"/>
  <c r="CH16" i="5"/>
  <c r="BX16" i="5"/>
  <c r="CC16" i="5"/>
  <c r="BZ16" i="5"/>
  <c r="CG16" i="5"/>
  <c r="J22" i="5"/>
  <c r="BD22" i="5"/>
  <c r="BA21" i="5"/>
  <c r="CA14" i="5"/>
  <c r="CE14" i="5"/>
  <c r="CF14" i="5"/>
  <c r="CG14" i="5"/>
  <c r="BY14" i="5"/>
  <c r="CC14" i="5"/>
  <c r="R23" i="5"/>
  <c r="CL15" i="5"/>
  <c r="ED17" i="5"/>
  <c r="H16" i="5"/>
  <c r="R16" i="5"/>
  <c r="AV22" i="5"/>
  <c r="BD23" i="5"/>
  <c r="V22" i="5"/>
  <c r="AQ14" i="5"/>
  <c r="AP14" i="5"/>
  <c r="AN14" i="5"/>
  <c r="J15" i="5"/>
  <c r="K16" i="5"/>
  <c r="H17" i="5"/>
  <c r="CM15" i="5"/>
  <c r="Z17" i="5"/>
  <c r="CP15" i="5"/>
  <c r="BC16" i="5"/>
  <c r="BJ23" i="5"/>
  <c r="Q16" i="5"/>
  <c r="AR21" i="5"/>
  <c r="AF24" i="5"/>
  <c r="BG24" i="5"/>
  <c r="M16" i="5"/>
  <c r="AS22" i="5"/>
  <c r="AD16" i="5"/>
  <c r="AK16" i="5"/>
  <c r="K21" i="5"/>
  <c r="L24" i="5"/>
  <c r="BC21" i="5"/>
  <c r="BA22" i="5"/>
  <c r="Y22" i="5"/>
  <c r="BP15" i="5"/>
  <c r="BV10" i="5"/>
  <c r="BO18" i="5" s="1"/>
  <c r="Z15" i="5"/>
  <c r="DC16" i="5"/>
  <c r="AD17" i="5"/>
  <c r="ET17" i="5"/>
  <c r="DF10" i="5"/>
  <c r="DD16" i="5"/>
  <c r="BQ15" i="5"/>
  <c r="Y16" i="5"/>
  <c r="H24" i="5"/>
  <c r="Y21" i="5"/>
  <c r="BD24" i="5"/>
  <c r="R14" i="5"/>
  <c r="Z21" i="5"/>
  <c r="Y14" i="5"/>
  <c r="W14" i="5"/>
  <c r="S14" i="5"/>
  <c r="BG22" i="5"/>
  <c r="M21" i="5"/>
  <c r="DC14" i="5"/>
  <c r="DE14" i="5"/>
  <c r="CW14" i="5"/>
  <c r="CZ14" i="5"/>
  <c r="BF23" i="5"/>
  <c r="R24" i="5"/>
  <c r="BE21" i="5"/>
  <c r="EP15" i="5"/>
  <c r="EF15" i="5"/>
  <c r="EN15" i="5"/>
  <c r="AV16" i="5"/>
  <c r="AX23" i="5"/>
  <c r="CT15" i="5"/>
  <c r="T23" i="5"/>
  <c r="U16" i="5"/>
  <c r="AH17" i="5"/>
  <c r="P16" i="5"/>
  <c r="R17" i="5"/>
  <c r="Q17" i="5"/>
  <c r="H21" i="5"/>
  <c r="AU14" i="5"/>
  <c r="EA14" i="5"/>
  <c r="BT15" i="5"/>
  <c r="BV14" i="5"/>
  <c r="AT16" i="5"/>
  <c r="ER17" i="5"/>
  <c r="CK15" i="5"/>
  <c r="M14" i="5"/>
  <c r="CY16" i="5"/>
  <c r="BO15" i="5"/>
  <c r="V16" i="5"/>
  <c r="I23" i="5"/>
  <c r="M22" i="5"/>
  <c r="S24" i="5"/>
  <c r="AN22" i="5"/>
  <c r="AR22" i="5"/>
  <c r="AE24" i="5"/>
  <c r="L21" i="5"/>
  <c r="AO14" i="5"/>
  <c r="AB24" i="5"/>
  <c r="AZ23" i="5"/>
  <c r="BS16" i="5"/>
  <c r="BQ16" i="5"/>
  <c r="BP16" i="5"/>
  <c r="BM16" i="5"/>
  <c r="BH14" i="5"/>
  <c r="BJ21" i="5"/>
  <c r="BB14" i="5"/>
  <c r="BF14" i="5"/>
  <c r="BI14" i="5"/>
  <c r="BC14" i="5"/>
  <c r="L17" i="5"/>
  <c r="N24" i="5"/>
  <c r="I21" i="5"/>
  <c r="AN24" i="5"/>
  <c r="BO16" i="5"/>
  <c r="DZ14" i="5"/>
  <c r="BN15" i="5"/>
  <c r="Z10" i="5"/>
  <c r="AO16" i="5"/>
  <c r="AW16" i="5"/>
  <c r="BM15" i="5"/>
  <c r="AP16" i="5"/>
  <c r="DB16" i="5"/>
  <c r="I22" i="5"/>
  <c r="W21" i="5"/>
  <c r="Y24" i="5"/>
  <c r="T21" i="5"/>
  <c r="AR24" i="5"/>
  <c r="AD24" i="5"/>
  <c r="AF21" i="5"/>
  <c r="BI23" i="5"/>
  <c r="AS21" i="5"/>
  <c r="AF23" i="5"/>
  <c r="CR15" i="5"/>
  <c r="CJ15" i="5"/>
  <c r="CN15" i="5"/>
  <c r="EA17" i="5"/>
  <c r="AJ17" i="5"/>
  <c r="BS15" i="5"/>
  <c r="BS14" i="5"/>
  <c r="EP10" i="5"/>
  <c r="EP18" i="5" s="1"/>
  <c r="CW16" i="5"/>
  <c r="AE23" i="5"/>
  <c r="AE22" i="5"/>
  <c r="V24" i="5"/>
  <c r="AZ21" i="5"/>
  <c r="DY17" i="5"/>
  <c r="ED14" i="5"/>
  <c r="AG17" i="5"/>
  <c r="BV15" i="5"/>
  <c r="AZ14" i="5"/>
  <c r="AU16" i="5"/>
  <c r="BT14" i="5"/>
  <c r="CS15" i="5"/>
  <c r="BL15" i="5"/>
  <c r="D16" i="5"/>
  <c r="AW14" i="5"/>
  <c r="AQ16" i="5"/>
  <c r="DE16" i="5"/>
  <c r="BU15" i="5"/>
  <c r="Z16" i="5"/>
  <c r="X21" i="5"/>
  <c r="AR14" i="5"/>
  <c r="AU23" i="5"/>
  <c r="G23" i="5"/>
  <c r="Y23" i="5"/>
  <c r="AV24" i="5"/>
  <c r="AP22" i="5"/>
  <c r="I24" i="5"/>
  <c r="BI21" i="5"/>
  <c r="BF22" i="5"/>
  <c r="F21" i="5"/>
  <c r="X17" i="5"/>
  <c r="G22" i="5"/>
  <c r="BB15" i="5"/>
  <c r="BJ22" i="5"/>
  <c r="BC15" i="5"/>
  <c r="BE15" i="5"/>
  <c r="BA17" i="5"/>
  <c r="BJ24" i="5"/>
  <c r="BD17" i="5"/>
  <c r="BF17" i="5"/>
  <c r="D21" i="5"/>
  <c r="J24" i="5"/>
  <c r="J16" i="5"/>
  <c r="CA16" i="5"/>
  <c r="BR16" i="5"/>
  <c r="BG14" i="5"/>
  <c r="AS16" i="5"/>
  <c r="J14" i="5"/>
  <c r="BQ14" i="5"/>
  <c r="AX10" i="5"/>
  <c r="AU18" i="5" s="1"/>
  <c r="G14" i="5"/>
  <c r="AL10" i="5"/>
  <c r="AB18" i="5" s="1"/>
  <c r="BN16" i="5"/>
  <c r="U17" i="5"/>
  <c r="M23" i="5"/>
  <c r="AU22" i="5"/>
  <c r="BG21" i="5"/>
  <c r="AC22" i="5"/>
  <c r="AN23" i="5"/>
  <c r="W24" i="5"/>
  <c r="BA23" i="5"/>
  <c r="AZ22" i="5"/>
  <c r="AZ24" i="5"/>
  <c r="CL16" i="5"/>
  <c r="CQ16" i="5"/>
  <c r="J23" i="5"/>
  <c r="DA16" i="5"/>
  <c r="AB14" i="5"/>
  <c r="BT16" i="5"/>
  <c r="M17" i="5"/>
  <c r="AF14" i="5"/>
  <c r="BE14" i="5"/>
  <c r="CZ16" i="5"/>
  <c r="AX16" i="5"/>
  <c r="I17" i="5"/>
  <c r="K15" i="5"/>
  <c r="G16" i="5"/>
  <c r="AX14" i="5"/>
  <c r="AN16" i="5"/>
  <c r="BO14" i="5"/>
  <c r="F14" i="5"/>
  <c r="EI15" i="5"/>
  <c r="AC14" i="5"/>
  <c r="BU16" i="5"/>
  <c r="AB21" i="5"/>
  <c r="AT22" i="5"/>
  <c r="AV21" i="5"/>
  <c r="AB22" i="5"/>
  <c r="W22" i="5"/>
  <c r="T24" i="5"/>
  <c r="S22" i="5"/>
  <c r="EL15" i="5"/>
  <c r="AH24" i="5"/>
  <c r="X24" i="5"/>
  <c r="BQ17" i="5"/>
  <c r="BR17" i="5"/>
  <c r="AF22" i="5"/>
  <c r="AD21" i="5"/>
  <c r="CF16" i="5"/>
  <c r="BJ16" i="4"/>
  <c r="BI16" i="4"/>
  <c r="BD16" i="4"/>
  <c r="AZ16" i="4"/>
  <c r="BG16" i="4"/>
  <c r="BF16" i="4"/>
  <c r="W15" i="4"/>
  <c r="AF15" i="4"/>
  <c r="DX15" i="4"/>
  <c r="EC15" i="4"/>
  <c r="F17" i="5"/>
  <c r="G15" i="5"/>
  <c r="N14" i="5"/>
  <c r="M14" i="2"/>
  <c r="G14" i="2"/>
  <c r="EL14" i="5"/>
  <c r="EO14" i="5"/>
  <c r="EH14" i="5"/>
  <c r="EI14" i="5"/>
  <c r="EN14" i="5"/>
  <c r="S14" i="2"/>
  <c r="AL15" i="4"/>
  <c r="AJ15" i="4"/>
  <c r="AH15" i="4"/>
  <c r="AK15" i="4"/>
  <c r="AC15" i="4"/>
  <c r="AI15" i="4"/>
  <c r="ED15" i="4"/>
  <c r="AU14" i="4"/>
  <c r="DX14" i="4"/>
  <c r="N15" i="5"/>
  <c r="H14" i="5"/>
  <c r="CF15" i="5"/>
  <c r="I14" i="5"/>
  <c r="AC15" i="5"/>
  <c r="J17" i="5"/>
  <c r="N10" i="5"/>
  <c r="L18" i="5" s="1"/>
  <c r="AC14" i="2"/>
  <c r="U14" i="2"/>
  <c r="AE15" i="4"/>
  <c r="X14" i="2"/>
  <c r="AX15" i="4"/>
  <c r="AN15" i="4"/>
  <c r="AP15" i="4"/>
  <c r="AO15" i="4"/>
  <c r="AU15" i="4"/>
  <c r="AQ15" i="4"/>
  <c r="AT15" i="4"/>
  <c r="AS15" i="4"/>
  <c r="BX17" i="4"/>
  <c r="CE17" i="4"/>
  <c r="CA17" i="4"/>
  <c r="CH17" i="4"/>
  <c r="CC17" i="4"/>
  <c r="BZ17" i="4"/>
  <c r="CF17" i="4"/>
  <c r="CG17" i="4"/>
  <c r="CB17" i="4"/>
  <c r="CD17" i="4"/>
  <c r="DX14" i="5"/>
  <c r="EC14" i="5"/>
  <c r="DU14" i="5"/>
  <c r="DW14" i="5"/>
  <c r="DT14" i="5"/>
  <c r="DV14" i="5"/>
  <c r="BH16" i="4"/>
  <c r="AO17" i="5"/>
  <c r="AT17" i="5"/>
  <c r="AQ17" i="5"/>
  <c r="AR17" i="5"/>
  <c r="AW17" i="5"/>
  <c r="AX17" i="5"/>
  <c r="AV17" i="5"/>
  <c r="AU17" i="5"/>
  <c r="AP17" i="5"/>
  <c r="AN17" i="5"/>
  <c r="ET15" i="5"/>
  <c r="ER15" i="5"/>
  <c r="FB15" i="5"/>
  <c r="EX15" i="5"/>
  <c r="EU15" i="5"/>
  <c r="EW15" i="5"/>
  <c r="EV15" i="5"/>
  <c r="EY15" i="5"/>
  <c r="ES15" i="5"/>
  <c r="EZ15" i="5"/>
  <c r="CH15" i="4"/>
  <c r="BX15" i="4"/>
  <c r="BZ15" i="4"/>
  <c r="CD15" i="4"/>
  <c r="CA15" i="4"/>
  <c r="CB15" i="4"/>
  <c r="DF16" i="4"/>
  <c r="CZ16" i="4"/>
  <c r="DD16" i="4"/>
  <c r="CV16" i="4"/>
  <c r="CX16" i="4"/>
  <c r="DE16" i="4"/>
  <c r="AI14" i="4"/>
  <c r="AD14" i="4"/>
  <c r="AG14" i="4"/>
  <c r="AJ14" i="2"/>
  <c r="BG14" i="4"/>
  <c r="BI14" i="4"/>
  <c r="BA14" i="4"/>
  <c r="AZ14" i="4"/>
  <c r="BE14" i="4"/>
  <c r="BF14" i="4"/>
  <c r="BC14" i="4"/>
  <c r="BD14" i="4"/>
  <c r="CF15" i="4"/>
  <c r="N14" i="2"/>
  <c r="H14" i="2"/>
  <c r="DZ15" i="4"/>
  <c r="BY15" i="4"/>
  <c r="DT15" i="4"/>
  <c r="DY15" i="4"/>
  <c r="EB14" i="5"/>
  <c r="CC15" i="5"/>
  <c r="EC16" i="5"/>
  <c r="AZ16" i="5"/>
  <c r="EJ14" i="5"/>
  <c r="BZ15" i="5"/>
  <c r="N17" i="5"/>
  <c r="J17" i="2"/>
  <c r="AJ17" i="2"/>
  <c r="G17" i="2"/>
  <c r="F17" i="2"/>
  <c r="AD14" i="2"/>
  <c r="DQ14" i="4"/>
  <c r="DM14" i="4"/>
  <c r="DO14" i="4"/>
  <c r="DJ14" i="4"/>
  <c r="DL14" i="4"/>
  <c r="AC16" i="2"/>
  <c r="EG14" i="5"/>
  <c r="CO14" i="5"/>
  <c r="CM14" i="5"/>
  <c r="CJ14" i="5"/>
  <c r="CR14" i="5"/>
  <c r="CK14" i="5"/>
  <c r="CQ14" i="5"/>
  <c r="CL14" i="5"/>
  <c r="CS14" i="5"/>
  <c r="CW17" i="5"/>
  <c r="CX17" i="5"/>
  <c r="DE17" i="5"/>
  <c r="CY17" i="5"/>
  <c r="DC17" i="5"/>
  <c r="N10" i="2"/>
  <c r="AL10" i="4"/>
  <c r="Y14" i="2"/>
  <c r="FA15" i="5"/>
  <c r="K14" i="2"/>
  <c r="AC17" i="2"/>
  <c r="ED17" i="4"/>
  <c r="DX17" i="4"/>
  <c r="DZ17" i="4"/>
  <c r="EA17" i="4"/>
  <c r="DV17" i="4"/>
  <c r="EC17" i="4"/>
  <c r="EB17" i="4"/>
  <c r="DW17" i="4"/>
  <c r="E16" i="4"/>
  <c r="AH14" i="4"/>
  <c r="AL14" i="4"/>
  <c r="BH14" i="4"/>
  <c r="DT17" i="5"/>
  <c r="DY14" i="5"/>
  <c r="M15" i="5"/>
  <c r="AG15" i="5"/>
  <c r="ED16" i="5"/>
  <c r="D15" i="5"/>
  <c r="S17" i="2"/>
  <c r="Q14" i="2"/>
  <c r="W14" i="2"/>
  <c r="AK14" i="2"/>
  <c r="P15" i="2"/>
  <c r="V15" i="2"/>
  <c r="M16" i="4"/>
  <c r="DL15" i="5"/>
  <c r="DQ15" i="5"/>
  <c r="AG15" i="4"/>
  <c r="V14" i="2"/>
  <c r="D14" i="2"/>
  <c r="DY14" i="4"/>
  <c r="DU15" i="4"/>
  <c r="F14" i="2"/>
  <c r="R14" i="2"/>
  <c r="H17" i="4"/>
  <c r="J17" i="4"/>
  <c r="L17" i="4"/>
  <c r="D17" i="4"/>
  <c r="K17" i="4"/>
  <c r="E17" i="4"/>
  <c r="N17" i="4"/>
  <c r="F17" i="4"/>
  <c r="I17" i="4"/>
  <c r="G17" i="4"/>
  <c r="M17" i="4"/>
  <c r="AF17" i="5"/>
  <c r="AC17" i="5"/>
  <c r="AI17" i="5"/>
  <c r="AE17" i="5"/>
  <c r="AB17" i="5"/>
  <c r="Z15" i="4"/>
  <c r="T15" i="4"/>
  <c r="EC14" i="4"/>
  <c r="BJ10" i="4"/>
  <c r="AD15" i="4"/>
  <c r="E14" i="2"/>
  <c r="P14" i="2"/>
  <c r="BA16" i="4"/>
  <c r="I14" i="2"/>
  <c r="FB16" i="5"/>
  <c r="ER16" i="5"/>
  <c r="EV16" i="5"/>
  <c r="EZ16" i="5"/>
  <c r="EX16" i="5"/>
  <c r="ET16" i="5"/>
  <c r="EY16" i="5"/>
  <c r="EU16" i="5"/>
  <c r="ES16" i="5"/>
  <c r="L14" i="2"/>
  <c r="FB17" i="4"/>
  <c r="EV17" i="4"/>
  <c r="EW17" i="4"/>
  <c r="EY17" i="4"/>
  <c r="EU17" i="4"/>
  <c r="EX17" i="4"/>
  <c r="ER17" i="4"/>
  <c r="BJ17" i="4"/>
  <c r="BC17" i="4"/>
  <c r="BE17" i="4"/>
  <c r="BF17" i="4"/>
  <c r="BD17" i="4"/>
  <c r="BI17" i="4"/>
  <c r="BH17" i="4"/>
  <c r="BF16" i="5"/>
  <c r="BA16" i="5"/>
  <c r="BD16" i="5"/>
  <c r="BE16" i="5"/>
  <c r="DW15" i="4"/>
  <c r="DT16" i="5"/>
  <c r="DU16" i="5"/>
  <c r="K16" i="4"/>
  <c r="I16" i="4"/>
  <c r="D16" i="4"/>
  <c r="J16" i="4"/>
  <c r="F16" i="4"/>
  <c r="DX17" i="5"/>
  <c r="DU17" i="5"/>
  <c r="EB17" i="5"/>
  <c r="DZ17" i="5"/>
  <c r="DV17" i="5"/>
  <c r="EY17" i="5"/>
  <c r="EU17" i="5"/>
  <c r="ES17" i="5"/>
  <c r="EX17" i="5"/>
  <c r="EZ17" i="5"/>
  <c r="FA17" i="5"/>
  <c r="ED14" i="4"/>
  <c r="BB16" i="4"/>
  <c r="BC16" i="4"/>
  <c r="FB10" i="5"/>
  <c r="FB18" i="5" s="1"/>
  <c r="T14" i="2"/>
  <c r="DR15" i="4"/>
  <c r="DJ15" i="4"/>
  <c r="DM15" i="4"/>
  <c r="DL15" i="4"/>
  <c r="DN15" i="4"/>
  <c r="DI15" i="4"/>
  <c r="F15" i="5"/>
  <c r="E15" i="5"/>
  <c r="Z10" i="2"/>
  <c r="DV15" i="4"/>
  <c r="AE14" i="4"/>
  <c r="AV14" i="4"/>
  <c r="AJ14" i="4"/>
  <c r="AT14" i="4"/>
  <c r="CH10" i="5"/>
  <c r="BY18" i="5" s="1"/>
  <c r="AF15" i="5"/>
  <c r="EM14" i="5"/>
  <c r="AL17" i="5"/>
  <c r="EV17" i="5"/>
  <c r="BG16" i="5"/>
  <c r="EP14" i="5"/>
  <c r="DX16" i="5"/>
  <c r="AF14" i="2"/>
  <c r="W17" i="2"/>
  <c r="L16" i="2"/>
  <c r="N15" i="4"/>
  <c r="D15" i="4"/>
  <c r="K15" i="4"/>
  <c r="L15" i="4"/>
  <c r="F15" i="4"/>
  <c r="M15" i="4"/>
  <c r="E15" i="4"/>
  <c r="I15" i="4"/>
  <c r="G15" i="4"/>
  <c r="AB17" i="2"/>
  <c r="CE15" i="4"/>
  <c r="EW17" i="5"/>
  <c r="BE16" i="4"/>
  <c r="EB14" i="4"/>
  <c r="DT14" i="4"/>
  <c r="DV14" i="4"/>
  <c r="EA14" i="4"/>
  <c r="DU14" i="4"/>
  <c r="DZ14" i="4"/>
  <c r="DW14" i="4"/>
  <c r="CX10" i="2"/>
  <c r="AP10" i="2"/>
  <c r="DH10" i="2"/>
  <c r="DT6" i="2" a="1"/>
  <c r="DT6" i="2" s="1"/>
  <c r="DT9" i="2" a="1"/>
  <c r="DT9" i="2" s="1"/>
  <c r="DT8" i="2" a="1"/>
  <c r="DT8" i="2" s="1"/>
  <c r="DT7" i="2" a="1"/>
  <c r="DT7" i="2" s="1"/>
  <c r="DI8" i="2" a="1"/>
  <c r="DI8" i="2" s="1"/>
  <c r="DI6" i="2" a="1"/>
  <c r="DI6" i="2" s="1"/>
  <c r="DI9" i="2" a="1"/>
  <c r="DI9" i="2" s="1"/>
  <c r="DI7" i="2" a="1"/>
  <c r="DI7" i="2" s="1"/>
  <c r="CK10" i="2"/>
  <c r="CY8" i="2" a="1"/>
  <c r="CY8" i="2" s="1"/>
  <c r="CY9" i="2" a="1"/>
  <c r="CY9" i="2" s="1"/>
  <c r="CY7" i="2" a="1"/>
  <c r="CY7" i="2" s="1"/>
  <c r="CY6" i="2" a="1"/>
  <c r="CY6" i="2" s="1"/>
  <c r="CA8" i="2" a="1"/>
  <c r="CA8" i="2" s="1"/>
  <c r="CA6" i="2" a="1"/>
  <c r="CA6" i="2" s="1"/>
  <c r="CA7" i="2" a="1"/>
  <c r="CA7" i="2" s="1"/>
  <c r="CA9" i="2" a="1"/>
  <c r="CA9" i="2" s="1"/>
  <c r="CL10" i="2"/>
  <c r="BZ10" i="2"/>
  <c r="CM7" i="2" a="1"/>
  <c r="CM7" i="2" s="1"/>
  <c r="CM6" i="2" a="1"/>
  <c r="CM6" i="2" s="1"/>
  <c r="CM8" i="2" a="1"/>
  <c r="CM8" i="2" s="1"/>
  <c r="CM9" i="2" a="1"/>
  <c r="CM9" i="2" s="1"/>
  <c r="BO9" i="2" a="1"/>
  <c r="BO9" i="2" s="1"/>
  <c r="BO7" i="2" a="1"/>
  <c r="BO7" i="2" s="1"/>
  <c r="BO6" i="2" a="1"/>
  <c r="BO6" i="2" s="1"/>
  <c r="BO8" i="2" a="1"/>
  <c r="BO8" i="2" s="1"/>
  <c r="BN10" i="2"/>
  <c r="BC7" i="2" a="1"/>
  <c r="BC7" i="2" s="1"/>
  <c r="BC6" i="2" a="1"/>
  <c r="BC6" i="2" s="1"/>
  <c r="BC9" i="2" a="1"/>
  <c r="BC9" i="2" s="1"/>
  <c r="BC8" i="2" a="1"/>
  <c r="BC8" i="2" s="1"/>
  <c r="BB10" i="2"/>
  <c r="AQ6" i="2" a="1"/>
  <c r="AQ6" i="2" s="1"/>
  <c r="AQ8" i="2" a="1"/>
  <c r="AQ8" i="2" s="1"/>
  <c r="AQ7" i="2" a="1"/>
  <c r="AQ7" i="2" s="1"/>
  <c r="AQ9" i="2" a="1"/>
  <c r="AQ9" i="2" s="1"/>
  <c r="DN14" i="6" l="1"/>
  <c r="AH14" i="6"/>
  <c r="AL10" i="6"/>
  <c r="AL21" i="6" s="1"/>
  <c r="AL14" i="6"/>
  <c r="AK14" i="6"/>
  <c r="AG14" i="6"/>
  <c r="AC14" i="6"/>
  <c r="AE14" i="6"/>
  <c r="AF14" i="6"/>
  <c r="AD14" i="6"/>
  <c r="AB14" i="6"/>
  <c r="AI14" i="6"/>
  <c r="D24" i="6"/>
  <c r="D25" i="6"/>
  <c r="D22" i="6"/>
  <c r="D23" i="6"/>
  <c r="Z25" i="5"/>
  <c r="Z18" i="5"/>
  <c r="AX23" i="6"/>
  <c r="AX25" i="6"/>
  <c r="AX18" i="6"/>
  <c r="AW18" i="6"/>
  <c r="DL18" i="5"/>
  <c r="CX18" i="6"/>
  <c r="EF14" i="6"/>
  <c r="EP10" i="6"/>
  <c r="EJ18" i="6" s="1"/>
  <c r="EO14" i="6"/>
  <c r="EP14" i="6"/>
  <c r="EJ14" i="6"/>
  <c r="EG14" i="6"/>
  <c r="EM14" i="6"/>
  <c r="EI14" i="6"/>
  <c r="EH14" i="6"/>
  <c r="EL14" i="6"/>
  <c r="V18" i="6"/>
  <c r="CR18" i="5"/>
  <c r="BR14" i="6"/>
  <c r="BV10" i="6"/>
  <c r="BV14" i="6"/>
  <c r="BU14" i="6"/>
  <c r="BM14" i="6"/>
  <c r="BT14" i="6"/>
  <c r="BN14" i="6"/>
  <c r="BL14" i="6"/>
  <c r="BS14" i="6"/>
  <c r="BP14" i="6"/>
  <c r="Z23" i="6"/>
  <c r="ES18" i="5"/>
  <c r="BQ18" i="5"/>
  <c r="G18" i="5"/>
  <c r="DN18" i="6"/>
  <c r="BO14" i="6"/>
  <c r="AJ14" i="6"/>
  <c r="DU18" i="5"/>
  <c r="AW18" i="5"/>
  <c r="DT18" i="5"/>
  <c r="BT16" i="6"/>
  <c r="DB18" i="6"/>
  <c r="CD18" i="5"/>
  <c r="BA18" i="6"/>
  <c r="BI18" i="6"/>
  <c r="BJ25" i="6"/>
  <c r="BJ18" i="6"/>
  <c r="S18" i="6"/>
  <c r="BO18" i="6"/>
  <c r="CV18" i="6"/>
  <c r="DF18" i="5"/>
  <c r="DE18" i="5"/>
  <c r="EV18" i="5"/>
  <c r="E18" i="5"/>
  <c r="U18" i="5"/>
  <c r="K18" i="5"/>
  <c r="BJ22" i="6"/>
  <c r="BN18" i="5"/>
  <c r="D18" i="5"/>
  <c r="EX18" i="5"/>
  <c r="BL18" i="5"/>
  <c r="W18" i="5"/>
  <c r="CH18" i="6"/>
  <c r="CG18" i="6"/>
  <c r="EC18" i="5"/>
  <c r="AJ25" i="6"/>
  <c r="AJ18" i="6"/>
  <c r="AJ24" i="6"/>
  <c r="AJ22" i="6"/>
  <c r="AJ23" i="6"/>
  <c r="EN14" i="6"/>
  <c r="AP18" i="6"/>
  <c r="CH18" i="5"/>
  <c r="BZ18" i="5"/>
  <c r="CG18" i="5"/>
  <c r="Z22" i="5"/>
  <c r="DD18" i="5"/>
  <c r="AO18" i="5"/>
  <c r="DX18" i="5"/>
  <c r="CX18" i="5"/>
  <c r="R18" i="5"/>
  <c r="EM18" i="5"/>
  <c r="AR18" i="6"/>
  <c r="AP18" i="5"/>
  <c r="X18" i="6"/>
  <c r="EJ18" i="5"/>
  <c r="EK15" i="6"/>
  <c r="EP15" i="6"/>
  <c r="EO15" i="6"/>
  <c r="EI15" i="6"/>
  <c r="EF15" i="6"/>
  <c r="EN15" i="6"/>
  <c r="EH15" i="6"/>
  <c r="EG15" i="6"/>
  <c r="EL15" i="6"/>
  <c r="T18" i="6"/>
  <c r="DF18" i="6"/>
  <c r="DE18" i="6"/>
  <c r="DK14" i="6"/>
  <c r="DR10" i="6"/>
  <c r="DR14" i="6"/>
  <c r="DQ14" i="6"/>
  <c r="DP14" i="6"/>
  <c r="DJ14" i="6"/>
  <c r="DO14" i="6"/>
  <c r="DL14" i="6"/>
  <c r="DM14" i="6"/>
  <c r="DH14" i="6"/>
  <c r="CT18" i="5"/>
  <c r="CJ18" i="5"/>
  <c r="CK18" i="5"/>
  <c r="CQ18" i="5"/>
  <c r="AX21" i="5"/>
  <c r="EX14" i="6"/>
  <c r="FA14" i="6"/>
  <c r="FB10" i="6"/>
  <c r="FB14" i="6"/>
  <c r="ES14" i="6"/>
  <c r="EZ14" i="6"/>
  <c r="EU14" i="6"/>
  <c r="ET14" i="6"/>
  <c r="EW14" i="6"/>
  <c r="M18" i="5"/>
  <c r="AV18" i="5"/>
  <c r="EK18" i="5"/>
  <c r="DY18" i="5"/>
  <c r="EI18" i="5"/>
  <c r="AR18" i="5"/>
  <c r="DV18" i="5"/>
  <c r="DR18" i="5"/>
  <c r="DQ18" i="5"/>
  <c r="DO18" i="5"/>
  <c r="P18" i="6"/>
  <c r="Y18" i="6"/>
  <c r="Z18" i="6"/>
  <c r="Z25" i="6"/>
  <c r="M14" i="6"/>
  <c r="N10" i="6"/>
  <c r="N21" i="6"/>
  <c r="N14" i="6"/>
  <c r="F14" i="6"/>
  <c r="H14" i="6"/>
  <c r="L14" i="6"/>
  <c r="E14" i="6"/>
  <c r="I14" i="6"/>
  <c r="G14" i="6"/>
  <c r="J14" i="6"/>
  <c r="K14" i="6"/>
  <c r="ER18" i="6"/>
  <c r="U21" i="6"/>
  <c r="U25" i="6"/>
  <c r="U18" i="6"/>
  <c r="U22" i="6"/>
  <c r="U24" i="6"/>
  <c r="U23" i="6"/>
  <c r="CQ17" i="6"/>
  <c r="CT17" i="6"/>
  <c r="CS17" i="6"/>
  <c r="CP17" i="6"/>
  <c r="CK17" i="6"/>
  <c r="CJ17" i="6"/>
  <c r="CN17" i="6"/>
  <c r="CR17" i="6"/>
  <c r="CM17" i="6"/>
  <c r="CO17" i="6"/>
  <c r="AU18" i="6"/>
  <c r="BJ23" i="6"/>
  <c r="AZ18" i="6"/>
  <c r="EK14" i="6"/>
  <c r="ED18" i="6"/>
  <c r="EC18" i="6"/>
  <c r="DI16" i="6"/>
  <c r="DQ16" i="6"/>
  <c r="DR16" i="6"/>
  <c r="DK16" i="6"/>
  <c r="DO16" i="6"/>
  <c r="DP16" i="6"/>
  <c r="DM16" i="6"/>
  <c r="DN16" i="6"/>
  <c r="DJ16" i="6"/>
  <c r="DL16" i="6"/>
  <c r="CW18" i="6"/>
  <c r="EO16" i="6"/>
  <c r="EP16" i="6"/>
  <c r="EL16" i="6"/>
  <c r="EM16" i="6"/>
  <c r="EN16" i="6"/>
  <c r="EI16" i="6"/>
  <c r="EK16" i="6"/>
  <c r="EJ16" i="6"/>
  <c r="EG16" i="6"/>
  <c r="EH16" i="6"/>
  <c r="AN18" i="5"/>
  <c r="EB18" i="5"/>
  <c r="BB21" i="6"/>
  <c r="BB25" i="6"/>
  <c r="BB18" i="6"/>
  <c r="BB24" i="6"/>
  <c r="BB22" i="6"/>
  <c r="BB23" i="6"/>
  <c r="CS18" i="5"/>
  <c r="CB18" i="5"/>
  <c r="EZ18" i="5"/>
  <c r="BJ24" i="6"/>
  <c r="CC18" i="5"/>
  <c r="S18" i="5"/>
  <c r="BL18" i="6"/>
  <c r="AQ18" i="5"/>
  <c r="Z22" i="6"/>
  <c r="EA18" i="5"/>
  <c r="N25" i="5"/>
  <c r="N18" i="5"/>
  <c r="AL25" i="5"/>
  <c r="AL18" i="5"/>
  <c r="AG18" i="5"/>
  <c r="Z23" i="5"/>
  <c r="BV18" i="5"/>
  <c r="BU18" i="5"/>
  <c r="BS18" i="5"/>
  <c r="BM18" i="5"/>
  <c r="DH18" i="5"/>
  <c r="EO18" i="5"/>
  <c r="CP14" i="6"/>
  <c r="CT14" i="6"/>
  <c r="CT10" i="6"/>
  <c r="CS14" i="6"/>
  <c r="CL14" i="6"/>
  <c r="CN14" i="6"/>
  <c r="CJ14" i="6"/>
  <c r="CQ14" i="6"/>
  <c r="CK14" i="6"/>
  <c r="CM14" i="6"/>
  <c r="CO14" i="6"/>
  <c r="EY14" i="6"/>
  <c r="R18" i="6"/>
  <c r="EW18" i="5"/>
  <c r="BG18" i="6"/>
  <c r="CA18" i="5"/>
  <c r="DJ18" i="5"/>
  <c r="AO18" i="6"/>
  <c r="AD18" i="5"/>
  <c r="DT18" i="6"/>
  <c r="DK18" i="5"/>
  <c r="BT18" i="6"/>
  <c r="EY18" i="6"/>
  <c r="DM18" i="5"/>
  <c r="DI18" i="5"/>
  <c r="BV16" i="6"/>
  <c r="BU16" i="6"/>
  <c r="BP16" i="6"/>
  <c r="BN16" i="6"/>
  <c r="BS16" i="6"/>
  <c r="BO16" i="6"/>
  <c r="BM16" i="6"/>
  <c r="BR16" i="6"/>
  <c r="BQ16" i="6"/>
  <c r="DZ18" i="5"/>
  <c r="CY18" i="6"/>
  <c r="AX25" i="5"/>
  <c r="AX18" i="5"/>
  <c r="CN18" i="5"/>
  <c r="EL18" i="5"/>
  <c r="EV14" i="6"/>
  <c r="EF18" i="5"/>
  <c r="EH18" i="5"/>
  <c r="J18" i="5"/>
  <c r="DW18" i="5"/>
  <c r="BX18" i="5"/>
  <c r="EN18" i="5"/>
  <c r="BQ18" i="6"/>
  <c r="EY15" i="6"/>
  <c r="FB15" i="6"/>
  <c r="FA15" i="6"/>
  <c r="EX15" i="6"/>
  <c r="ER15" i="6"/>
  <c r="ES15" i="6"/>
  <c r="EZ15" i="6"/>
  <c r="EW15" i="6"/>
  <c r="EU15" i="6"/>
  <c r="EV15" i="6"/>
  <c r="CV18" i="5"/>
  <c r="DN17" i="6"/>
  <c r="DQ17" i="6"/>
  <c r="DR17" i="6"/>
  <c r="DL17" i="6"/>
  <c r="DP17" i="6"/>
  <c r="DH17" i="6"/>
  <c r="DM17" i="6"/>
  <c r="DK17" i="6"/>
  <c r="DO17" i="6"/>
  <c r="X18" i="5"/>
  <c r="AQ18" i="6"/>
  <c r="AN18" i="6"/>
  <c r="W18" i="6"/>
  <c r="BH18" i="6"/>
  <c r="DC18" i="6"/>
  <c r="AX24" i="5"/>
  <c r="AL21" i="5"/>
  <c r="AL23" i="5"/>
  <c r="N23" i="5"/>
  <c r="AX22" i="5"/>
  <c r="AL22" i="5"/>
  <c r="N22" i="5"/>
  <c r="AL24" i="5"/>
  <c r="Z24" i="5"/>
  <c r="BO10" i="2"/>
  <c r="DI10" i="2"/>
  <c r="DJ8" i="2" a="1"/>
  <c r="DJ8" i="2" s="1"/>
  <c r="DJ6" i="2" a="1"/>
  <c r="DJ6" i="2" s="1"/>
  <c r="DJ7" i="2" a="1"/>
  <c r="DJ7" i="2" s="1"/>
  <c r="DJ9" i="2" a="1"/>
  <c r="DJ9" i="2" s="1"/>
  <c r="DU7" i="2" a="1"/>
  <c r="DU7" i="2" s="1"/>
  <c r="DU8" i="2" a="1"/>
  <c r="DU8" i="2" s="1"/>
  <c r="DU9" i="2" a="1"/>
  <c r="DU9" i="2" s="1"/>
  <c r="DU6" i="2" a="1"/>
  <c r="DU6" i="2" s="1"/>
  <c r="CY10" i="2"/>
  <c r="EF6" i="2" a="1"/>
  <c r="EF6" i="2" s="1"/>
  <c r="EF9" i="2" a="1"/>
  <c r="EF9" i="2" s="1"/>
  <c r="EF7" i="2" a="1"/>
  <c r="EF7" i="2" s="1"/>
  <c r="EF8" i="2" a="1"/>
  <c r="EF8" i="2" s="1"/>
  <c r="DT10" i="2"/>
  <c r="CN9" i="2" a="1"/>
  <c r="CN9" i="2" s="1"/>
  <c r="CN6" i="2" a="1"/>
  <c r="CN6" i="2" s="1"/>
  <c r="CN8" i="2" a="1"/>
  <c r="CN8" i="2" s="1"/>
  <c r="CN7" i="2" a="1"/>
  <c r="CN7" i="2" s="1"/>
  <c r="CA10" i="2"/>
  <c r="CB8" i="2" a="1"/>
  <c r="CB8" i="2" s="1"/>
  <c r="CB7" i="2" a="1"/>
  <c r="CB7" i="2" s="1"/>
  <c r="CB6" i="2" a="1"/>
  <c r="CB6" i="2" s="1"/>
  <c r="CB9" i="2" a="1"/>
  <c r="CB9" i="2" s="1"/>
  <c r="CM10" i="2"/>
  <c r="CZ8" i="2" a="1"/>
  <c r="CZ8" i="2" s="1"/>
  <c r="CZ7" i="2" a="1"/>
  <c r="CZ7" i="2" s="1"/>
  <c r="CZ9" i="2" a="1"/>
  <c r="CZ9" i="2" s="1"/>
  <c r="CZ6" i="2" a="1"/>
  <c r="CZ6" i="2" s="1"/>
  <c r="BP7" i="2" a="1"/>
  <c r="BP7" i="2" s="1"/>
  <c r="BP9" i="2" a="1"/>
  <c r="BP9" i="2" s="1"/>
  <c r="BP6" i="2" a="1"/>
  <c r="BP6" i="2" s="1"/>
  <c r="BP8" i="2" a="1"/>
  <c r="BP8" i="2" s="1"/>
  <c r="BC10" i="2"/>
  <c r="BD7" i="2" a="1"/>
  <c r="BD7" i="2" s="1"/>
  <c r="BD9" i="2" a="1"/>
  <c r="BD9" i="2" s="1"/>
  <c r="BD6" i="2" a="1"/>
  <c r="BD6" i="2" s="1"/>
  <c r="BD8" i="2" a="1"/>
  <c r="BD8" i="2" s="1"/>
  <c r="AR9" i="2" a="1"/>
  <c r="AR9" i="2" s="1"/>
  <c r="AR7" i="2" a="1"/>
  <c r="AR7" i="2" s="1"/>
  <c r="AR8" i="2" a="1"/>
  <c r="AR8" i="2" s="1"/>
  <c r="AR6" i="2" a="1"/>
  <c r="AR6" i="2" s="1"/>
  <c r="AQ10" i="2"/>
  <c r="CT18" i="6" l="1"/>
  <c r="CS18" i="6"/>
  <c r="CM18" i="6"/>
  <c r="CJ18" i="6"/>
  <c r="CO18" i="6"/>
  <c r="CQ18" i="6"/>
  <c r="CK18" i="6"/>
  <c r="CP18" i="6"/>
  <c r="CN18" i="6"/>
  <c r="DR18" i="6"/>
  <c r="DQ18" i="6"/>
  <c r="DJ18" i="6"/>
  <c r="DO18" i="6"/>
  <c r="DK18" i="6"/>
  <c r="DM18" i="6"/>
  <c r="DL18" i="6"/>
  <c r="DH18" i="6"/>
  <c r="DP18" i="6"/>
  <c r="BV18" i="6"/>
  <c r="BU18" i="6"/>
  <c r="BN18" i="6"/>
  <c r="BS18" i="6"/>
  <c r="BR18" i="6"/>
  <c r="BP18" i="6"/>
  <c r="BM18" i="6"/>
  <c r="EP18" i="6"/>
  <c r="EO18" i="6"/>
  <c r="EL18" i="6"/>
  <c r="EI18" i="6"/>
  <c r="EG18" i="6"/>
  <c r="EH18" i="6"/>
  <c r="EK18" i="6"/>
  <c r="N23" i="6"/>
  <c r="M18" i="6"/>
  <c r="N18" i="6"/>
  <c r="N25" i="6"/>
  <c r="J18" i="6"/>
  <c r="L18" i="6"/>
  <c r="G18" i="6"/>
  <c r="E18" i="6"/>
  <c r="N22" i="6"/>
  <c r="K18" i="6"/>
  <c r="H18" i="6"/>
  <c r="N24" i="6"/>
  <c r="I18" i="6"/>
  <c r="F18" i="6"/>
  <c r="EN18" i="6"/>
  <c r="CR18" i="6"/>
  <c r="EM18" i="6"/>
  <c r="EF18" i="6"/>
  <c r="AB18" i="6"/>
  <c r="AL18" i="6"/>
  <c r="AL25" i="6"/>
  <c r="AK18" i="6"/>
  <c r="AL24" i="6"/>
  <c r="AH18" i="6"/>
  <c r="AL22" i="6"/>
  <c r="AE18" i="6"/>
  <c r="AF18" i="6"/>
  <c r="AC18" i="6"/>
  <c r="AD18" i="6"/>
  <c r="AG18" i="6"/>
  <c r="AI18" i="6"/>
  <c r="AL23" i="6"/>
  <c r="CL18" i="6"/>
  <c r="D18" i="6"/>
  <c r="FB18" i="6"/>
  <c r="FA18" i="6"/>
  <c r="ET18" i="6"/>
  <c r="EX18" i="6"/>
  <c r="EU18" i="6"/>
  <c r="ES18" i="6"/>
  <c r="EW18" i="6"/>
  <c r="EZ18" i="6"/>
  <c r="EV18" i="6"/>
  <c r="DI18" i="6"/>
  <c r="BP10" i="2"/>
  <c r="EF10" i="2"/>
  <c r="AR10" i="2"/>
  <c r="DU10" i="2"/>
  <c r="BD10" i="2"/>
  <c r="EG9" i="2" a="1"/>
  <c r="EG9" i="2" s="1"/>
  <c r="EG6" i="2" a="1"/>
  <c r="EG6" i="2" s="1"/>
  <c r="EG7" i="2" a="1"/>
  <c r="EG7" i="2" s="1"/>
  <c r="EG8" i="2" a="1"/>
  <c r="EG8" i="2" s="1"/>
  <c r="DV8" i="2" a="1"/>
  <c r="DV8" i="2" s="1"/>
  <c r="DV6" i="2" a="1"/>
  <c r="DV6" i="2" s="1"/>
  <c r="DV9" i="2" a="1"/>
  <c r="DV9" i="2" s="1"/>
  <c r="DV7" i="2" a="1"/>
  <c r="DV7" i="2" s="1"/>
  <c r="DK8" i="2" a="1"/>
  <c r="DK8" i="2" s="1"/>
  <c r="DK6" i="2" a="1"/>
  <c r="DK6" i="2" s="1"/>
  <c r="DK7" i="2" a="1"/>
  <c r="DK7" i="2" s="1"/>
  <c r="DK9" i="2" a="1"/>
  <c r="DK9" i="2" s="1"/>
  <c r="DJ10" i="2"/>
  <c r="ER8" i="2" a="1"/>
  <c r="ER8" i="2" s="1"/>
  <c r="ER7" i="2" a="1"/>
  <c r="ER7" i="2" s="1"/>
  <c r="ER6" i="2" a="1"/>
  <c r="ER6" i="2" s="1"/>
  <c r="ER9" i="2" a="1"/>
  <c r="ER9" i="2" s="1"/>
  <c r="CN10" i="2"/>
  <c r="CO6" i="2" a="1"/>
  <c r="CO6" i="2" s="1"/>
  <c r="CO9" i="2" a="1"/>
  <c r="CO9" i="2" s="1"/>
  <c r="CO7" i="2" a="1"/>
  <c r="CO7" i="2" s="1"/>
  <c r="CO8" i="2" a="1"/>
  <c r="CO8" i="2" s="1"/>
  <c r="CZ10" i="2"/>
  <c r="DA7" i="2" a="1"/>
  <c r="DA7" i="2" s="1"/>
  <c r="DA8" i="2" a="1"/>
  <c r="DA8" i="2" s="1"/>
  <c r="DA6" i="2" a="1"/>
  <c r="DA6" i="2" s="1"/>
  <c r="DA9" i="2" a="1"/>
  <c r="DA9" i="2" s="1"/>
  <c r="CC8" i="2" a="1"/>
  <c r="CC8" i="2" s="1"/>
  <c r="CC7" i="2" a="1"/>
  <c r="CC7" i="2" s="1"/>
  <c r="CC6" i="2" a="1"/>
  <c r="CC6" i="2" s="1"/>
  <c r="CC9" i="2" a="1"/>
  <c r="CC9" i="2" s="1"/>
  <c r="CB10" i="2"/>
  <c r="BQ7" i="2" a="1"/>
  <c r="BQ7" i="2" s="1"/>
  <c r="BQ9" i="2" a="1"/>
  <c r="BQ9" i="2" s="1"/>
  <c r="BQ6" i="2" a="1"/>
  <c r="BQ6" i="2" s="1"/>
  <c r="BQ8" i="2" a="1"/>
  <c r="BQ8" i="2" s="1"/>
  <c r="BE8" i="2" a="1"/>
  <c r="BE8" i="2" s="1"/>
  <c r="BE6" i="2" a="1"/>
  <c r="BE6" i="2" s="1"/>
  <c r="BE9" i="2" a="1"/>
  <c r="BE9" i="2" s="1"/>
  <c r="BE7" i="2" a="1"/>
  <c r="BE7" i="2" s="1"/>
  <c r="AS7" i="2" a="1"/>
  <c r="AS7" i="2" s="1"/>
  <c r="AS8" i="2" a="1"/>
  <c r="AS8" i="2" s="1"/>
  <c r="AS6" i="2" a="1"/>
  <c r="AS6" i="2" s="1"/>
  <c r="AS9" i="2" a="1"/>
  <c r="AS9" i="2" s="1"/>
  <c r="BE10" i="2" l="1"/>
  <c r="DK10" i="2"/>
  <c r="DL8" i="2" a="1"/>
  <c r="DL8" i="2" s="1"/>
  <c r="DL7" i="2" a="1"/>
  <c r="DL7" i="2" s="1"/>
  <c r="DL6" i="2" a="1"/>
  <c r="DL6" i="2" s="1"/>
  <c r="DL9" i="2" a="1"/>
  <c r="DL9" i="2" s="1"/>
  <c r="ER10" i="2"/>
  <c r="DV10" i="2"/>
  <c r="EH8" i="2" a="1"/>
  <c r="EH8" i="2" s="1"/>
  <c r="EH7" i="2" a="1"/>
  <c r="EH7" i="2" s="1"/>
  <c r="EH6" i="2" a="1"/>
  <c r="EH6" i="2" s="1"/>
  <c r="EH9" i="2" a="1"/>
  <c r="EH9" i="2" s="1"/>
  <c r="DW8" i="2" a="1"/>
  <c r="DW8" i="2" s="1"/>
  <c r="DW6" i="2" a="1"/>
  <c r="DW6" i="2" s="1"/>
  <c r="DW9" i="2" a="1"/>
  <c r="DW9" i="2" s="1"/>
  <c r="DW7" i="2" a="1"/>
  <c r="DW7" i="2" s="1"/>
  <c r="ES7" i="2" a="1"/>
  <c r="ES7" i="2" s="1"/>
  <c r="ES6" i="2" a="1"/>
  <c r="ES6" i="2" s="1"/>
  <c r="ES8" i="2" a="1"/>
  <c r="ES8" i="2" s="1"/>
  <c r="ES9" i="2" a="1"/>
  <c r="ES9" i="2" s="1"/>
  <c r="EG10" i="2"/>
  <c r="DB7" i="2" a="1"/>
  <c r="DB7" i="2" s="1"/>
  <c r="DB6" i="2" a="1"/>
  <c r="DB6" i="2" s="1"/>
  <c r="DB8" i="2" a="1"/>
  <c r="DB8" i="2" s="1"/>
  <c r="DB9" i="2" a="1"/>
  <c r="DB9" i="2" s="1"/>
  <c r="CD7" i="2" a="1"/>
  <c r="CD7" i="2" s="1"/>
  <c r="CD9" i="2" a="1"/>
  <c r="CD9" i="2" s="1"/>
  <c r="CD8" i="2" a="1"/>
  <c r="CD8" i="2" s="1"/>
  <c r="CD6" i="2" a="1"/>
  <c r="CD6" i="2" s="1"/>
  <c r="CO10" i="2"/>
  <c r="CC10" i="2"/>
  <c r="CP9" i="2" a="1"/>
  <c r="CP9" i="2" s="1"/>
  <c r="CP8" i="2" a="1"/>
  <c r="CP8" i="2" s="1"/>
  <c r="CP6" i="2" a="1"/>
  <c r="CP6" i="2" s="1"/>
  <c r="CP7" i="2" a="1"/>
  <c r="CP7" i="2" s="1"/>
  <c r="DA10" i="2"/>
  <c r="BQ10" i="2"/>
  <c r="BR8" i="2" a="1"/>
  <c r="BR8" i="2" s="1"/>
  <c r="BR6" i="2" a="1"/>
  <c r="BR6" i="2" s="1"/>
  <c r="BR9" i="2" a="1"/>
  <c r="BR9" i="2" s="1"/>
  <c r="BR7" i="2" a="1"/>
  <c r="BR7" i="2" s="1"/>
  <c r="BF8" i="2" a="1"/>
  <c r="BF8" i="2" s="1"/>
  <c r="BF6" i="2" a="1"/>
  <c r="BF6" i="2" s="1"/>
  <c r="BF9" i="2" a="1"/>
  <c r="BF9" i="2" s="1"/>
  <c r="BF7" i="2" a="1"/>
  <c r="BF7" i="2" s="1"/>
  <c r="AS10" i="2"/>
  <c r="AT8" i="2" a="1"/>
  <c r="AT8" i="2" s="1"/>
  <c r="AT7" i="2" a="1"/>
  <c r="AT7" i="2" s="1"/>
  <c r="AT6" i="2" a="1"/>
  <c r="AT6" i="2" s="1"/>
  <c r="AT9" i="2" a="1"/>
  <c r="AT9" i="2" s="1"/>
  <c r="EH10" i="2" l="1"/>
  <c r="BR10" i="2"/>
  <c r="DL10" i="2"/>
  <c r="DW10" i="2"/>
  <c r="BF10" i="2"/>
  <c r="DX9" i="2" a="1"/>
  <c r="DX9" i="2" s="1"/>
  <c r="DX7" i="2" a="1"/>
  <c r="DX7" i="2" s="1"/>
  <c r="DX6" i="2" a="1"/>
  <c r="DX6" i="2" s="1"/>
  <c r="DX8" i="2" a="1"/>
  <c r="DX8" i="2" s="1"/>
  <c r="EI6" i="2" a="1"/>
  <c r="EI6" i="2" s="1"/>
  <c r="EI7" i="2" a="1"/>
  <c r="EI7" i="2" s="1"/>
  <c r="EI9" i="2" a="1"/>
  <c r="EI9" i="2" s="1"/>
  <c r="EI8" i="2" a="1"/>
  <c r="EI8" i="2" s="1"/>
  <c r="ES10" i="2"/>
  <c r="ET7" i="2" a="1"/>
  <c r="ET7" i="2" s="1"/>
  <c r="ET8" i="2" a="1"/>
  <c r="ET8" i="2" s="1"/>
  <c r="ET6" i="2" a="1"/>
  <c r="ET6" i="2" s="1"/>
  <c r="ET9" i="2" a="1"/>
  <c r="ET9" i="2" s="1"/>
  <c r="DM9" i="2" a="1"/>
  <c r="DM9" i="2" s="1"/>
  <c r="DM7" i="2" a="1"/>
  <c r="DM7" i="2" s="1"/>
  <c r="DM8" i="2" a="1"/>
  <c r="DM8" i="2" s="1"/>
  <c r="DM6" i="2" a="1"/>
  <c r="DM6" i="2" s="1"/>
  <c r="CE7" i="2" a="1"/>
  <c r="CE7" i="2" s="1"/>
  <c r="CE9" i="2" a="1"/>
  <c r="CE9" i="2" s="1"/>
  <c r="CE8" i="2" a="1"/>
  <c r="CE8" i="2" s="1"/>
  <c r="CE6" i="2" a="1"/>
  <c r="CE6" i="2" s="1"/>
  <c r="CD10" i="2"/>
  <c r="CP10" i="2"/>
  <c r="CQ8" i="2" a="1"/>
  <c r="CQ8" i="2" s="1"/>
  <c r="CQ9" i="2" a="1"/>
  <c r="CQ9" i="2" s="1"/>
  <c r="CQ7" i="2" a="1"/>
  <c r="CQ7" i="2" s="1"/>
  <c r="CQ6" i="2" a="1"/>
  <c r="CQ6" i="2" s="1"/>
  <c r="DB10" i="2"/>
  <c r="DC9" i="2" a="1"/>
  <c r="DC9" i="2" s="1"/>
  <c r="DC6" i="2" a="1"/>
  <c r="DC6" i="2" s="1"/>
  <c r="DC7" i="2" a="1"/>
  <c r="DC7" i="2" s="1"/>
  <c r="DC8" i="2" a="1"/>
  <c r="DC8" i="2" s="1"/>
  <c r="BS6" i="2" a="1"/>
  <c r="BS6" i="2" s="1"/>
  <c r="BS9" i="2" a="1"/>
  <c r="BS9" i="2" s="1"/>
  <c r="BS8" i="2" a="1"/>
  <c r="BS8" i="2" s="1"/>
  <c r="BS7" i="2" a="1"/>
  <c r="BS7" i="2" s="1"/>
  <c r="BG6" i="2" a="1"/>
  <c r="BG6" i="2" s="1"/>
  <c r="BG9" i="2" a="1"/>
  <c r="BG9" i="2" s="1"/>
  <c r="BG8" i="2" a="1"/>
  <c r="BG8" i="2" s="1"/>
  <c r="BG7" i="2" a="1"/>
  <c r="BG7" i="2" s="1"/>
  <c r="AU6" i="2" a="1"/>
  <c r="AU6" i="2" s="1"/>
  <c r="AU9" i="2" a="1"/>
  <c r="AU9" i="2" s="1"/>
  <c r="AU7" i="2" a="1"/>
  <c r="AU7" i="2" s="1"/>
  <c r="AU8" i="2" a="1"/>
  <c r="AU8" i="2" s="1"/>
  <c r="AT10" i="2"/>
  <c r="CE10" i="2" l="1"/>
  <c r="EI10" i="2"/>
  <c r="ET10" i="2"/>
  <c r="EU7" i="2" a="1"/>
  <c r="EU7" i="2" s="1"/>
  <c r="EU9" i="2" a="1"/>
  <c r="EU9" i="2" s="1"/>
  <c r="EU6" i="2" a="1"/>
  <c r="EU6" i="2" s="1"/>
  <c r="EU8" i="2" a="1"/>
  <c r="EU8" i="2" s="1"/>
  <c r="EJ8" i="2" a="1"/>
  <c r="EJ8" i="2" s="1"/>
  <c r="EJ6" i="2" a="1"/>
  <c r="EJ6" i="2" s="1"/>
  <c r="EJ7" i="2" a="1"/>
  <c r="EJ7" i="2" s="1"/>
  <c r="EJ9" i="2" a="1"/>
  <c r="EJ9" i="2" s="1"/>
  <c r="DM10" i="2"/>
  <c r="DC10" i="2"/>
  <c r="DX10" i="2"/>
  <c r="DN6" i="2" a="1"/>
  <c r="DN6" i="2" s="1"/>
  <c r="DN9" i="2" a="1"/>
  <c r="DN9" i="2" s="1"/>
  <c r="DN7" i="2" a="1"/>
  <c r="DN7" i="2" s="1"/>
  <c r="DN8" i="2" a="1"/>
  <c r="DN8" i="2" s="1"/>
  <c r="DY6" i="2" a="1"/>
  <c r="DY6" i="2" s="1"/>
  <c r="DY9" i="2" a="1"/>
  <c r="DY9" i="2" s="1"/>
  <c r="DY8" i="2" a="1"/>
  <c r="DY8" i="2" s="1"/>
  <c r="DY7" i="2" a="1"/>
  <c r="DY7" i="2" s="1"/>
  <c r="CF6" i="2" a="1"/>
  <c r="CF6" i="2" s="1"/>
  <c r="CF9" i="2" a="1"/>
  <c r="CF9" i="2" s="1"/>
  <c r="CF7" i="2" a="1"/>
  <c r="CF7" i="2" s="1"/>
  <c r="CF8" i="2" a="1"/>
  <c r="CF8" i="2" s="1"/>
  <c r="CQ10" i="2"/>
  <c r="CR8" i="2" a="1"/>
  <c r="CR8" i="2" s="1"/>
  <c r="CR9" i="2" a="1"/>
  <c r="CR9" i="2" s="1"/>
  <c r="CR6" i="2" a="1"/>
  <c r="CR6" i="2" s="1"/>
  <c r="CR7" i="2" a="1"/>
  <c r="CR7" i="2" s="1"/>
  <c r="DD6" i="2" a="1"/>
  <c r="DD6" i="2" s="1"/>
  <c r="DD9" i="2" a="1"/>
  <c r="DD9" i="2" s="1"/>
  <c r="DD8" i="2" a="1"/>
  <c r="DD8" i="2" s="1"/>
  <c r="DD7" i="2" a="1"/>
  <c r="DD7" i="2" s="1"/>
  <c r="BT8" i="2" a="1"/>
  <c r="BT8" i="2" s="1"/>
  <c r="BT7" i="2" a="1"/>
  <c r="BT7" i="2" s="1"/>
  <c r="BT6" i="2" a="1"/>
  <c r="BT6" i="2" s="1"/>
  <c r="BT9" i="2" a="1"/>
  <c r="BT9" i="2" s="1"/>
  <c r="BS10" i="2"/>
  <c r="BH7" i="2" a="1"/>
  <c r="BH7" i="2" s="1"/>
  <c r="BH6" i="2" a="1"/>
  <c r="BH6" i="2" s="1"/>
  <c r="BH8" i="2" a="1"/>
  <c r="BH8" i="2" s="1"/>
  <c r="BH9" i="2" a="1"/>
  <c r="BH9" i="2" s="1"/>
  <c r="BG10" i="2"/>
  <c r="AU10" i="2"/>
  <c r="AV6" i="2" a="1"/>
  <c r="AV6" i="2" s="1"/>
  <c r="AV9" i="2" a="1"/>
  <c r="AV9" i="2" s="1"/>
  <c r="AV8" i="2" a="1"/>
  <c r="AV8" i="2" s="1"/>
  <c r="AV7" i="2" a="1"/>
  <c r="AV7" i="2" s="1"/>
  <c r="DN10" i="2" l="1"/>
  <c r="BH10" i="2"/>
  <c r="DO6" i="2" a="1"/>
  <c r="DO6" i="2" s="1"/>
  <c r="DO9" i="2" a="1"/>
  <c r="DO9" i="2" s="1"/>
  <c r="DO8" i="2" a="1"/>
  <c r="DO8" i="2" s="1"/>
  <c r="DO7" i="2" a="1"/>
  <c r="DO7" i="2" s="1"/>
  <c r="EJ10" i="2"/>
  <c r="EK6" i="2" a="1"/>
  <c r="EK6" i="2" s="1"/>
  <c r="EK8" i="2" a="1"/>
  <c r="EK8" i="2" s="1"/>
  <c r="EK7" i="2" a="1"/>
  <c r="EK7" i="2" s="1"/>
  <c r="EK9" i="2" a="1"/>
  <c r="EK9" i="2" s="1"/>
  <c r="EU10" i="2"/>
  <c r="DY10" i="2"/>
  <c r="EV6" i="2" a="1"/>
  <c r="EV6" i="2" s="1"/>
  <c r="EV7" i="2" a="1"/>
  <c r="EV7" i="2" s="1"/>
  <c r="EV9" i="2" a="1"/>
  <c r="EV9" i="2" s="1"/>
  <c r="EV8" i="2" a="1"/>
  <c r="EV8" i="2" s="1"/>
  <c r="DD10" i="2"/>
  <c r="DZ9" i="2" a="1"/>
  <c r="DZ9" i="2" s="1"/>
  <c r="DZ7" i="2" a="1"/>
  <c r="DZ7" i="2" s="1"/>
  <c r="DZ6" i="2" a="1"/>
  <c r="DZ6" i="2" s="1"/>
  <c r="DZ8" i="2" a="1"/>
  <c r="DZ8" i="2" s="1"/>
  <c r="CR10" i="2"/>
  <c r="CG9" i="2" a="1"/>
  <c r="CG9" i="2" s="1"/>
  <c r="CG6" i="2" a="1"/>
  <c r="CG6" i="2" s="1"/>
  <c r="CG7" i="2" a="1"/>
  <c r="CG7" i="2" s="1"/>
  <c r="CG8" i="2" a="1"/>
  <c r="CG8" i="2" s="1"/>
  <c r="DE6" i="2" a="1"/>
  <c r="DE6" i="2" s="1"/>
  <c r="DE9" i="2" a="1"/>
  <c r="DE9" i="2" s="1"/>
  <c r="DE8" i="2" a="1"/>
  <c r="DE8" i="2" s="1"/>
  <c r="DE7" i="2" a="1"/>
  <c r="DE7" i="2" s="1"/>
  <c r="CF10" i="2"/>
  <c r="CS7" i="2" a="1"/>
  <c r="CS7" i="2" s="1"/>
  <c r="CS9" i="2" a="1"/>
  <c r="CS9" i="2" s="1"/>
  <c r="CS8" i="2" a="1"/>
  <c r="CS8" i="2" s="1"/>
  <c r="CS6" i="2" a="1"/>
  <c r="CS6" i="2" s="1"/>
  <c r="BT10" i="2"/>
  <c r="BU8" i="2" a="1"/>
  <c r="BU8" i="2" s="1"/>
  <c r="BU7" i="2" a="1"/>
  <c r="BU7" i="2" s="1"/>
  <c r="BU6" i="2" a="1"/>
  <c r="BU6" i="2" s="1"/>
  <c r="BU9" i="2" a="1"/>
  <c r="BU9" i="2" s="1"/>
  <c r="BI9" i="2" a="1"/>
  <c r="BI9" i="2" s="1"/>
  <c r="BI8" i="2" a="1"/>
  <c r="BI8" i="2" s="1"/>
  <c r="BI7" i="2" a="1"/>
  <c r="BI7" i="2" s="1"/>
  <c r="BI6" i="2" a="1"/>
  <c r="BI6" i="2" s="1"/>
  <c r="AV10" i="2"/>
  <c r="AW7" i="2" a="1"/>
  <c r="AW7" i="2" s="1"/>
  <c r="AW6" i="2" a="1"/>
  <c r="AW6" i="2" s="1"/>
  <c r="AW9" i="2" a="1"/>
  <c r="AW9" i="2" s="1"/>
  <c r="AW8" i="2" a="1"/>
  <c r="AW8" i="2" s="1"/>
  <c r="BV7" i="2" l="1"/>
  <c r="BU15" i="2" s="1"/>
  <c r="CH9" i="2"/>
  <c r="CG17" i="2"/>
  <c r="BV8" i="2"/>
  <c r="BU16" i="2" s="1"/>
  <c r="CT8" i="2"/>
  <c r="CS16" i="2"/>
  <c r="AX8" i="2"/>
  <c r="AW16" i="2"/>
  <c r="CT9" i="2"/>
  <c r="CS17" i="2" s="1"/>
  <c r="AX9" i="2"/>
  <c r="AW17" i="2"/>
  <c r="CT7" i="2"/>
  <c r="CS15" i="2" s="1"/>
  <c r="BJ8" i="2"/>
  <c r="BI16" i="2" s="1"/>
  <c r="AW14" i="2"/>
  <c r="BJ9" i="2"/>
  <c r="DF7" i="2"/>
  <c r="DE15" i="2"/>
  <c r="DF8" i="2"/>
  <c r="DE16" i="2" s="1"/>
  <c r="DF9" i="2"/>
  <c r="DE17" i="2" s="1"/>
  <c r="AX7" i="2"/>
  <c r="AW15" i="2" s="1"/>
  <c r="BJ7" i="2"/>
  <c r="BI15" i="2"/>
  <c r="CH8" i="2"/>
  <c r="CG16" i="2" s="1"/>
  <c r="CH7" i="2"/>
  <c r="CG15" i="2"/>
  <c r="BV9" i="2"/>
  <c r="BU17" i="2"/>
  <c r="EV10" i="2"/>
  <c r="EW9" i="2" a="1"/>
  <c r="EW9" i="2" s="1"/>
  <c r="EW7" i="2" a="1"/>
  <c r="EW7" i="2" s="1"/>
  <c r="EW6" i="2" a="1"/>
  <c r="EW6" i="2" s="1"/>
  <c r="EW8" i="2" a="1"/>
  <c r="EW8" i="2" s="1"/>
  <c r="EK10" i="2"/>
  <c r="DZ10" i="2"/>
  <c r="EL6" i="2" a="1"/>
  <c r="EL6" i="2" s="1"/>
  <c r="EL8" i="2" a="1"/>
  <c r="EL8" i="2" s="1"/>
  <c r="EL7" i="2" a="1"/>
  <c r="EL7" i="2" s="1"/>
  <c r="EL9" i="2" a="1"/>
  <c r="EL9" i="2" s="1"/>
  <c r="EA6" i="2" a="1"/>
  <c r="EA6" i="2" s="1"/>
  <c r="EA7" i="2" a="1"/>
  <c r="EA7" i="2" s="1"/>
  <c r="EA9" i="2" a="1"/>
  <c r="EA9" i="2" s="1"/>
  <c r="EA8" i="2" a="1"/>
  <c r="EA8" i="2" s="1"/>
  <c r="DO10" i="2"/>
  <c r="DP9" i="2" a="1"/>
  <c r="DP9" i="2" s="1"/>
  <c r="DP7" i="2" a="1"/>
  <c r="DP7" i="2" s="1"/>
  <c r="DP8" i="2" a="1"/>
  <c r="DP8" i="2" s="1"/>
  <c r="DP6" i="2" a="1"/>
  <c r="DP6" i="2" s="1"/>
  <c r="DE10" i="2"/>
  <c r="DF6" i="2"/>
  <c r="CG10" i="2"/>
  <c r="CH6" i="2"/>
  <c r="CG14" i="2" s="1"/>
  <c r="CS10" i="2"/>
  <c r="CT6" i="2"/>
  <c r="CS14" i="2" s="1"/>
  <c r="BU10" i="2"/>
  <c r="BV6" i="2"/>
  <c r="BU14" i="2" s="1"/>
  <c r="BI10" i="2"/>
  <c r="BJ6" i="2"/>
  <c r="BI14" i="2" s="1"/>
  <c r="AW10" i="2"/>
  <c r="AX6" i="2"/>
  <c r="CT16" i="2" l="1"/>
  <c r="CJ16" i="2"/>
  <c r="CL16" i="2"/>
  <c r="CK16" i="2"/>
  <c r="CM16" i="2"/>
  <c r="CN16" i="2"/>
  <c r="CO16" i="2"/>
  <c r="CP16" i="2"/>
  <c r="CQ16" i="2"/>
  <c r="CR16" i="2"/>
  <c r="BJ15" i="2"/>
  <c r="AZ15" i="2"/>
  <c r="BA15" i="2"/>
  <c r="BB15" i="2"/>
  <c r="BC15" i="2"/>
  <c r="BD15" i="2"/>
  <c r="BE15" i="2"/>
  <c r="BF15" i="2"/>
  <c r="BG15" i="2"/>
  <c r="BH15" i="2"/>
  <c r="AX15" i="2"/>
  <c r="AO15" i="2"/>
  <c r="AN15" i="2"/>
  <c r="AP15" i="2"/>
  <c r="AQ15" i="2"/>
  <c r="AR15" i="2"/>
  <c r="AS15" i="2"/>
  <c r="AT15" i="2"/>
  <c r="AU15" i="2"/>
  <c r="AV15" i="2"/>
  <c r="BJ16" i="2"/>
  <c r="BA16" i="2"/>
  <c r="AZ16" i="2"/>
  <c r="BB16" i="2"/>
  <c r="BC16" i="2"/>
  <c r="BD16" i="2"/>
  <c r="BE16" i="2"/>
  <c r="BF16" i="2"/>
  <c r="BG16" i="2"/>
  <c r="BH16" i="2"/>
  <c r="AX10" i="2"/>
  <c r="AX14" i="2"/>
  <c r="AN14" i="2"/>
  <c r="AO14" i="2"/>
  <c r="AP14" i="2"/>
  <c r="AQ14" i="2"/>
  <c r="AR14" i="2"/>
  <c r="AS14" i="2"/>
  <c r="AT14" i="2"/>
  <c r="AU14" i="2"/>
  <c r="AV14" i="2"/>
  <c r="DF17" i="2"/>
  <c r="CW17" i="2"/>
  <c r="CV17" i="2"/>
  <c r="CX17" i="2"/>
  <c r="CY17" i="2"/>
  <c r="CZ17" i="2"/>
  <c r="DA17" i="2"/>
  <c r="DB17" i="2"/>
  <c r="DC17" i="2"/>
  <c r="DD17" i="2"/>
  <c r="CT15" i="2"/>
  <c r="CJ15" i="2"/>
  <c r="CL15" i="2"/>
  <c r="CK15" i="2"/>
  <c r="CM15" i="2"/>
  <c r="CN15" i="2"/>
  <c r="CO15" i="2"/>
  <c r="CP15" i="2"/>
  <c r="CQ15" i="2"/>
  <c r="CR15" i="2"/>
  <c r="BV16" i="2"/>
  <c r="BM16" i="2"/>
  <c r="BL16" i="2"/>
  <c r="BN16" i="2"/>
  <c r="BO16" i="2"/>
  <c r="BP16" i="2"/>
  <c r="BQ16" i="2"/>
  <c r="BR16" i="2"/>
  <c r="BS16" i="2"/>
  <c r="BT16" i="2"/>
  <c r="DF10" i="2"/>
  <c r="DF14" i="2"/>
  <c r="CV14" i="2"/>
  <c r="CW14" i="2"/>
  <c r="CX14" i="2"/>
  <c r="CY14" i="2"/>
  <c r="CZ14" i="2"/>
  <c r="DA14" i="2"/>
  <c r="DB14" i="2"/>
  <c r="DC14" i="2"/>
  <c r="DD14" i="2"/>
  <c r="DE14" i="2"/>
  <c r="BJ17" i="2"/>
  <c r="BA17" i="2"/>
  <c r="AZ17" i="2"/>
  <c r="BB17" i="2"/>
  <c r="BC17" i="2"/>
  <c r="BD17" i="2"/>
  <c r="BE17" i="2"/>
  <c r="BF17" i="2"/>
  <c r="BG17" i="2"/>
  <c r="BH17" i="2"/>
  <c r="BV17" i="2"/>
  <c r="BL17" i="2"/>
  <c r="BM17" i="2"/>
  <c r="BN17" i="2"/>
  <c r="BO17" i="2"/>
  <c r="BP17" i="2"/>
  <c r="BQ17" i="2"/>
  <c r="BR17" i="2"/>
  <c r="BS17" i="2"/>
  <c r="BT17" i="2"/>
  <c r="AX17" i="2"/>
  <c r="AN17" i="2"/>
  <c r="AO17" i="2"/>
  <c r="AP17" i="2"/>
  <c r="AQ17" i="2"/>
  <c r="AR17" i="2"/>
  <c r="AS17" i="2"/>
  <c r="AT17" i="2"/>
  <c r="AU17" i="2"/>
  <c r="AV17" i="2"/>
  <c r="DF16" i="2"/>
  <c r="CW16" i="2"/>
  <c r="CV16" i="2"/>
  <c r="CX16" i="2"/>
  <c r="CY16" i="2"/>
  <c r="CZ16" i="2"/>
  <c r="DA16" i="2"/>
  <c r="DB16" i="2"/>
  <c r="DC16" i="2"/>
  <c r="DD16" i="2"/>
  <c r="CT17" i="2"/>
  <c r="CJ17" i="2"/>
  <c r="CL17" i="2"/>
  <c r="CK17" i="2"/>
  <c r="CM17" i="2"/>
  <c r="CN17" i="2"/>
  <c r="CO17" i="2"/>
  <c r="CP17" i="2"/>
  <c r="CQ17" i="2"/>
  <c r="CR17" i="2"/>
  <c r="CH15" i="2"/>
  <c r="BY15" i="2"/>
  <c r="BX15" i="2"/>
  <c r="BZ15" i="2"/>
  <c r="CA15" i="2"/>
  <c r="CB15" i="2"/>
  <c r="CC15" i="2"/>
  <c r="CD15" i="2"/>
  <c r="CE15" i="2"/>
  <c r="CF15" i="2"/>
  <c r="CH17" i="2"/>
  <c r="BX17" i="2"/>
  <c r="BY17" i="2"/>
  <c r="BZ17" i="2"/>
  <c r="CA17" i="2"/>
  <c r="CB17" i="2"/>
  <c r="CC17" i="2"/>
  <c r="CD17" i="2"/>
  <c r="CE17" i="2"/>
  <c r="CF17" i="2"/>
  <c r="AX16" i="2"/>
  <c r="AN16" i="2"/>
  <c r="AO16" i="2"/>
  <c r="AP16" i="2"/>
  <c r="AQ16" i="2"/>
  <c r="AR16" i="2"/>
  <c r="AS16" i="2"/>
  <c r="AT16" i="2"/>
  <c r="AU16" i="2"/>
  <c r="AV16" i="2"/>
  <c r="DF15" i="2"/>
  <c r="CV15" i="2"/>
  <c r="CW15" i="2"/>
  <c r="CX15" i="2"/>
  <c r="CY15" i="2"/>
  <c r="CZ15" i="2"/>
  <c r="DA15" i="2"/>
  <c r="DB15" i="2"/>
  <c r="DC15" i="2"/>
  <c r="DD15" i="2"/>
  <c r="BV15" i="2"/>
  <c r="BM15" i="2"/>
  <c r="BL15" i="2"/>
  <c r="BN15" i="2"/>
  <c r="BO15" i="2"/>
  <c r="BP15" i="2"/>
  <c r="BQ15" i="2"/>
  <c r="BR15" i="2"/>
  <c r="BS15" i="2"/>
  <c r="BT15" i="2"/>
  <c r="BJ10" i="2"/>
  <c r="BJ14" i="2"/>
  <c r="BA14" i="2"/>
  <c r="AZ14" i="2"/>
  <c r="BB14" i="2"/>
  <c r="BC14" i="2"/>
  <c r="BD14" i="2"/>
  <c r="BE14" i="2"/>
  <c r="BF14" i="2"/>
  <c r="BG14" i="2"/>
  <c r="BH14" i="2"/>
  <c r="BV10" i="2"/>
  <c r="BV14" i="2"/>
  <c r="BL14" i="2"/>
  <c r="BM14" i="2"/>
  <c r="BN14" i="2"/>
  <c r="BO14" i="2"/>
  <c r="BP14" i="2"/>
  <c r="BQ14" i="2"/>
  <c r="BR14" i="2"/>
  <c r="BS14" i="2"/>
  <c r="BT14" i="2"/>
  <c r="CT10" i="2"/>
  <c r="CT14" i="2"/>
  <c r="CJ14" i="2"/>
  <c r="CL14" i="2"/>
  <c r="CK14" i="2"/>
  <c r="CM14" i="2"/>
  <c r="CN14" i="2"/>
  <c r="CO14" i="2"/>
  <c r="CP14" i="2"/>
  <c r="CQ14" i="2"/>
  <c r="CR14" i="2"/>
  <c r="CH10" i="2"/>
  <c r="CH14" i="2"/>
  <c r="BY14" i="2"/>
  <c r="BX14" i="2"/>
  <c r="BZ14" i="2"/>
  <c r="CA14" i="2"/>
  <c r="CB14" i="2"/>
  <c r="CC14" i="2"/>
  <c r="CD14" i="2"/>
  <c r="CE14" i="2"/>
  <c r="CF14" i="2"/>
  <c r="CH16" i="2"/>
  <c r="BX16" i="2"/>
  <c r="BY16" i="2"/>
  <c r="BZ16" i="2"/>
  <c r="CA16" i="2"/>
  <c r="CB16" i="2"/>
  <c r="CC16" i="2"/>
  <c r="CD16" i="2"/>
  <c r="CE16" i="2"/>
  <c r="CF16" i="2"/>
  <c r="BI17" i="2"/>
  <c r="EA10" i="2"/>
  <c r="EB8" i="2" a="1"/>
  <c r="EB8" i="2" s="1"/>
  <c r="EB9" i="2" a="1"/>
  <c r="EB9" i="2" s="1"/>
  <c r="EB6" i="2" a="1"/>
  <c r="EB6" i="2" s="1"/>
  <c r="EB7" i="2" a="1"/>
  <c r="EB7" i="2" s="1"/>
  <c r="EL10" i="2"/>
  <c r="EM9" i="2" a="1"/>
  <c r="EM9" i="2" s="1"/>
  <c r="EM7" i="2" a="1"/>
  <c r="EM7" i="2" s="1"/>
  <c r="EM6" i="2" a="1"/>
  <c r="EM6" i="2" s="1"/>
  <c r="EM8" i="2" a="1"/>
  <c r="EM8" i="2" s="1"/>
  <c r="DP10" i="2"/>
  <c r="EW10" i="2"/>
  <c r="DQ7" i="2" a="1"/>
  <c r="DQ7" i="2" s="1"/>
  <c r="DQ8" i="2" a="1"/>
  <c r="DQ8" i="2" s="1"/>
  <c r="DQ9" i="2" a="1"/>
  <c r="DQ9" i="2" s="1"/>
  <c r="DQ6" i="2" a="1"/>
  <c r="DQ6" i="2" s="1"/>
  <c r="EX7" i="2" a="1"/>
  <c r="EX7" i="2" s="1"/>
  <c r="EX6" i="2" a="1"/>
  <c r="EX6" i="2" s="1"/>
  <c r="EX9" i="2" a="1"/>
  <c r="EX9" i="2" s="1"/>
  <c r="EX8" i="2" a="1"/>
  <c r="EX8" i="2" s="1"/>
  <c r="DR9" i="2" l="1"/>
  <c r="DQ17" i="2"/>
  <c r="DQ14" i="2"/>
  <c r="DR8" i="2"/>
  <c r="DQ16" i="2" s="1"/>
  <c r="DR7" i="2"/>
  <c r="DQ15" i="2"/>
  <c r="DQ10" i="2"/>
  <c r="EM10" i="2"/>
  <c r="EN7" i="2" a="1"/>
  <c r="EN7" i="2" s="1"/>
  <c r="EN9" i="2" a="1"/>
  <c r="EN9" i="2" s="1"/>
  <c r="EN6" i="2" a="1"/>
  <c r="EN6" i="2" s="1"/>
  <c r="EN8" i="2" a="1"/>
  <c r="EN8" i="2" s="1"/>
  <c r="EX10" i="2"/>
  <c r="EY7" i="2" a="1"/>
  <c r="EY7" i="2" s="1"/>
  <c r="EY8" i="2" a="1"/>
  <c r="EY8" i="2" s="1"/>
  <c r="EY9" i="2" a="1"/>
  <c r="EY9" i="2" s="1"/>
  <c r="EY6" i="2" a="1"/>
  <c r="EY6" i="2" s="1"/>
  <c r="DR6" i="2"/>
  <c r="EB10" i="2"/>
  <c r="EC8" i="2" a="1"/>
  <c r="EC8" i="2" s="1"/>
  <c r="EC6" i="2" a="1"/>
  <c r="EC6" i="2" s="1"/>
  <c r="EC7" i="2" a="1"/>
  <c r="EC7" i="2" s="1"/>
  <c r="EC9" i="2" a="1"/>
  <c r="EC9" i="2" s="1"/>
  <c r="ED8" i="2" l="1"/>
  <c r="EC16" i="2"/>
  <c r="DR15" i="2"/>
  <c r="DH15" i="2"/>
  <c r="DI15" i="2"/>
  <c r="DJ15" i="2"/>
  <c r="DK15" i="2"/>
  <c r="DL15" i="2"/>
  <c r="DM15" i="2"/>
  <c r="DN15" i="2"/>
  <c r="DO15" i="2"/>
  <c r="DP15" i="2"/>
  <c r="DR10" i="2"/>
  <c r="DR14" i="2"/>
  <c r="DH14" i="2"/>
  <c r="DI14" i="2"/>
  <c r="DJ14" i="2"/>
  <c r="DK14" i="2"/>
  <c r="DL14" i="2"/>
  <c r="DM14" i="2"/>
  <c r="DN14" i="2"/>
  <c r="DO14" i="2"/>
  <c r="DP14" i="2"/>
  <c r="ED7" i="2"/>
  <c r="EC15" i="2"/>
  <c r="DR16" i="2"/>
  <c r="DH16" i="2"/>
  <c r="DI16" i="2"/>
  <c r="DJ16" i="2"/>
  <c r="DK16" i="2"/>
  <c r="DL16" i="2"/>
  <c r="DM16" i="2"/>
  <c r="DN16" i="2"/>
  <c r="DO16" i="2"/>
  <c r="DP16" i="2"/>
  <c r="DR17" i="2"/>
  <c r="DH17" i="2"/>
  <c r="DI17" i="2"/>
  <c r="DJ17" i="2"/>
  <c r="DK17" i="2"/>
  <c r="DL17" i="2"/>
  <c r="DM17" i="2"/>
  <c r="DN17" i="2"/>
  <c r="DO17" i="2"/>
  <c r="DP17" i="2"/>
  <c r="ED9" i="2"/>
  <c r="EC17" i="2" s="1"/>
  <c r="EN10" i="2"/>
  <c r="EY10" i="2"/>
  <c r="EZ8" i="2" a="1"/>
  <c r="EZ8" i="2" s="1"/>
  <c r="EZ7" i="2" a="1"/>
  <c r="EZ7" i="2" s="1"/>
  <c r="EZ9" i="2" a="1"/>
  <c r="EZ9" i="2" s="1"/>
  <c r="EZ6" i="2" a="1"/>
  <c r="EZ6" i="2" s="1"/>
  <c r="EO9" i="2" a="1"/>
  <c r="EO9" i="2" s="1"/>
  <c r="EO8" i="2" a="1"/>
  <c r="EO8" i="2" s="1"/>
  <c r="EO6" i="2" a="1"/>
  <c r="EO6" i="2" s="1"/>
  <c r="EO7" i="2" a="1"/>
  <c r="EO7" i="2" s="1"/>
  <c r="EC10" i="2"/>
  <c r="ED6" i="2"/>
  <c r="EC14" i="2" s="1"/>
  <c r="EP9" i="2" l="1"/>
  <c r="EO17" i="2"/>
  <c r="ED15" i="2"/>
  <c r="DT15" i="2"/>
  <c r="DU15" i="2"/>
  <c r="DV15" i="2"/>
  <c r="DW15" i="2"/>
  <c r="DX15" i="2"/>
  <c r="DY15" i="2"/>
  <c r="DZ15" i="2"/>
  <c r="EA15" i="2"/>
  <c r="EB15" i="2"/>
  <c r="ED17" i="2"/>
  <c r="DT17" i="2"/>
  <c r="DU17" i="2"/>
  <c r="DV17" i="2"/>
  <c r="DW17" i="2"/>
  <c r="DX17" i="2"/>
  <c r="DY17" i="2"/>
  <c r="DZ17" i="2"/>
  <c r="EA17" i="2"/>
  <c r="EB17" i="2"/>
  <c r="EP8" i="2"/>
  <c r="EO16" i="2" s="1"/>
  <c r="ED10" i="2"/>
  <c r="ED14" i="2"/>
  <c r="DT14" i="2"/>
  <c r="DU14" i="2"/>
  <c r="DV14" i="2"/>
  <c r="DW14" i="2"/>
  <c r="DX14" i="2"/>
  <c r="DY14" i="2"/>
  <c r="DZ14" i="2"/>
  <c r="EA14" i="2"/>
  <c r="EB14" i="2"/>
  <c r="EP7" i="2"/>
  <c r="EO15" i="2"/>
  <c r="EO14" i="2"/>
  <c r="ED16" i="2"/>
  <c r="DT16" i="2"/>
  <c r="DU16" i="2"/>
  <c r="DV16" i="2"/>
  <c r="DW16" i="2"/>
  <c r="DX16" i="2"/>
  <c r="DY16" i="2"/>
  <c r="DZ16" i="2"/>
  <c r="EA16" i="2"/>
  <c r="EB16" i="2"/>
  <c r="EO10" i="2"/>
  <c r="EZ10" i="2"/>
  <c r="FA8" i="2" a="1"/>
  <c r="FA8" i="2" s="1"/>
  <c r="FA7" i="2" a="1"/>
  <c r="FA7" i="2" s="1"/>
  <c r="FA9" i="2" a="1"/>
  <c r="FA9" i="2" s="1"/>
  <c r="FA6" i="2" a="1"/>
  <c r="FA6" i="2" s="1"/>
  <c r="EP6" i="2"/>
  <c r="FB9" i="2" l="1"/>
  <c r="FA17" i="2" s="1"/>
  <c r="EP15" i="2"/>
  <c r="EF15" i="2"/>
  <c r="EG15" i="2"/>
  <c r="EH15" i="2"/>
  <c r="EI15" i="2"/>
  <c r="EJ15" i="2"/>
  <c r="EK15" i="2"/>
  <c r="EL15" i="2"/>
  <c r="EM15" i="2"/>
  <c r="EN15" i="2"/>
  <c r="FB7" i="2"/>
  <c r="FA15" i="2"/>
  <c r="EP17" i="2"/>
  <c r="EF17" i="2"/>
  <c r="EG17" i="2"/>
  <c r="EH17" i="2"/>
  <c r="EI17" i="2"/>
  <c r="EJ17" i="2"/>
  <c r="EK17" i="2"/>
  <c r="EL17" i="2"/>
  <c r="EM17" i="2"/>
  <c r="EN17" i="2"/>
  <c r="EP10" i="2"/>
  <c r="EP14" i="2"/>
  <c r="EF14" i="2"/>
  <c r="EG14" i="2"/>
  <c r="EH14" i="2"/>
  <c r="EI14" i="2"/>
  <c r="EJ14" i="2"/>
  <c r="EK14" i="2"/>
  <c r="EL14" i="2"/>
  <c r="EM14" i="2"/>
  <c r="EN14" i="2"/>
  <c r="EP16" i="2"/>
  <c r="EF16" i="2"/>
  <c r="EG16" i="2"/>
  <c r="EH16" i="2"/>
  <c r="EI16" i="2"/>
  <c r="EJ16" i="2"/>
  <c r="EK16" i="2"/>
  <c r="EL16" i="2"/>
  <c r="EM16" i="2"/>
  <c r="EN16" i="2"/>
  <c r="FA14" i="2"/>
  <c r="FB8" i="2"/>
  <c r="FA10" i="2"/>
  <c r="FB6" i="2"/>
  <c r="FB15" i="2" l="1"/>
  <c r="ER15" i="2"/>
  <c r="ES15" i="2"/>
  <c r="ET15" i="2"/>
  <c r="EU15" i="2"/>
  <c r="EV15" i="2"/>
  <c r="EW15" i="2"/>
  <c r="EX15" i="2"/>
  <c r="EY15" i="2"/>
  <c r="EZ15" i="2"/>
  <c r="FB16" i="2"/>
  <c r="ER16" i="2"/>
  <c r="ES16" i="2"/>
  <c r="ET16" i="2"/>
  <c r="EU16" i="2"/>
  <c r="EV16" i="2"/>
  <c r="EW16" i="2"/>
  <c r="EX16" i="2"/>
  <c r="EY16" i="2"/>
  <c r="EZ16" i="2"/>
  <c r="FA16" i="2"/>
  <c r="FB10" i="2"/>
  <c r="FB14" i="2"/>
  <c r="ER14" i="2"/>
  <c r="ES14" i="2"/>
  <c r="ET14" i="2"/>
  <c r="EU14" i="2"/>
  <c r="EV14" i="2"/>
  <c r="EW14" i="2"/>
  <c r="EX14" i="2"/>
  <c r="EY14" i="2"/>
  <c r="EZ14" i="2"/>
  <c r="FB17" i="2"/>
  <c r="ER17" i="2"/>
  <c r="ES17" i="2"/>
  <c r="ET17" i="2"/>
  <c r="EU17" i="2"/>
  <c r="EV17" i="2"/>
  <c r="EW17" i="2"/>
  <c r="EX17" i="2"/>
  <c r="EY17" i="2"/>
  <c r="EZ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<sst xmlns="http://schemas.openxmlformats.org/spreadsheetml/2006/main" count="3510" uniqueCount="100">
  <si>
    <t>Year</t>
  </si>
  <si>
    <t>Month</t>
  </si>
  <si>
    <t>Main SKU</t>
  </si>
  <si>
    <t>Main SKU name</t>
  </si>
  <si>
    <t>Material-Nhập</t>
  </si>
  <si>
    <t>Nhập-SPC-NX</t>
  </si>
  <si>
    <t>Nhập-SPP-NX</t>
  </si>
  <si>
    <t>Nhập-SPC+SPP-NX</t>
  </si>
  <si>
    <t>110000329</t>
  </si>
  <si>
    <t>Hạt nhựa rPET WSS01</t>
  </si>
  <si>
    <t>110000331</t>
  </si>
  <si>
    <t>Hạt nhựa rPET WSS02</t>
  </si>
  <si>
    <t>110000333</t>
  </si>
  <si>
    <t>Hạt nhựa rPET WSS03</t>
  </si>
  <si>
    <t>110000332</t>
  </si>
  <si>
    <t>Hạt nhựa rPET iSS01084G</t>
  </si>
  <si>
    <t>110000354</t>
  </si>
  <si>
    <t>Hạt nhựa rPET WSS01G 1</t>
  </si>
  <si>
    <t>110000355</t>
  </si>
  <si>
    <t>Hạt nhựa rPET iSS01G 1</t>
  </si>
  <si>
    <t>110000358</t>
  </si>
  <si>
    <t>Hạt nhựa rPET WSS02G</t>
  </si>
  <si>
    <t>110000359</t>
  </si>
  <si>
    <t>Hạt nhựa rPET WSS03G</t>
  </si>
  <si>
    <t>110000377</t>
  </si>
  <si>
    <t>Hạt nhựa rPET WSS01G 2</t>
  </si>
  <si>
    <t>110000378</t>
  </si>
  <si>
    <t>Hạt nhựa rPET iSS01G 2</t>
  </si>
  <si>
    <t>110000383</t>
  </si>
  <si>
    <t>Hạt Nhựa rPET iSS84G-P</t>
  </si>
  <si>
    <t>110000468</t>
  </si>
  <si>
    <t>Hạt Nhựa rPET iSS80G-P</t>
  </si>
  <si>
    <t>110000475</t>
  </si>
  <si>
    <t>Hạt nhựa rPET WSS03G FRH</t>
  </si>
  <si>
    <t>110000492</t>
  </si>
  <si>
    <t>Hạt Nhựa rPET WSS03G PL</t>
  </si>
  <si>
    <t>110000493</t>
  </si>
  <si>
    <t>Hạt Nhựa rPET WSS01 PL</t>
  </si>
  <si>
    <t>110000488</t>
  </si>
  <si>
    <t>Hạt Nhựa rPET iSS01084G PL</t>
  </si>
  <si>
    <t>110000484</t>
  </si>
  <si>
    <t>Hạt Nhựa rPET WSS01G 1 PL</t>
  </si>
  <si>
    <t>110000486</t>
  </si>
  <si>
    <t>Hạt Nhựa rPET iSS01G 1 PL</t>
  </si>
  <si>
    <t>110000483</t>
  </si>
  <si>
    <t>Hạt Nhựa rPET iSS01G-S</t>
  </si>
  <si>
    <t>110000491</t>
  </si>
  <si>
    <t>Hạt Nhựa rPET iSS01G-S PL</t>
  </si>
  <si>
    <t>110000497</t>
  </si>
  <si>
    <t>Hạt Nhựa rPET WSS01G-L</t>
  </si>
  <si>
    <t>110000487</t>
  </si>
  <si>
    <t>Hạt Nhựa rPET iSS01G 2 PL</t>
  </si>
  <si>
    <t>110000376</t>
  </si>
  <si>
    <t>Hạt nhựa rPET iSS01L</t>
  </si>
  <si>
    <t>110000499</t>
  </si>
  <si>
    <t>Hạt Nhựa rPET WSS01L</t>
  </si>
  <si>
    <t>110000500</t>
  </si>
  <si>
    <t>Hạt Nhựa rPET WSS01L PL</t>
  </si>
  <si>
    <t>110000485</t>
  </si>
  <si>
    <t>Hạt Nhựa rPET WSS01G 2 PL</t>
  </si>
  <si>
    <t>110000498</t>
  </si>
  <si>
    <t>Hạt Nhựa rPET WSS01G-L PL</t>
  </si>
  <si>
    <t>160012869</t>
  </si>
  <si>
    <t>Vảy PET WSS03G Mixed</t>
  </si>
  <si>
    <t>Material description-Nhập</t>
  </si>
  <si>
    <t>Main SKU name_GOM</t>
  </si>
  <si>
    <t>SKU name_gom</t>
  </si>
  <si>
    <t>WSS02</t>
  </si>
  <si>
    <t>iSS01084</t>
  </si>
  <si>
    <t>iSS01</t>
  </si>
  <si>
    <t>WSS01</t>
  </si>
  <si>
    <t>WSS03</t>
  </si>
  <si>
    <t>iSS01084-PL</t>
  </si>
  <si>
    <t>iSS01-PL</t>
  </si>
  <si>
    <t>WSS01-PL</t>
  </si>
  <si>
    <t>WSS03-PL</t>
  </si>
  <si>
    <t>Khác</t>
  </si>
  <si>
    <t>SKU name_NHẬP_GOM</t>
  </si>
  <si>
    <t>TỔNG</t>
  </si>
  <si>
    <r>
      <t xml:space="preserve">Main SKU name
</t>
    </r>
    <r>
      <rPr>
        <i/>
        <sz val="9"/>
        <color theme="0"/>
        <rFont val="Aptos Display"/>
        <family val="2"/>
        <scheme val="major"/>
      </rPr>
      <t>(Đvt: tấn)</t>
    </r>
  </si>
  <si>
    <t>FY</t>
  </si>
  <si>
    <t>NĂM 2024-THU HỒI</t>
  </si>
  <si>
    <t>THÁNG 1-THU HỒI</t>
  </si>
  <si>
    <t>THÁNG 2-THU HỒI</t>
  </si>
  <si>
    <t>THÁNG 3-THU HỒI</t>
  </si>
  <si>
    <t>THÁNG 4-THU HỒI</t>
  </si>
  <si>
    <t>THÁNG 5-THU HỒI</t>
  </si>
  <si>
    <t>THÁNG 6-THU HỒI</t>
  </si>
  <si>
    <t>THÁNG 7-THU HỒI</t>
  </si>
  <si>
    <t>THÁNG 8-THU HỒI</t>
  </si>
  <si>
    <t>THÁNG 9-THU HỒI</t>
  </si>
  <si>
    <t>THÁNG 10-THU HỒI</t>
  </si>
  <si>
    <t>THÁNG 11-THU HỒI</t>
  </si>
  <si>
    <t>THÁNG 12-THU HỒI</t>
  </si>
  <si>
    <t>%Thu hồi</t>
  </si>
  <si>
    <t>NĂM 2026-THU HỒI</t>
  </si>
  <si>
    <t>NĂM 2025-THU HỒI</t>
  </si>
  <si>
    <t>% Cơ cấu thành phẩm</t>
  </si>
  <si>
    <t>Tổng</t>
  </si>
  <si>
    <t>NĂM 2024-2026-THU HỒI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</si>
</sst>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,_);_(* \(#,##0,\);_(* &quot;-&quot;??_);_(@_)"/>
    <numFmt numFmtId="166" formatCode="0.0%;\-0.0%;;"/>
  </numFmts>
  <fonts count="10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i/>
      <sz val="9"/>
      <color theme="0"/>
      <name val="Aptos Display"/>
      <family val="2"/>
      <scheme val="major"/>
    </font>
    <font>
      <sz val="11"/>
      <color theme="7" tint="-0.249977111117893"/>
      <name val="Aptos Display"/>
      <family val="2"/>
      <scheme val="major"/>
    </font>
    <font>
      <b/>
      <sz val="11"/>
      <color theme="7" tint="-0.249977111117893"/>
      <name val="Aptos Display"/>
      <family val="2"/>
      <scheme val="major"/>
    </font>
    <font>
      <b/>
      <sz val="11"/>
      <color rgb="FF0070C0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theme="7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164" fontId="0" fillId="0" borderId="0" xfId="1" applyNumberFormat="1" applyFont="1"/>
    <xf numFmtId="0" fontId="2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165" fontId="0" fillId="0" borderId="0" xfId="1" applyNumberFormat="1" applyFont="1"/>
    <xf numFmtId="165" fontId="3" fillId="0" borderId="1" xfId="1" applyNumberFormat="1" applyFont="1" applyBorder="1"/>
    <xf numFmtId="0" fontId="2" fillId="5" borderId="0" xfId="0" applyFont="1" applyFill="1" applyAlignment="1">
      <alignment horizontal="centerContinuous"/>
    </xf>
    <xf numFmtId="0" fontId="2" fillId="5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165" fontId="3" fillId="0" borderId="0" xfId="1" applyNumberFormat="1" applyFont="1"/>
    <xf numFmtId="0" fontId="7" fillId="0" borderId="0" xfId="0" applyFont="1"/>
    <xf numFmtId="0" fontId="8" fillId="0" borderId="4" xfId="0" applyFont="1" applyBorder="1"/>
    <xf numFmtId="0" fontId="7" fillId="0" borderId="4" xfId="0" applyFont="1" applyBorder="1"/>
    <xf numFmtId="166" fontId="7" fillId="0" borderId="0" xfId="0" applyNumberFormat="1" applyFont="1"/>
    <xf numFmtId="166" fontId="8" fillId="0" borderId="0" xfId="0" applyNumberFormat="1" applyFont="1"/>
    <xf numFmtId="166" fontId="7" fillId="6" borderId="0" xfId="0" applyNumberFormat="1" applyFont="1" applyFill="1"/>
    <xf numFmtId="0" fontId="2" fillId="4" borderId="3" xfId="0" applyFont="1" applyFill="1" applyBorder="1" applyAlignment="1">
      <alignment horizont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9" fontId="0" fillId="0" borderId="0" xfId="2" applyFont="1"/>
    <xf numFmtId="9" fontId="3" fillId="0" borderId="0" xfId="2" applyFont="1"/>
    <xf numFmtId="0" fontId="8" fillId="0" borderId="0" xfId="0" applyFont="1"/>
    <xf numFmtId="9" fontId="0" fillId="8" borderId="0" xfId="2" applyFont="1" applyFill="1"/>
    <xf numFmtId="9" fontId="0" fillId="9" borderId="0" xfId="2" applyFont="1" applyFill="1"/>
    <xf numFmtId="9" fontId="9" fillId="7" borderId="0" xfId="2" applyFont="1" applyFill="1"/>
    <xf numFmtId="166" fontId="8" fillId="6" borderId="0" xfId="0" applyNumberFormat="1" applyFont="1" applyFill="1"/>
    <xf numFmtId="0" fontId="8" fillId="10" borderId="0" xfId="0" applyFont="1" applyFill="1"/>
    <xf numFmtId="0" fontId="0" fillId="10" borderId="0" xfId="0" applyFill="1"/>
    <xf numFmtId="166" fontId="7" fillId="10" borderId="0" xfId="0" applyNumberFormat="1" applyFont="1" applyFill="1"/>
    <xf numFmtId="166" fontId="8" fillId="10" borderId="0" xfId="0" applyNumberFormat="1" applyFont="1" applyFill="1"/>
    <xf numFmtId="165" fontId="3" fillId="0" borderId="0" xfId="1" applyNumberFormat="1" applyFont="1" applyFill="1" applyBorder="1"/>
    <xf numFmtId="16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&#225;o%20CT%20_Model/Gi&#225;%20b&#225;n%20th&#7921;c%20t&#7871;%20Act%202024,2025,YTD0325-.xlsx" TargetMode="External"/><Relationship Id="rId2" Type="http://schemas.openxmlformats.org/officeDocument/2006/relationships/externalLinkPath" Target="file:///C:\Data\G&#272;%20T&#224;i%20ch&#237;nh\Cost%20Controlling\Costing%20Flow%20Chart\B&#225;o%20CT%20_Model\Gi&#225;%20b&#225;n%20th&#7921;c%20t&#7871;%20Act%202024,2025,YTD0325-.xlsx" TargetMode="External"/><Relationship Id="rId1" Type="http://schemas.openxmlformats.org/officeDocument/2006/relationships/externalLinkPath" Target="/Data/G&#272;%20T&#224;i%20ch&#237;nh/Cost%20Controlling/Costing%20Flow%20Chart/B&#225;o%20CT%20_Model/Gi&#225;%20b&#225;n%20th&#7921;c%20t&#7871;%20Act%202024,2025,YTD0325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Data-Cũ"/>
      <sheetName val="Tóm tắt"/>
      <sheetName val="Chart"/>
      <sheetName val="Chart 1"/>
      <sheetName val="Chart 2_Thi truong"/>
      <sheetName val="Chart 2_KTQT"/>
      <sheetName val="Chart 2_TT&amp;KTQT"/>
    </sheetNames>
    <sheetDataSet>
      <sheetData sheetId="0"/>
      <sheetData sheetId="1"/>
      <sheetData sheetId="2">
        <row r="13">
          <cell r="R13">
            <v>35471668.200000003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C1A84-033C-4556-BFB4-F5449B15FF8C}" name="Data" displayName="Data" ref="A2:K537" totalsRowShown="0" headerRowDxfId="6">
  <autoFilter ref="A2:K537" xr:uid="{337C1A84-033C-4556-BFB4-F5449B15FF8C}"/>
  <tableColumns count="11">
    <tableColumn id="1" xr3:uid="{6C2923D1-BE5B-424C-B592-FD6DE6F9DC4B}" name="Year"/>
    <tableColumn id="2" xr3:uid="{45FECEFF-4C70-42F1-BD0D-1A35D3E4333A}" name="Month"/>
    <tableColumn id="3" xr3:uid="{EDD6FC0E-B528-483F-A714-8050FF9E4773}" name="Main SKU"/>
    <tableColumn id="4" xr3:uid="{08DDFE18-3CB6-47C1-8E97-4B0F104802F1}" name="Main SKU name"/>
    <tableColumn id="5" xr3:uid="{E2A0ED2D-93DD-465B-BB22-06E125CF0169}" name="Material-Nhập"/>
    <tableColumn id="6" xr3:uid="{7DD62EC4-A3B7-4894-8935-25B758B60F1E}" name="Material description-Nhập"/>
    <tableColumn id="7" xr3:uid="{6ADBB7F8-C855-4D9D-B7B8-CBF5977C1D62}" name="Nhập-SPC-NX" dataDxfId="5" dataCellStyle="Comma"/>
    <tableColumn id="8" xr3:uid="{5B4785B8-56E3-4D7D-B91E-F919341409DC}" name="Nhập-SPP-NX" dataDxfId="4" dataCellStyle="Comma"/>
    <tableColumn id="9" xr3:uid="{6F3CF361-D90C-44EA-AB34-5331F2DEF262}" name="Nhập-SPC+SPP-NX" dataDxfId="3" dataCellStyle="Comma"/>
    <tableColumn id="10" xr3:uid="{B3BAC7AC-3730-482D-B995-BE2B0094AA1A}" name="Main SKU name_GOM" dataDxfId="2" dataCellStyle="Comma">
      <calculatedColumnFormula>_xlfn.XLOOKUP(Data[[#This Row],[Main SKU]],MD_Main_SKU[Main SKU],MD_Main_SKU[SKU name_gom])</calculatedColumnFormula>
    </tableColumn>
    <tableColumn id="11" xr3:uid="{87698C3B-E2D0-4954-B210-0DB7B10EFB05}" name="SKU name_NHẬP_GOM" dataDxfId="1" dataCellStyle="Comma">
      <calculatedColumnFormula>_xlfn.XLOOKUP(Data[[#This Row],[Material-Nhập]],MD_Main_SKU[Main SKU],MD_Main_SKU[SKU name_gom])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FBC0F-4348-446C-867E-0FE9BFD787F9}" name="MD_Main_SKU" displayName="MD_Main_SKU" ref="A2:C30" totalsRowShown="0" headerRowDxfId="0">
  <autoFilter ref="A2:C30" xr:uid="{2A2FBC0F-4348-446C-867E-0FE9BFD787F9}"/>
  <tableColumns count="3">
    <tableColumn id="1" xr3:uid="{72585A5C-D81A-4D3E-8FEE-F498CC4EDF64}" name="Main SKU"/>
    <tableColumn id="2" xr3:uid="{632A3170-3063-4DB1-9FEB-199E5562BC3A}" name="Main SKU name"/>
    <tableColumn id="3" xr3:uid="{67931DDE-0FA2-4CD3-BB08-A71ED74A5807}" name="SKU name_go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E32E-1EC1-4700-8F41-40990CA901A1}">
  <sheetPr>
    <tabColor rgb="FF00B050"/>
  </sheetPr>
  <dimension ref="A1:FB41"/>
  <sheetViews>
    <sheetView showGridLines="0" zoomScale="115" zoomScaleNormal="115" workbookViewId="0">
      <pane xSplit="2" ySplit="5" topLeftCell="C11" activePane="bottomRight" state="frozen"/>
      <selection pane="topRight" activeCell="C1" sqref="C1"/>
      <selection pane="bottomLeft" activeCell="A4" sqref="A4"/>
      <selection pane="bottomRight" activeCell="N15" sqref="N15"/>
    </sheetView>
  </sheetViews>
  <sheetFormatPr defaultRowHeight="14.5" outlineLevelRow="1" outlineLevelCol="1" x14ac:dyDescent="0.35"/>
  <cols>
    <col min="1" max="1" width="3.08203125" style="5" hidden="1" customWidth="1" outlineLevel="1"/>
    <col min="2" max="2" width="14.9140625" customWidth="1" collapsed="1"/>
    <col min="3" max="3" width="0.75" customWidth="1"/>
    <col min="4" max="4" width="8.33203125" bestFit="1" customWidth="1"/>
    <col min="5" max="6" width="7.58203125" bestFit="1" customWidth="1"/>
    <col min="7" max="7" width="12.4140625" hidden="1" customWidth="1"/>
    <col min="8" max="8" width="6.58203125" bestFit="1" customWidth="1"/>
    <col min="9" max="9" width="11" bestFit="1" customWidth="1"/>
    <col min="10" max="10" width="8" bestFit="1" customWidth="1"/>
    <col min="11" max="12" width="9.25" bestFit="1" customWidth="1"/>
    <col min="13" max="13" width="12.4140625" hidden="1" customWidth="1"/>
    <col min="14" max="14" width="7.58203125" bestFit="1" customWidth="1"/>
    <col min="15" max="15" width="0.75" customWidth="1"/>
    <col min="16" max="16" width="8.33203125" hidden="1" customWidth="1" outlineLevel="1"/>
    <col min="17" max="17" width="6.5" hidden="1" customWidth="1" outlineLevel="1"/>
    <col min="18" max="18" width="6.58203125" hidden="1" customWidth="1" outlineLevel="1"/>
    <col min="19" max="19" width="6.9140625" hidden="1" customWidth="1" outlineLevel="1"/>
    <col min="20" max="20" width="6.58203125" hidden="1" customWidth="1" outlineLevel="1"/>
    <col min="21" max="21" width="11" hidden="1" customWidth="1" outlineLevel="1"/>
    <col min="22" max="22" width="8" hidden="1" customWidth="1" outlineLevel="1"/>
    <col min="23" max="24" width="9.25" hidden="1" customWidth="1" outlineLevel="1"/>
    <col min="25" max="25" width="13" hidden="1" customWidth="1" outlineLevel="1"/>
    <col min="26" max="26" width="6.9140625" bestFit="1" customWidth="1" collapsed="1"/>
    <col min="27" max="27" width="0.75" customWidth="1"/>
    <col min="28" max="32" width="11.25" hidden="1" customWidth="1" outlineLevel="1"/>
    <col min="33" max="37" width="13" hidden="1" customWidth="1" outlineLevel="1"/>
    <col min="38" max="38" width="11.25" customWidth="1" collapsed="1"/>
    <col min="39" max="39" width="0.75" customWidth="1"/>
    <col min="40" max="44" width="11.25" hidden="1" customWidth="1" outlineLevel="1"/>
    <col min="45" max="49" width="13" hidden="1" customWidth="1" outlineLevel="1"/>
    <col min="50" max="50" width="11.25" customWidth="1" collapsed="1"/>
    <col min="51" max="51" width="0.75" customWidth="1"/>
    <col min="52" max="56" width="11.25" hidden="1" customWidth="1" outlineLevel="1"/>
    <col min="57" max="61" width="13" hidden="1" customWidth="1" outlineLevel="1"/>
    <col min="62" max="62" width="11.25" customWidth="1" collapsed="1"/>
    <col min="63" max="63" width="0.75" customWidth="1"/>
    <col min="64" max="68" width="11.25" hidden="1" customWidth="1" outlineLevel="1"/>
    <col min="69" max="73" width="13" hidden="1" customWidth="1" outlineLevel="1"/>
    <col min="74" max="74" width="11.25" customWidth="1" collapsed="1"/>
    <col min="75" max="75" width="0.75" customWidth="1"/>
    <col min="76" max="80" width="11.25" hidden="1" customWidth="1" outlineLevel="1"/>
    <col min="81" max="85" width="13" hidden="1" customWidth="1" outlineLevel="1"/>
    <col min="86" max="86" width="11.25" customWidth="1" collapsed="1"/>
    <col min="87" max="87" width="0.75" customWidth="1"/>
    <col min="88" max="92" width="11.25" hidden="1" customWidth="1" outlineLevel="1"/>
    <col min="93" max="97" width="13" hidden="1" customWidth="1" outlineLevel="1"/>
    <col min="98" max="98" width="11.25" customWidth="1" collapsed="1"/>
    <col min="99" max="99" width="0.75" customWidth="1"/>
    <col min="100" max="104" width="11.25" hidden="1" customWidth="1" outlineLevel="1"/>
    <col min="105" max="109" width="13" hidden="1" customWidth="1" outlineLevel="1"/>
    <col min="110" max="110" width="11.25" customWidth="1" collapsed="1"/>
    <col min="111" max="111" width="0.75" customWidth="1"/>
    <col min="112" max="116" width="11.25" hidden="1" customWidth="1" outlineLevel="1"/>
    <col min="117" max="121" width="13" hidden="1" customWidth="1" outlineLevel="1"/>
    <col min="122" max="122" width="11.25" customWidth="1" collapsed="1"/>
    <col min="123" max="123" width="0.75" customWidth="1"/>
    <col min="124" max="128" width="11.25" hidden="1" customWidth="1" outlineLevel="1"/>
    <col min="129" max="133" width="13" hidden="1" customWidth="1" outlineLevel="1"/>
    <col min="134" max="134" width="11.25" customWidth="1" collapsed="1"/>
    <col min="135" max="135" width="0.75" customWidth="1"/>
    <col min="136" max="140" width="11.25" hidden="1" customWidth="1" outlineLevel="1"/>
    <col min="141" max="145" width="13" hidden="1" customWidth="1" outlineLevel="1"/>
    <col min="146" max="146" width="11.25" customWidth="1" collapsed="1"/>
    <col min="147" max="147" width="0.75" customWidth="1"/>
    <col min="148" max="152" width="11.25" hidden="1" customWidth="1" outlineLevel="1"/>
    <col min="153" max="157" width="13" hidden="1" customWidth="1" outlineLevel="1"/>
    <col min="158" max="158" width="11.25" customWidth="1" collapsed="1"/>
  </cols>
  <sheetData>
    <row r="1" spans="1:158" s="5" customFormat="1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P1" s="5">
        <v>2026</v>
      </c>
      <c r="Q1" s="5">
        <v>2026</v>
      </c>
      <c r="R1" s="5">
        <v>2026</v>
      </c>
      <c r="S1" s="5">
        <v>2026</v>
      </c>
      <c r="T1" s="5">
        <v>2026</v>
      </c>
      <c r="U1" s="5">
        <v>2026</v>
      </c>
      <c r="V1" s="5">
        <v>2026</v>
      </c>
      <c r="W1" s="5">
        <v>2026</v>
      </c>
      <c r="X1" s="5">
        <v>2026</v>
      </c>
      <c r="Y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>
        <v>2026</v>
      </c>
      <c r="AH1" s="5">
        <v>2026</v>
      </c>
      <c r="AI1" s="5">
        <v>2026</v>
      </c>
      <c r="AJ1" s="5">
        <v>2026</v>
      </c>
      <c r="AK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>
        <v>2026</v>
      </c>
      <c r="AW1" s="5">
        <v>2026</v>
      </c>
      <c r="AZ1" s="5">
        <v>2026</v>
      </c>
      <c r="BA1" s="5">
        <v>2026</v>
      </c>
      <c r="BB1" s="5">
        <v>2026</v>
      </c>
      <c r="BC1" s="5">
        <v>2026</v>
      </c>
      <c r="BD1" s="5">
        <v>2026</v>
      </c>
      <c r="BE1" s="5">
        <v>2026</v>
      </c>
      <c r="BF1" s="5">
        <v>2026</v>
      </c>
      <c r="BG1" s="5">
        <v>2026</v>
      </c>
      <c r="BH1" s="5">
        <v>2026</v>
      </c>
      <c r="BI1" s="5">
        <v>2026</v>
      </c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X1" s="5">
        <v>2026</v>
      </c>
      <c r="BY1" s="5">
        <v>2026</v>
      </c>
      <c r="BZ1" s="5">
        <v>2026</v>
      </c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J1" s="5">
        <v>2026</v>
      </c>
      <c r="CK1" s="5">
        <v>2026</v>
      </c>
      <c r="CL1" s="5">
        <v>2026</v>
      </c>
      <c r="CM1" s="5">
        <v>2026</v>
      </c>
      <c r="CN1" s="5">
        <v>2026</v>
      </c>
      <c r="CO1" s="5">
        <v>2026</v>
      </c>
      <c r="CP1" s="5">
        <v>2026</v>
      </c>
      <c r="CQ1" s="5">
        <v>2026</v>
      </c>
      <c r="CR1" s="5">
        <v>2026</v>
      </c>
      <c r="CS1" s="5">
        <v>2026</v>
      </c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>
        <v>2026</v>
      </c>
      <c r="DE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T1" s="5">
        <v>2026</v>
      </c>
      <c r="DU1" s="5">
        <v>2026</v>
      </c>
      <c r="DV1" s="5">
        <v>2026</v>
      </c>
      <c r="DW1" s="5">
        <v>2026</v>
      </c>
      <c r="DX1" s="5">
        <v>2026</v>
      </c>
      <c r="DY1" s="5">
        <v>2026</v>
      </c>
      <c r="DZ1" s="5">
        <v>2026</v>
      </c>
      <c r="EA1" s="5">
        <v>2026</v>
      </c>
      <c r="EB1" s="5">
        <v>2026</v>
      </c>
      <c r="EC1" s="5">
        <v>2026</v>
      </c>
      <c r="EF1" s="5">
        <v>2026</v>
      </c>
      <c r="EG1" s="5">
        <v>2026</v>
      </c>
      <c r="EH1" s="5">
        <v>2026</v>
      </c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>
        <v>2026</v>
      </c>
      <c r="EX1" s="5">
        <v>2026</v>
      </c>
      <c r="EY1" s="5">
        <v>2026</v>
      </c>
      <c r="EZ1" s="5">
        <v>2026</v>
      </c>
      <c r="FA1" s="5">
        <v>2026</v>
      </c>
    </row>
    <row r="2" spans="1:158" s="5" customFormat="1" hidden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AB2" s="5">
        <v>2</v>
      </c>
      <c r="AC2" s="5">
        <v>2</v>
      </c>
      <c r="AD2" s="5">
        <v>2</v>
      </c>
      <c r="AE2" s="5">
        <v>2</v>
      </c>
      <c r="AF2" s="5">
        <v>2</v>
      </c>
      <c r="AG2" s="5">
        <v>2</v>
      </c>
      <c r="AH2" s="5">
        <v>2</v>
      </c>
      <c r="AI2" s="5">
        <v>2</v>
      </c>
      <c r="AJ2" s="5">
        <v>2</v>
      </c>
      <c r="AK2" s="5">
        <v>2</v>
      </c>
      <c r="AN2" s="5">
        <v>3</v>
      </c>
      <c r="AO2" s="5">
        <v>3</v>
      </c>
      <c r="AP2" s="5">
        <v>3</v>
      </c>
      <c r="AQ2" s="5">
        <v>3</v>
      </c>
      <c r="AR2" s="5">
        <v>3</v>
      </c>
      <c r="AS2" s="5">
        <v>3</v>
      </c>
      <c r="AT2" s="5">
        <v>3</v>
      </c>
      <c r="AU2" s="5">
        <v>3</v>
      </c>
      <c r="AV2" s="5">
        <v>3</v>
      </c>
      <c r="AW2" s="5">
        <v>3</v>
      </c>
      <c r="AZ2" s="5">
        <v>4</v>
      </c>
      <c r="BA2" s="5">
        <v>4</v>
      </c>
      <c r="BB2" s="5">
        <v>4</v>
      </c>
      <c r="BC2" s="5">
        <v>4</v>
      </c>
      <c r="BD2" s="5">
        <v>4</v>
      </c>
      <c r="BE2" s="5">
        <v>4</v>
      </c>
      <c r="BF2" s="5">
        <v>4</v>
      </c>
      <c r="BG2" s="5">
        <v>4</v>
      </c>
      <c r="BH2" s="5">
        <v>4</v>
      </c>
      <c r="BI2" s="5">
        <v>4</v>
      </c>
      <c r="BL2" s="5">
        <v>5</v>
      </c>
      <c r="BM2" s="5">
        <v>5</v>
      </c>
      <c r="BN2" s="5">
        <v>5</v>
      </c>
      <c r="BO2" s="5">
        <v>5</v>
      </c>
      <c r="BP2" s="5">
        <v>5</v>
      </c>
      <c r="BQ2" s="5">
        <v>5</v>
      </c>
      <c r="BR2" s="5">
        <v>5</v>
      </c>
      <c r="BS2" s="5">
        <v>5</v>
      </c>
      <c r="BT2" s="5">
        <v>5</v>
      </c>
      <c r="BU2" s="5">
        <v>5</v>
      </c>
      <c r="BX2" s="5">
        <v>6</v>
      </c>
      <c r="BY2" s="5">
        <v>6</v>
      </c>
      <c r="BZ2" s="5">
        <v>6</v>
      </c>
      <c r="CA2" s="5">
        <v>6</v>
      </c>
      <c r="CB2" s="5">
        <v>6</v>
      </c>
      <c r="CC2" s="5">
        <v>6</v>
      </c>
      <c r="CD2" s="5">
        <v>6</v>
      </c>
      <c r="CE2" s="5">
        <v>6</v>
      </c>
      <c r="CF2" s="5">
        <v>6</v>
      </c>
      <c r="CG2" s="5">
        <v>6</v>
      </c>
      <c r="CJ2" s="5">
        <v>7</v>
      </c>
      <c r="CK2" s="5">
        <v>7</v>
      </c>
      <c r="CL2" s="5">
        <v>7</v>
      </c>
      <c r="CM2" s="5">
        <v>7</v>
      </c>
      <c r="CN2" s="5">
        <v>7</v>
      </c>
      <c r="CO2" s="5">
        <v>7</v>
      </c>
      <c r="CP2" s="5">
        <v>7</v>
      </c>
      <c r="CQ2" s="5">
        <v>7</v>
      </c>
      <c r="CR2" s="5">
        <v>7</v>
      </c>
      <c r="CS2" s="5">
        <v>7</v>
      </c>
      <c r="CV2" s="5">
        <v>8</v>
      </c>
      <c r="CW2" s="5">
        <v>8</v>
      </c>
      <c r="CX2" s="5">
        <v>8</v>
      </c>
      <c r="CY2" s="5">
        <v>8</v>
      </c>
      <c r="CZ2" s="5">
        <v>8</v>
      </c>
      <c r="DA2" s="5">
        <v>8</v>
      </c>
      <c r="DB2" s="5">
        <v>8</v>
      </c>
      <c r="DC2" s="5">
        <v>8</v>
      </c>
      <c r="DD2" s="5">
        <v>8</v>
      </c>
      <c r="DE2" s="5">
        <v>8</v>
      </c>
      <c r="DH2" s="5">
        <v>9</v>
      </c>
      <c r="DI2" s="5">
        <v>9</v>
      </c>
      <c r="DJ2" s="5">
        <v>9</v>
      </c>
      <c r="DK2" s="5">
        <v>9</v>
      </c>
      <c r="DL2" s="5">
        <v>9</v>
      </c>
      <c r="DM2" s="5">
        <v>9</v>
      </c>
      <c r="DN2" s="5">
        <v>9</v>
      </c>
      <c r="DO2" s="5">
        <v>9</v>
      </c>
      <c r="DP2" s="5">
        <v>9</v>
      </c>
      <c r="DQ2" s="5">
        <v>9</v>
      </c>
      <c r="DT2" s="5">
        <v>10</v>
      </c>
      <c r="DU2" s="5">
        <v>10</v>
      </c>
      <c r="DV2" s="5">
        <v>10</v>
      </c>
      <c r="DW2" s="5">
        <v>10</v>
      </c>
      <c r="DX2" s="5">
        <v>10</v>
      </c>
      <c r="DY2" s="5">
        <v>10</v>
      </c>
      <c r="DZ2" s="5">
        <v>10</v>
      </c>
      <c r="EA2" s="5">
        <v>10</v>
      </c>
      <c r="EB2" s="5">
        <v>10</v>
      </c>
      <c r="EC2" s="5">
        <v>10</v>
      </c>
      <c r="EF2" s="5">
        <v>11</v>
      </c>
      <c r="EG2" s="5">
        <v>11</v>
      </c>
      <c r="EH2" s="5">
        <v>11</v>
      </c>
      <c r="EI2" s="5">
        <v>11</v>
      </c>
      <c r="EJ2" s="5">
        <v>11</v>
      </c>
      <c r="EK2" s="5">
        <v>11</v>
      </c>
      <c r="EL2" s="5">
        <v>11</v>
      </c>
      <c r="EM2" s="5">
        <v>11</v>
      </c>
      <c r="EN2" s="5">
        <v>11</v>
      </c>
      <c r="EO2" s="5">
        <v>11</v>
      </c>
      <c r="ER2" s="5">
        <v>12</v>
      </c>
      <c r="ES2" s="5">
        <v>12</v>
      </c>
      <c r="ET2" s="5">
        <v>12</v>
      </c>
      <c r="EU2" s="5">
        <v>12</v>
      </c>
      <c r="EV2" s="5">
        <v>12</v>
      </c>
      <c r="EW2" s="5">
        <v>12</v>
      </c>
      <c r="EX2" s="5">
        <v>12</v>
      </c>
      <c r="EY2" s="5">
        <v>12</v>
      </c>
      <c r="EZ2" s="5">
        <v>12</v>
      </c>
      <c r="FA2" s="5">
        <v>12</v>
      </c>
    </row>
    <row r="3" spans="1:158" s="5" customFormat="1" hidden="1" outlineLevel="1" x14ac:dyDescent="0.35">
      <c r="D3" s="5" t="s">
        <v>68</v>
      </c>
      <c r="E3" s="5" t="s">
        <v>69</v>
      </c>
      <c r="F3" s="5" t="s">
        <v>70</v>
      </c>
      <c r="G3" s="5" t="s">
        <v>67</v>
      </c>
      <c r="H3" s="5" t="s">
        <v>71</v>
      </c>
      <c r="I3" s="5" t="s">
        <v>72</v>
      </c>
      <c r="J3" s="5" t="s">
        <v>73</v>
      </c>
      <c r="K3" s="5" t="s">
        <v>74</v>
      </c>
      <c r="L3" s="5" t="s">
        <v>75</v>
      </c>
      <c r="M3" s="5" t="s">
        <v>76</v>
      </c>
      <c r="P3" s="5" t="s">
        <v>68</v>
      </c>
      <c r="Q3" s="5" t="s">
        <v>69</v>
      </c>
      <c r="R3" s="5" t="s">
        <v>70</v>
      </c>
      <c r="S3" s="5" t="s">
        <v>67</v>
      </c>
      <c r="T3" s="5" t="s">
        <v>71</v>
      </c>
      <c r="U3" s="5" t="s">
        <v>72</v>
      </c>
      <c r="V3" s="5" t="s">
        <v>73</v>
      </c>
      <c r="W3" s="5" t="s">
        <v>74</v>
      </c>
      <c r="X3" s="5" t="s">
        <v>75</v>
      </c>
      <c r="Y3" s="5" t="s">
        <v>76</v>
      </c>
      <c r="AB3" s="5" t="s">
        <v>68</v>
      </c>
      <c r="AC3" s="5" t="s">
        <v>69</v>
      </c>
      <c r="AD3" s="5" t="s">
        <v>70</v>
      </c>
      <c r="AE3" s="5" t="s">
        <v>67</v>
      </c>
      <c r="AF3" s="5" t="s">
        <v>71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  <c r="AN3" s="5" t="s">
        <v>68</v>
      </c>
      <c r="AO3" s="5" t="s">
        <v>69</v>
      </c>
      <c r="AP3" s="5" t="s">
        <v>70</v>
      </c>
      <c r="AQ3" s="5" t="s">
        <v>67</v>
      </c>
      <c r="AR3" s="5" t="s">
        <v>71</v>
      </c>
      <c r="AS3" s="5" t="s">
        <v>72</v>
      </c>
      <c r="AT3" s="5" t="s">
        <v>73</v>
      </c>
      <c r="AU3" s="5" t="s">
        <v>74</v>
      </c>
      <c r="AV3" s="5" t="s">
        <v>75</v>
      </c>
      <c r="AW3" s="5" t="s">
        <v>76</v>
      </c>
      <c r="AZ3" s="5" t="s">
        <v>68</v>
      </c>
      <c r="BA3" s="5" t="s">
        <v>69</v>
      </c>
      <c r="BB3" s="5" t="s">
        <v>70</v>
      </c>
      <c r="BC3" s="5" t="s">
        <v>67</v>
      </c>
      <c r="BD3" s="5" t="s">
        <v>71</v>
      </c>
      <c r="BE3" s="5" t="s">
        <v>72</v>
      </c>
      <c r="BF3" s="5" t="s">
        <v>73</v>
      </c>
      <c r="BG3" s="5" t="s">
        <v>74</v>
      </c>
      <c r="BH3" s="5" t="s">
        <v>75</v>
      </c>
      <c r="BI3" s="5" t="s">
        <v>76</v>
      </c>
      <c r="BL3" s="5" t="s">
        <v>68</v>
      </c>
      <c r="BM3" s="5" t="s">
        <v>69</v>
      </c>
      <c r="BN3" s="5" t="s">
        <v>70</v>
      </c>
      <c r="BO3" s="5" t="s">
        <v>67</v>
      </c>
      <c r="BP3" s="5" t="s">
        <v>71</v>
      </c>
      <c r="BQ3" s="5" t="s">
        <v>72</v>
      </c>
      <c r="BR3" s="5" t="s">
        <v>73</v>
      </c>
      <c r="BS3" s="5" t="s">
        <v>74</v>
      </c>
      <c r="BT3" s="5" t="s">
        <v>75</v>
      </c>
      <c r="BU3" s="5" t="s">
        <v>76</v>
      </c>
      <c r="BX3" s="5" t="s">
        <v>68</v>
      </c>
      <c r="BY3" s="5" t="s">
        <v>69</v>
      </c>
      <c r="BZ3" s="5" t="s">
        <v>70</v>
      </c>
      <c r="CA3" s="5" t="s">
        <v>67</v>
      </c>
      <c r="CB3" s="5" t="s">
        <v>71</v>
      </c>
      <c r="CC3" s="5" t="s">
        <v>72</v>
      </c>
      <c r="CD3" s="5" t="s">
        <v>73</v>
      </c>
      <c r="CE3" s="5" t="s">
        <v>74</v>
      </c>
      <c r="CF3" s="5" t="s">
        <v>75</v>
      </c>
      <c r="CG3" s="5" t="s">
        <v>76</v>
      </c>
      <c r="CJ3" s="5" t="s">
        <v>68</v>
      </c>
      <c r="CK3" s="5" t="s">
        <v>69</v>
      </c>
      <c r="CL3" s="5" t="s">
        <v>70</v>
      </c>
      <c r="CM3" s="5" t="s">
        <v>67</v>
      </c>
      <c r="CN3" s="5" t="s">
        <v>71</v>
      </c>
      <c r="CO3" s="5" t="s">
        <v>72</v>
      </c>
      <c r="CP3" s="5" t="s">
        <v>73</v>
      </c>
      <c r="CQ3" s="5" t="s">
        <v>74</v>
      </c>
      <c r="CR3" s="5" t="s">
        <v>75</v>
      </c>
      <c r="CS3" s="5" t="s">
        <v>76</v>
      </c>
      <c r="CV3" s="5" t="s">
        <v>68</v>
      </c>
      <c r="CW3" s="5" t="s">
        <v>69</v>
      </c>
      <c r="CX3" s="5" t="s">
        <v>70</v>
      </c>
      <c r="CY3" s="5" t="s">
        <v>67</v>
      </c>
      <c r="CZ3" s="5" t="s">
        <v>71</v>
      </c>
      <c r="DA3" s="5" t="s">
        <v>72</v>
      </c>
      <c r="DB3" s="5" t="s">
        <v>73</v>
      </c>
      <c r="DC3" s="5" t="s">
        <v>74</v>
      </c>
      <c r="DD3" s="5" t="s">
        <v>75</v>
      </c>
      <c r="DE3" s="5" t="s">
        <v>76</v>
      </c>
      <c r="DH3" s="5" t="s">
        <v>68</v>
      </c>
      <c r="DI3" s="5" t="s">
        <v>69</v>
      </c>
      <c r="DJ3" s="5" t="s">
        <v>70</v>
      </c>
      <c r="DK3" s="5" t="s">
        <v>67</v>
      </c>
      <c r="DL3" s="5" t="s">
        <v>71</v>
      </c>
      <c r="DM3" s="5" t="s">
        <v>72</v>
      </c>
      <c r="DN3" s="5" t="s">
        <v>73</v>
      </c>
      <c r="DO3" s="5" t="s">
        <v>74</v>
      </c>
      <c r="DP3" s="5" t="s">
        <v>75</v>
      </c>
      <c r="DQ3" s="5" t="s">
        <v>76</v>
      </c>
      <c r="DT3" s="5" t="s">
        <v>68</v>
      </c>
      <c r="DU3" s="5" t="s">
        <v>69</v>
      </c>
      <c r="DV3" s="5" t="s">
        <v>70</v>
      </c>
      <c r="DW3" s="5" t="s">
        <v>67</v>
      </c>
      <c r="DX3" s="5" t="s">
        <v>71</v>
      </c>
      <c r="DY3" s="5" t="s">
        <v>72</v>
      </c>
      <c r="DZ3" s="5" t="s">
        <v>73</v>
      </c>
      <c r="EA3" s="5" t="s">
        <v>74</v>
      </c>
      <c r="EB3" s="5" t="s">
        <v>75</v>
      </c>
      <c r="EC3" s="5" t="s">
        <v>76</v>
      </c>
      <c r="EF3" s="5" t="s">
        <v>68</v>
      </c>
      <c r="EG3" s="5" t="s">
        <v>69</v>
      </c>
      <c r="EH3" s="5" t="s">
        <v>70</v>
      </c>
      <c r="EI3" s="5" t="s">
        <v>67</v>
      </c>
      <c r="EJ3" s="5" t="s">
        <v>71</v>
      </c>
      <c r="EK3" s="5" t="s">
        <v>72</v>
      </c>
      <c r="EL3" s="5" t="s">
        <v>73</v>
      </c>
      <c r="EM3" s="5" t="s">
        <v>74</v>
      </c>
      <c r="EN3" s="5" t="s">
        <v>75</v>
      </c>
      <c r="EO3" s="5" t="s">
        <v>76</v>
      </c>
      <c r="ER3" s="5" t="s">
        <v>68</v>
      </c>
      <c r="ES3" s="5" t="s">
        <v>69</v>
      </c>
      <c r="ET3" s="5" t="s">
        <v>70</v>
      </c>
      <c r="EU3" s="5" t="s">
        <v>67</v>
      </c>
      <c r="EV3" s="5" t="s">
        <v>71</v>
      </c>
      <c r="EW3" s="5" t="s">
        <v>72</v>
      </c>
      <c r="EX3" s="5" t="s">
        <v>73</v>
      </c>
      <c r="EY3" s="5" t="s">
        <v>74</v>
      </c>
      <c r="EZ3" s="5" t="s">
        <v>75</v>
      </c>
      <c r="FA3" s="5" t="s">
        <v>76</v>
      </c>
    </row>
    <row r="4" spans="1:158" collapsed="1" x14ac:dyDescent="0.35">
      <c r="B4" s="21" t="s">
        <v>79</v>
      </c>
      <c r="D4" s="10" t="s">
        <v>99</v>
      </c>
      <c r="E4" s="10"/>
      <c r="F4" s="10"/>
      <c r="G4" s="10"/>
      <c r="H4" s="10"/>
      <c r="I4" s="10"/>
      <c r="J4" s="10"/>
      <c r="K4" s="10"/>
      <c r="L4" s="10"/>
      <c r="M4" s="10"/>
      <c r="N4" s="10"/>
      <c r="P4" s="20" t="s">
        <v>82</v>
      </c>
      <c r="Q4" s="20"/>
      <c r="R4" s="20"/>
      <c r="S4" s="20"/>
      <c r="T4" s="20"/>
      <c r="U4" s="20"/>
      <c r="V4" s="20"/>
      <c r="W4" s="20"/>
      <c r="X4" s="20"/>
      <c r="Y4" s="20"/>
      <c r="Z4" s="20"/>
      <c r="AB4" s="20" t="s">
        <v>83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N4" s="20" t="s">
        <v>84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Z4" s="20" t="s">
        <v>85</v>
      </c>
      <c r="BA4" s="20"/>
      <c r="BB4" s="20"/>
      <c r="BC4" s="20"/>
      <c r="BD4" s="20"/>
      <c r="BE4" s="20"/>
      <c r="BF4" s="20"/>
      <c r="BG4" s="20"/>
      <c r="BH4" s="20"/>
      <c r="BI4" s="20"/>
      <c r="BJ4" s="20"/>
      <c r="BL4" s="20" t="s">
        <v>86</v>
      </c>
      <c r="BM4" s="20"/>
      <c r="BN4" s="20"/>
      <c r="BO4" s="20"/>
      <c r="BP4" s="20"/>
      <c r="BQ4" s="20"/>
      <c r="BR4" s="20"/>
      <c r="BS4" s="20"/>
      <c r="BT4" s="20"/>
      <c r="BU4" s="20"/>
      <c r="BV4" s="20"/>
      <c r="BX4" s="20" t="s">
        <v>87</v>
      </c>
      <c r="BY4" s="20"/>
      <c r="BZ4" s="20"/>
      <c r="CA4" s="20"/>
      <c r="CB4" s="20"/>
      <c r="CC4" s="20"/>
      <c r="CD4" s="20"/>
      <c r="CE4" s="20"/>
      <c r="CF4" s="20"/>
      <c r="CG4" s="20"/>
      <c r="CH4" s="20"/>
      <c r="CJ4" s="20" t="s">
        <v>88</v>
      </c>
      <c r="CK4" s="20"/>
      <c r="CL4" s="20"/>
      <c r="CM4" s="20"/>
      <c r="CN4" s="20"/>
      <c r="CO4" s="20"/>
      <c r="CP4" s="20"/>
      <c r="CQ4" s="20"/>
      <c r="CR4" s="20"/>
      <c r="CS4" s="20"/>
      <c r="CT4" s="20"/>
      <c r="CV4" s="20" t="s">
        <v>89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H4" s="20" t="s">
        <v>90</v>
      </c>
      <c r="DI4" s="20"/>
      <c r="DJ4" s="20"/>
      <c r="DK4" s="20"/>
      <c r="DL4" s="20"/>
      <c r="DM4" s="20"/>
      <c r="DN4" s="20"/>
      <c r="DO4" s="20"/>
      <c r="DP4" s="20"/>
      <c r="DQ4" s="20"/>
      <c r="DR4" s="20"/>
      <c r="DT4" s="20" t="s">
        <v>91</v>
      </c>
      <c r="DU4" s="20"/>
      <c r="DV4" s="20"/>
      <c r="DW4" s="20"/>
      <c r="DX4" s="20"/>
      <c r="DY4" s="20"/>
      <c r="DZ4" s="20"/>
      <c r="EA4" s="20"/>
      <c r="EB4" s="20"/>
      <c r="EC4" s="20"/>
      <c r="ED4" s="20"/>
      <c r="EF4" s="20" t="s">
        <v>92</v>
      </c>
      <c r="EG4" s="20"/>
      <c r="EH4" s="20"/>
      <c r="EI4" s="20"/>
      <c r="EJ4" s="20"/>
      <c r="EK4" s="20"/>
      <c r="EL4" s="20"/>
      <c r="EM4" s="20"/>
      <c r="EN4" s="20"/>
      <c r="EO4" s="20"/>
      <c r="EP4" s="20"/>
      <c r="ER4" s="20" t="s">
        <v>93</v>
      </c>
      <c r="ES4" s="20"/>
      <c r="ET4" s="20"/>
      <c r="EU4" s="20"/>
      <c r="EV4" s="20"/>
      <c r="EW4" s="20"/>
      <c r="EX4" s="20"/>
      <c r="EY4" s="20"/>
      <c r="EZ4" s="20"/>
      <c r="FA4" s="20"/>
      <c r="FB4" s="20"/>
    </row>
    <row r="5" spans="1:158" x14ac:dyDescent="0.35">
      <c r="B5" s="22"/>
      <c r="D5" s="11" t="s">
        <v>68</v>
      </c>
      <c r="E5" s="11" t="s">
        <v>69</v>
      </c>
      <c r="F5" s="11" t="s">
        <v>70</v>
      </c>
      <c r="G5" s="11" t="s">
        <v>67</v>
      </c>
      <c r="H5" s="11" t="s">
        <v>71</v>
      </c>
      <c r="I5" s="11" t="s">
        <v>72</v>
      </c>
      <c r="J5" s="11" t="s">
        <v>73</v>
      </c>
      <c r="K5" s="11" t="s">
        <v>74</v>
      </c>
      <c r="L5" s="11" t="s">
        <v>75</v>
      </c>
      <c r="M5" s="11" t="s">
        <v>76</v>
      </c>
      <c r="N5" s="11" t="s">
        <v>78</v>
      </c>
      <c r="P5" s="12" t="s">
        <v>68</v>
      </c>
      <c r="Q5" s="12" t="s">
        <v>69</v>
      </c>
      <c r="R5" s="12" t="s">
        <v>70</v>
      </c>
      <c r="S5" s="12" t="s">
        <v>67</v>
      </c>
      <c r="T5" s="12" t="s">
        <v>71</v>
      </c>
      <c r="U5" s="12" t="s">
        <v>72</v>
      </c>
      <c r="V5" s="12" t="s">
        <v>73</v>
      </c>
      <c r="W5" s="12" t="s">
        <v>74</v>
      </c>
      <c r="X5" s="12" t="s">
        <v>75</v>
      </c>
      <c r="Y5" s="12" t="s">
        <v>76</v>
      </c>
      <c r="Z5" s="12" t="s">
        <v>78</v>
      </c>
      <c r="AB5" s="12" t="s">
        <v>68</v>
      </c>
      <c r="AC5" s="12" t="s">
        <v>69</v>
      </c>
      <c r="AD5" s="12" t="s">
        <v>70</v>
      </c>
      <c r="AE5" s="12" t="s">
        <v>67</v>
      </c>
      <c r="AF5" s="12" t="s">
        <v>71</v>
      </c>
      <c r="AG5" s="12" t="s">
        <v>72</v>
      </c>
      <c r="AH5" s="12" t="s">
        <v>73</v>
      </c>
      <c r="AI5" s="12" t="s">
        <v>74</v>
      </c>
      <c r="AJ5" s="12" t="s">
        <v>75</v>
      </c>
      <c r="AK5" s="12" t="s">
        <v>76</v>
      </c>
      <c r="AL5" s="12" t="s">
        <v>78</v>
      </c>
      <c r="AN5" s="12" t="s">
        <v>68</v>
      </c>
      <c r="AO5" s="12" t="s">
        <v>69</v>
      </c>
      <c r="AP5" s="12" t="s">
        <v>70</v>
      </c>
      <c r="AQ5" s="12" t="s">
        <v>67</v>
      </c>
      <c r="AR5" s="12" t="s">
        <v>71</v>
      </c>
      <c r="AS5" s="12" t="s">
        <v>72</v>
      </c>
      <c r="AT5" s="12" t="s">
        <v>73</v>
      </c>
      <c r="AU5" s="12" t="s">
        <v>74</v>
      </c>
      <c r="AV5" s="12" t="s">
        <v>75</v>
      </c>
      <c r="AW5" s="12" t="s">
        <v>76</v>
      </c>
      <c r="AX5" s="12" t="s">
        <v>78</v>
      </c>
      <c r="AZ5" s="12" t="s">
        <v>68</v>
      </c>
      <c r="BA5" s="12" t="s">
        <v>69</v>
      </c>
      <c r="BB5" s="12" t="s">
        <v>70</v>
      </c>
      <c r="BC5" s="12" t="s">
        <v>67</v>
      </c>
      <c r="BD5" s="12" t="s">
        <v>71</v>
      </c>
      <c r="BE5" s="12" t="s">
        <v>72</v>
      </c>
      <c r="BF5" s="12" t="s">
        <v>73</v>
      </c>
      <c r="BG5" s="12" t="s">
        <v>74</v>
      </c>
      <c r="BH5" s="12" t="s">
        <v>75</v>
      </c>
      <c r="BI5" s="12" t="s">
        <v>76</v>
      </c>
      <c r="BJ5" s="12" t="s">
        <v>78</v>
      </c>
      <c r="BL5" s="12" t="s">
        <v>68</v>
      </c>
      <c r="BM5" s="12" t="s">
        <v>69</v>
      </c>
      <c r="BN5" s="12" t="s">
        <v>70</v>
      </c>
      <c r="BO5" s="12" t="s">
        <v>67</v>
      </c>
      <c r="BP5" s="12" t="s">
        <v>71</v>
      </c>
      <c r="BQ5" s="12" t="s">
        <v>72</v>
      </c>
      <c r="BR5" s="12" t="s">
        <v>73</v>
      </c>
      <c r="BS5" s="12" t="s">
        <v>74</v>
      </c>
      <c r="BT5" s="12" t="s">
        <v>75</v>
      </c>
      <c r="BU5" s="12" t="s">
        <v>76</v>
      </c>
      <c r="BV5" s="12" t="s">
        <v>78</v>
      </c>
      <c r="BX5" s="12" t="s">
        <v>68</v>
      </c>
      <c r="BY5" s="12" t="s">
        <v>69</v>
      </c>
      <c r="BZ5" s="12" t="s">
        <v>70</v>
      </c>
      <c r="CA5" s="12" t="s">
        <v>67</v>
      </c>
      <c r="CB5" s="12" t="s">
        <v>71</v>
      </c>
      <c r="CC5" s="12" t="s">
        <v>72</v>
      </c>
      <c r="CD5" s="12" t="s">
        <v>73</v>
      </c>
      <c r="CE5" s="12" t="s">
        <v>74</v>
      </c>
      <c r="CF5" s="12" t="s">
        <v>75</v>
      </c>
      <c r="CG5" s="12" t="s">
        <v>76</v>
      </c>
      <c r="CH5" s="12" t="s">
        <v>78</v>
      </c>
      <c r="CJ5" s="12" t="s">
        <v>68</v>
      </c>
      <c r="CK5" s="12" t="s">
        <v>69</v>
      </c>
      <c r="CL5" s="12" t="s">
        <v>70</v>
      </c>
      <c r="CM5" s="12" t="s">
        <v>67</v>
      </c>
      <c r="CN5" s="12" t="s">
        <v>71</v>
      </c>
      <c r="CO5" s="12" t="s">
        <v>72</v>
      </c>
      <c r="CP5" s="12" t="s">
        <v>73</v>
      </c>
      <c r="CQ5" s="12" t="s">
        <v>74</v>
      </c>
      <c r="CR5" s="12" t="s">
        <v>75</v>
      </c>
      <c r="CS5" s="12" t="s">
        <v>76</v>
      </c>
      <c r="CT5" s="12" t="s">
        <v>78</v>
      </c>
      <c r="CV5" s="12" t="s">
        <v>68</v>
      </c>
      <c r="CW5" s="12" t="s">
        <v>69</v>
      </c>
      <c r="CX5" s="12" t="s">
        <v>70</v>
      </c>
      <c r="CY5" s="12" t="s">
        <v>67</v>
      </c>
      <c r="CZ5" s="12" t="s">
        <v>71</v>
      </c>
      <c r="DA5" s="12" t="s">
        <v>72</v>
      </c>
      <c r="DB5" s="12" t="s">
        <v>73</v>
      </c>
      <c r="DC5" s="12" t="s">
        <v>74</v>
      </c>
      <c r="DD5" s="12" t="s">
        <v>75</v>
      </c>
      <c r="DE5" s="12" t="s">
        <v>76</v>
      </c>
      <c r="DF5" s="12" t="s">
        <v>78</v>
      </c>
      <c r="DH5" s="12" t="s">
        <v>68</v>
      </c>
      <c r="DI5" s="12" t="s">
        <v>69</v>
      </c>
      <c r="DJ5" s="12" t="s">
        <v>70</v>
      </c>
      <c r="DK5" s="12" t="s">
        <v>67</v>
      </c>
      <c r="DL5" s="12" t="s">
        <v>71</v>
      </c>
      <c r="DM5" s="12" t="s">
        <v>72</v>
      </c>
      <c r="DN5" s="12" t="s">
        <v>73</v>
      </c>
      <c r="DO5" s="12" t="s">
        <v>74</v>
      </c>
      <c r="DP5" s="12" t="s">
        <v>75</v>
      </c>
      <c r="DQ5" s="12" t="s">
        <v>76</v>
      </c>
      <c r="DR5" s="12" t="s">
        <v>78</v>
      </c>
      <c r="DT5" s="12" t="s">
        <v>68</v>
      </c>
      <c r="DU5" s="12" t="s">
        <v>69</v>
      </c>
      <c r="DV5" s="12" t="s">
        <v>70</v>
      </c>
      <c r="DW5" s="12" t="s">
        <v>67</v>
      </c>
      <c r="DX5" s="12" t="s">
        <v>71</v>
      </c>
      <c r="DY5" s="12" t="s">
        <v>72</v>
      </c>
      <c r="DZ5" s="12" t="s">
        <v>73</v>
      </c>
      <c r="EA5" s="12" t="s">
        <v>74</v>
      </c>
      <c r="EB5" s="12" t="s">
        <v>75</v>
      </c>
      <c r="EC5" s="12" t="s">
        <v>76</v>
      </c>
      <c r="ED5" s="12" t="s">
        <v>78</v>
      </c>
      <c r="EF5" s="12" t="s">
        <v>68</v>
      </c>
      <c r="EG5" s="12" t="s">
        <v>69</v>
      </c>
      <c r="EH5" s="12" t="s">
        <v>70</v>
      </c>
      <c r="EI5" s="12" t="s">
        <v>67</v>
      </c>
      <c r="EJ5" s="12" t="s">
        <v>71</v>
      </c>
      <c r="EK5" s="12" t="s">
        <v>72</v>
      </c>
      <c r="EL5" s="12" t="s">
        <v>73</v>
      </c>
      <c r="EM5" s="12" t="s">
        <v>74</v>
      </c>
      <c r="EN5" s="12" t="s">
        <v>75</v>
      </c>
      <c r="EO5" s="12" t="s">
        <v>76</v>
      </c>
      <c r="EP5" s="12" t="s">
        <v>78</v>
      </c>
      <c r="ER5" s="12" t="s">
        <v>68</v>
      </c>
      <c r="ES5" s="12" t="s">
        <v>69</v>
      </c>
      <c r="ET5" s="12" t="s">
        <v>70</v>
      </c>
      <c r="EU5" s="12" t="s">
        <v>67</v>
      </c>
      <c r="EV5" s="12" t="s">
        <v>71</v>
      </c>
      <c r="EW5" s="12" t="s">
        <v>72</v>
      </c>
      <c r="EX5" s="12" t="s">
        <v>73</v>
      </c>
      <c r="EY5" s="12" t="s">
        <v>74</v>
      </c>
      <c r="EZ5" s="12" t="s">
        <v>75</v>
      </c>
      <c r="FA5" s="12" t="s">
        <v>76</v>
      </c>
      <c r="FB5" s="12" t="s">
        <v>78</v>
      </c>
    </row>
    <row r="6" spans="1:158" x14ac:dyDescent="0.35">
      <c r="A6" s="5" t="s">
        <v>68</v>
      </c>
      <c r="B6" t="s">
        <v>68</v>
      </c>
      <c r="D6" s="8">
        <f>SUM('2026:2024'!D6)</f>
        <v>13340733</v>
      </c>
      <c r="E6" s="8">
        <f>SUM('2026:2024'!E6)</f>
        <v>603400</v>
      </c>
      <c r="F6" s="8">
        <f>SUM('2026:2024'!F6)</f>
        <v>199061</v>
      </c>
      <c r="G6" s="8">
        <f>SUM('2026:2024'!G6)</f>
        <v>17600</v>
      </c>
      <c r="H6" s="8">
        <f>SUM('2026:2024'!H6)</f>
        <v>790003.5</v>
      </c>
      <c r="I6" s="8">
        <f>SUM('2026:2024'!I6)</f>
        <v>103400</v>
      </c>
      <c r="J6" s="8">
        <f>SUM('2026:2024'!J6)</f>
        <v>23100</v>
      </c>
      <c r="K6" s="8">
        <f>SUM('2026:2024'!K6)</f>
        <v>39600</v>
      </c>
      <c r="L6" s="8">
        <f>SUM('2026:2024'!L6)</f>
        <v>72000</v>
      </c>
      <c r="M6" s="8" cm="1">
        <f t="array" ref="M6">IF(M$2="FY",SUMPRODUCT(Data[Nhập-SPC+SPP-NX]*(Data[Year]=M$1)*(Data[Main SKU name_GOM]=$A6)*(Data[SKU name_NHẬP_GOM]=M$3)),SUMPRODUCT(Data[Nhập-SPC+SPP-NX]*(Data[Year]=M$1)*(Data[Month]=M$2)*(Data[Main SKU name_GOM]=$A6)*(Data[SKU name_NHẬP_GOM]=M$3)))</f>
        <v>0</v>
      </c>
      <c r="N6" s="13">
        <f>SUM(D6:M6)</f>
        <v>15188897.5</v>
      </c>
      <c r="P6" s="8">
        <f>SUM('2026:2024'!P6)</f>
        <v>895498</v>
      </c>
      <c r="Q6" s="8">
        <f>SUM('2026:2024'!Q6)</f>
        <v>17600</v>
      </c>
      <c r="R6" s="8">
        <f>SUM('2026:2024'!R6)</f>
        <v>2161</v>
      </c>
      <c r="S6" s="8">
        <f>SUM('2026:2024'!S6)</f>
        <v>5500</v>
      </c>
      <c r="T6" s="8">
        <f>SUM('2026:2024'!T6)</f>
        <v>44000</v>
      </c>
      <c r="U6" s="8">
        <f>SUM('2026:2024'!U6)</f>
        <v>1100</v>
      </c>
      <c r="V6" s="8">
        <f>SUM('2026:2024'!V6)</f>
        <v>2200</v>
      </c>
      <c r="W6" s="8">
        <f>SUM('2026:2024'!W6)</f>
        <v>0</v>
      </c>
      <c r="X6" s="8">
        <f>SUM('2026:2024'!X6)</f>
        <v>0</v>
      </c>
      <c r="Y6" s="8" cm="1">
        <f t="array" ref="Y6">IF(Y$2="FY",SUMPRODUCT(Data[Nhập-SPC+SPP-NX]*(Data[Year]=Y$1)*(Data[Main SKU name_GOM]=$A6)*(Data[SKU name_NHẬP_GOM]=Y$3)),SUMPRODUCT(Data[Nhập-SPC+SPP-NX]*(Data[Year]=Y$1)*(Data[Month]=Y$2)*(Data[Main SKU name_GOM]=$A6)*(Data[SKU name_NHẬP_GOM]=Y$3)))</f>
        <v>0</v>
      </c>
      <c r="Z6" s="8">
        <f>SUM(P6:Y6)</f>
        <v>968059</v>
      </c>
      <c r="AB6" s="8">
        <f>SUM('2026:2024'!AB6)</f>
        <v>1067133</v>
      </c>
      <c r="AC6" s="8">
        <f>SUM('2026:2024'!AC6)</f>
        <v>64900</v>
      </c>
      <c r="AD6" s="8">
        <f>SUM('2026:2024'!AD6)</f>
        <v>2200</v>
      </c>
      <c r="AE6" s="8">
        <f>SUM('2026:2024'!AE6)</f>
        <v>6600</v>
      </c>
      <c r="AF6" s="8">
        <f>SUM('2026:2024'!AF6)</f>
        <v>57200</v>
      </c>
      <c r="AG6" s="8">
        <f>SUM('2026:2024'!AG6)</f>
        <v>4400</v>
      </c>
      <c r="AH6" s="8">
        <f>SUM('2026:2024'!AH6)</f>
        <v>4400</v>
      </c>
      <c r="AI6" s="8">
        <f>SUM('2026:2024'!AI6)</f>
        <v>0</v>
      </c>
      <c r="AJ6" s="8">
        <f>SUM('2026:2024'!AJ6)</f>
        <v>4400</v>
      </c>
      <c r="AK6" s="8" cm="1">
        <f t="array" ref="AK6">IF(AK$2="FY",SUMPRODUCT(Data[Nhập-SPC+SPP-NX]*(Data[Year]=AK$1)*(Data[Main SKU name_GOM]=$A6)*(Data[SKU name_NHẬP_GOM]=AK$3)),SUMPRODUCT(Data[Nhập-SPC+SPP-NX]*(Data[Year]=AK$1)*(Data[Month]=AK$2)*(Data[Main SKU name_GOM]=$A6)*(Data[SKU name_NHẬP_GOM]=AK$3)))</f>
        <v>0</v>
      </c>
      <c r="AL6" s="8">
        <f>SUM(AB6:AK6)</f>
        <v>1211233</v>
      </c>
      <c r="AN6" s="8">
        <f>SUM('2026:2024'!AN6)</f>
        <v>644600</v>
      </c>
      <c r="AO6" s="8">
        <f>SUM('2026:2024'!AO6)</f>
        <v>11000</v>
      </c>
      <c r="AP6" s="8">
        <f>SUM('2026:2024'!AP6)</f>
        <v>1100</v>
      </c>
      <c r="AQ6" s="8">
        <f>SUM('2026:2024'!AQ6)</f>
        <v>0</v>
      </c>
      <c r="AR6" s="8">
        <f>SUM('2026:2024'!AR6)</f>
        <v>11000</v>
      </c>
      <c r="AS6" s="8">
        <f>SUM('2026:2024'!AS6)</f>
        <v>0</v>
      </c>
      <c r="AT6" s="8">
        <f>SUM('2026:2024'!AT6)</f>
        <v>6600.0000000000009</v>
      </c>
      <c r="AU6" s="8">
        <f>SUM('2026:2024'!AU6)</f>
        <v>0</v>
      </c>
      <c r="AV6" s="8">
        <f>SUM('2026:2024'!AV6)</f>
        <v>0</v>
      </c>
      <c r="AW6" s="8" cm="1">
        <f t="array" ref="AW6">IF(AW$2="FY",SUMPRODUCT(Data[Nhập-SPC+SPP-NX]*(Data[Year]=AW$1)*(Data[Main SKU name_GOM]=$A6)*(Data[SKU name_NHẬP_GOM]=AW$3)),SUMPRODUCT(Data[Nhập-SPC+SPP-NX]*(Data[Year]=AW$1)*(Data[Month]=AW$2)*(Data[Main SKU name_GOM]=$A6)*(Data[SKU name_NHẬP_GOM]=AW$3)))</f>
        <v>0</v>
      </c>
      <c r="AX6" s="8">
        <f>SUM(AN6:AW6)</f>
        <v>674300</v>
      </c>
      <c r="AZ6" s="8">
        <f>SUM('2026:2024'!AZ6)</f>
        <v>980100.00000000012</v>
      </c>
      <c r="BA6" s="8">
        <f>SUM('2026:2024'!BA6)</f>
        <v>20900</v>
      </c>
      <c r="BB6" s="8">
        <f>SUM('2026:2024'!BB6)</f>
        <v>47300</v>
      </c>
      <c r="BC6" s="8">
        <f>SUM('2026:2024'!BC6)</f>
        <v>0</v>
      </c>
      <c r="BD6" s="8">
        <f>SUM('2026:2024'!BD6)</f>
        <v>14300</v>
      </c>
      <c r="BE6" s="8">
        <f>SUM('2026:2024'!BE6)</f>
        <v>2200</v>
      </c>
      <c r="BF6" s="8">
        <f>SUM('2026:2024'!BF6)</f>
        <v>2200</v>
      </c>
      <c r="BG6" s="8">
        <f>SUM('2026:2024'!BG6)</f>
        <v>0</v>
      </c>
      <c r="BH6" s="8">
        <f>SUM('2026:2024'!BH6)</f>
        <v>2200</v>
      </c>
      <c r="BI6" s="8" cm="1">
        <f t="array" ref="BI6">IF(BI$2="FY",SUMPRODUCT(Data[Nhập-SPC+SPP-NX]*(Data[Year]=BI$1)*(Data[Main SKU name_GOM]=$A6)*(Data[SKU name_NHẬP_GOM]=BI$3)),SUMPRODUCT(Data[Nhập-SPC+SPP-NX]*(Data[Year]=BI$1)*(Data[Month]=BI$2)*(Data[Main SKU name_GOM]=$A6)*(Data[SKU name_NHẬP_GOM]=BI$3)))</f>
        <v>0</v>
      </c>
      <c r="BJ6" s="8">
        <f>SUM(AZ6:BI6)</f>
        <v>1069200</v>
      </c>
      <c r="BL6" s="8">
        <f>SUM('2026:2024'!BL6)</f>
        <v>526900</v>
      </c>
      <c r="BM6" s="8">
        <f>SUM('2026:2024'!BM6)</f>
        <v>129800</v>
      </c>
      <c r="BN6" s="8">
        <f>SUM('2026:2024'!BN6)</f>
        <v>0</v>
      </c>
      <c r="BO6" s="8">
        <f>SUM('2026:2024'!BO6)</f>
        <v>4400</v>
      </c>
      <c r="BP6" s="8">
        <f>SUM('2026:2024'!BP6)</f>
        <v>17600</v>
      </c>
      <c r="BQ6" s="8">
        <f>SUM('2026:2024'!BQ6)</f>
        <v>1100</v>
      </c>
      <c r="BR6" s="8">
        <f>SUM('2026:2024'!BR6)</f>
        <v>0</v>
      </c>
      <c r="BS6" s="8">
        <f>SUM('2026:2024'!BS6)</f>
        <v>14300</v>
      </c>
      <c r="BT6" s="8">
        <f>SUM('2026:2024'!BT6)</f>
        <v>0</v>
      </c>
      <c r="BU6" s="8" cm="1">
        <f t="array" ref="BU6">IF(BU$2="FY",SUMPRODUCT(Data[Nhập-SPC+SPP-NX]*(Data[Year]=BU$1)*(Data[Main SKU name_GOM]=$A6)*(Data[SKU name_NHẬP_GOM]=BU$3)),SUMPRODUCT(Data[Nhập-SPC+SPP-NX]*(Data[Year]=BU$1)*(Data[Month]=BU$2)*(Data[Main SKU name_GOM]=$A6)*(Data[SKU name_NHẬP_GOM]=BU$3)))</f>
        <v>0</v>
      </c>
      <c r="BV6" s="8">
        <f>SUM(BL6:BU6)</f>
        <v>694100</v>
      </c>
      <c r="BX6" s="8">
        <f>SUM('2026:2024'!BX6)</f>
        <v>669900</v>
      </c>
      <c r="BY6" s="8">
        <f>SUM('2026:2024'!BY6)</f>
        <v>30800</v>
      </c>
      <c r="BZ6" s="8">
        <f>SUM('2026:2024'!BZ6)</f>
        <v>0</v>
      </c>
      <c r="CA6" s="8">
        <f>SUM('2026:2024'!CA6)</f>
        <v>0</v>
      </c>
      <c r="CB6" s="8">
        <f>SUM('2026:2024'!CB6)</f>
        <v>7700</v>
      </c>
      <c r="CC6" s="8">
        <f>SUM('2026:2024'!CC6)</f>
        <v>6600</v>
      </c>
      <c r="CD6" s="8">
        <f>SUM('2026:2024'!CD6)</f>
        <v>4400</v>
      </c>
      <c r="CE6" s="8">
        <f>SUM('2026:2024'!CE6)</f>
        <v>2200</v>
      </c>
      <c r="CF6" s="8">
        <f>SUM('2026:2024'!CF6)</f>
        <v>6600</v>
      </c>
      <c r="CG6" s="8" cm="1">
        <f t="array" ref="CG6">IF(CG$2="FY",SUMPRODUCT(Data[Nhập-SPC+SPP-NX]*(Data[Year]=CG$1)*(Data[Main SKU name_GOM]=$A6)*(Data[SKU name_NHẬP_GOM]=CG$3)),SUMPRODUCT(Data[Nhập-SPC+SPP-NX]*(Data[Year]=CG$1)*(Data[Month]=CG$2)*(Data[Main SKU name_GOM]=$A6)*(Data[SKU name_NHẬP_GOM]=CG$3)))</f>
        <v>0</v>
      </c>
      <c r="CH6" s="8">
        <f>SUM(BX6:CG6)</f>
        <v>728200</v>
      </c>
      <c r="CJ6" s="8">
        <f>SUM('2026:2024'!CJ6)</f>
        <v>657800</v>
      </c>
      <c r="CK6" s="8">
        <f>SUM('2026:2024'!CK6)</f>
        <v>70400</v>
      </c>
      <c r="CL6" s="8">
        <f>SUM('2026:2024'!CL6)</f>
        <v>7700</v>
      </c>
      <c r="CM6" s="8">
        <f>SUM('2026:2024'!CM6)</f>
        <v>0</v>
      </c>
      <c r="CN6" s="8">
        <f>SUM('2026:2024'!CN6)</f>
        <v>28600</v>
      </c>
      <c r="CO6" s="8">
        <f>SUM('2026:2024'!CO6)</f>
        <v>11000</v>
      </c>
      <c r="CP6" s="8">
        <f>SUM('2026:2024'!CP6)</f>
        <v>0</v>
      </c>
      <c r="CQ6" s="8">
        <f>SUM('2026:2024'!CQ6)</f>
        <v>0</v>
      </c>
      <c r="CR6" s="8">
        <f>SUM('2026:2024'!CR6)</f>
        <v>6599.9999999999991</v>
      </c>
      <c r="CS6" s="8" cm="1">
        <f t="array" ref="CS6">IF(CS$2="FY",SUMPRODUCT(Data[Nhập-SPC+SPP-NX]*(Data[Year]=CS$1)*(Data[Main SKU name_GOM]=$A6)*(Data[SKU name_NHẬP_GOM]=CS$3)),SUMPRODUCT(Data[Nhập-SPC+SPP-NX]*(Data[Year]=CS$1)*(Data[Month]=CS$2)*(Data[Main SKU name_GOM]=$A6)*(Data[SKU name_NHẬP_GOM]=CS$3)))</f>
        <v>0</v>
      </c>
      <c r="CT6" s="8">
        <f>SUM(CJ6:CS6)</f>
        <v>782100</v>
      </c>
      <c r="CV6" s="8">
        <f>SUM('2026:2024'!CV6)</f>
        <v>1119800</v>
      </c>
      <c r="CW6" s="8">
        <f>SUM('2026:2024'!CW6)</f>
        <v>44245</v>
      </c>
      <c r="CX6" s="8">
        <f>SUM('2026:2024'!CX6)</f>
        <v>1100</v>
      </c>
      <c r="CY6" s="8">
        <f>SUM('2026:2024'!CY6)</f>
        <v>0</v>
      </c>
      <c r="CZ6" s="8">
        <f>SUM('2026:2024'!CZ6)</f>
        <v>59398.999999999993</v>
      </c>
      <c r="DA6" s="8">
        <f>SUM('2026:2024'!DA6)</f>
        <v>0</v>
      </c>
      <c r="DB6" s="8">
        <f>SUM('2026:2024'!DB6)</f>
        <v>1100</v>
      </c>
      <c r="DC6" s="8">
        <f>SUM('2026:2024'!DC6)</f>
        <v>6599.9999999999991</v>
      </c>
      <c r="DD6" s="8">
        <f>SUM('2026:2024'!DD6)</f>
        <v>10400</v>
      </c>
      <c r="DE6" s="8" cm="1">
        <f t="array" ref="DE6">IF(DE$2="FY",SUMPRODUCT(Data[Nhập-SPC+SPP-NX]*(Data[Year]=DE$1)*(Data[Main SKU name_GOM]=$A6)*(Data[SKU name_NHẬP_GOM]=DE$3)),SUMPRODUCT(Data[Nhập-SPC+SPP-NX]*(Data[Year]=DE$1)*(Data[Month]=DE$2)*(Data[Main SKU name_GOM]=$A6)*(Data[SKU name_NHẬP_GOM]=DE$3)))</f>
        <v>0</v>
      </c>
      <c r="DF6" s="8">
        <f>SUM(CV6:DE6)</f>
        <v>1242644</v>
      </c>
      <c r="DH6" s="8">
        <f>SUM('2026:2024'!DH6)</f>
        <v>1568600.0000000002</v>
      </c>
      <c r="DI6" s="8">
        <f>SUM('2026:2024'!DI6)</f>
        <v>93855</v>
      </c>
      <c r="DJ6" s="8">
        <f>SUM('2026:2024'!DJ6)</f>
        <v>3300</v>
      </c>
      <c r="DK6" s="8">
        <f>SUM('2026:2024'!DK6)</f>
        <v>0</v>
      </c>
      <c r="DL6" s="8">
        <f>SUM('2026:2024'!DL6)</f>
        <v>159704.5</v>
      </c>
      <c r="DM6" s="8">
        <f>SUM('2026:2024'!DM6)</f>
        <v>0</v>
      </c>
      <c r="DN6" s="8">
        <f>SUM('2026:2024'!DN6)</f>
        <v>0</v>
      </c>
      <c r="DO6" s="8">
        <f>SUM('2026:2024'!DO6)</f>
        <v>0</v>
      </c>
      <c r="DP6" s="8">
        <f>SUM('2026:2024'!DP6)</f>
        <v>1100</v>
      </c>
      <c r="DQ6" s="8" cm="1">
        <f t="array" ref="DQ6">IF(DQ$2="FY",SUMPRODUCT(Data[Nhập-SPC+SPP-NX]*(Data[Year]=DQ$1)*(Data[Main SKU name_GOM]=$A6)*(Data[SKU name_NHẬP_GOM]=DQ$3)),SUMPRODUCT(Data[Nhập-SPC+SPP-NX]*(Data[Year]=DQ$1)*(Data[Month]=DQ$2)*(Data[Main SKU name_GOM]=$A6)*(Data[SKU name_NHẬP_GOM]=DQ$3)))</f>
        <v>0</v>
      </c>
      <c r="DR6" s="8">
        <f>SUM(DH6:DQ6)</f>
        <v>1826559.5000000002</v>
      </c>
      <c r="DT6" s="8">
        <f>SUM('2026:2024'!DT6)</f>
        <v>1432202</v>
      </c>
      <c r="DU6" s="8">
        <f>SUM('2026:2024'!DU6)</f>
        <v>85800</v>
      </c>
      <c r="DV6" s="8">
        <f>SUM('2026:2024'!DV6)</f>
        <v>105600</v>
      </c>
      <c r="DW6" s="8">
        <f>SUM('2026:2024'!DW6)</f>
        <v>1100</v>
      </c>
      <c r="DX6" s="8">
        <f>SUM('2026:2024'!DX6)</f>
        <v>189200</v>
      </c>
      <c r="DY6" s="8">
        <f>SUM('2026:2024'!DY6)</f>
        <v>59400</v>
      </c>
      <c r="DZ6" s="8">
        <f>SUM('2026:2024'!DZ6)</f>
        <v>0</v>
      </c>
      <c r="EA6" s="8">
        <f>SUM('2026:2024'!EA6)</f>
        <v>16500</v>
      </c>
      <c r="EB6" s="8">
        <f>SUM('2026:2024'!EB6)</f>
        <v>20900.000000000004</v>
      </c>
      <c r="EC6" s="8" cm="1">
        <f t="array" ref="EC6">IF(EC$2="FY",SUMPRODUCT(Data[Nhập-SPC+SPP-NX]*(Data[Year]=EC$1)*(Data[Main SKU name_GOM]=$A6)*(Data[SKU name_NHẬP_GOM]=EC$3)),SUMPRODUCT(Data[Nhập-SPC+SPP-NX]*(Data[Year]=EC$1)*(Data[Month]=EC$2)*(Data[Main SKU name_GOM]=$A6)*(Data[SKU name_NHẬP_GOM]=EC$3)))</f>
        <v>0</v>
      </c>
      <c r="ED6" s="8">
        <f>SUM(DT6:EC6)</f>
        <v>1910702</v>
      </c>
      <c r="EF6" s="8">
        <f>SUM('2026:2024'!EF6)</f>
        <v>1910400</v>
      </c>
      <c r="EG6" s="8">
        <f>SUM('2026:2024'!EG6)</f>
        <v>26400</v>
      </c>
      <c r="EH6" s="8">
        <f>SUM('2026:2024'!EH6)</f>
        <v>12100</v>
      </c>
      <c r="EI6" s="8">
        <f>SUM('2026:2024'!EI6)</f>
        <v>0</v>
      </c>
      <c r="EJ6" s="8">
        <f>SUM('2026:2024'!EJ6)</f>
        <v>147400</v>
      </c>
      <c r="EK6" s="8">
        <f>SUM('2026:2024'!EK6)</f>
        <v>2200</v>
      </c>
      <c r="EL6" s="8">
        <f>SUM('2026:2024'!EL6)</f>
        <v>0</v>
      </c>
      <c r="EM6" s="8">
        <f>SUM('2026:2024'!EM6)</f>
        <v>0</v>
      </c>
      <c r="EN6" s="8">
        <f>SUM('2026:2024'!EN6)</f>
        <v>7700</v>
      </c>
      <c r="EO6" s="8" cm="1">
        <f t="array" ref="EO6">IF(EO$2="FY",SUMPRODUCT(Data[Nhập-SPC+SPP-NX]*(Data[Year]=EO$1)*(Data[Main SKU name_GOM]=$A6)*(Data[SKU name_NHẬP_GOM]=EO$3)),SUMPRODUCT(Data[Nhập-SPC+SPP-NX]*(Data[Year]=EO$1)*(Data[Month]=EO$2)*(Data[Main SKU name_GOM]=$A6)*(Data[SKU name_NHẬP_GOM]=EO$3)))</f>
        <v>0</v>
      </c>
      <c r="EP6" s="8">
        <f>SUM(EF6:EO6)</f>
        <v>2106200</v>
      </c>
      <c r="ER6" s="8">
        <f>SUM('2026:2024'!ER6)</f>
        <v>1867800</v>
      </c>
      <c r="ES6" s="8">
        <f>SUM('2026:2024'!ES6)</f>
        <v>7700</v>
      </c>
      <c r="ET6" s="8">
        <f>SUM('2026:2024'!ET6)</f>
        <v>16500</v>
      </c>
      <c r="EU6" s="8">
        <f>SUM('2026:2024'!EU6)</f>
        <v>0</v>
      </c>
      <c r="EV6" s="8">
        <f>SUM('2026:2024'!EV6)</f>
        <v>53899.999999999993</v>
      </c>
      <c r="EW6" s="8">
        <f>SUM('2026:2024'!EW6)</f>
        <v>15400</v>
      </c>
      <c r="EX6" s="8">
        <f>SUM('2026:2024'!EX6)</f>
        <v>2199.9999999999995</v>
      </c>
      <c r="EY6" s="8">
        <f>SUM('2026:2024'!EY6)</f>
        <v>0</v>
      </c>
      <c r="EZ6" s="8">
        <f>SUM('2026:2024'!EZ6)</f>
        <v>12100</v>
      </c>
      <c r="FA6" s="8" cm="1">
        <f t="array" ref="FA6">IF(FA$2="FY",SUMPRODUCT(Data[Nhập-SPC+SPP-NX]*(Data[Year]=FA$1)*(Data[Main SKU name_GOM]=$A6)*(Data[SKU name_NHẬP_GOM]=FA$3)),SUMPRODUCT(Data[Nhập-SPC+SPP-NX]*(Data[Year]=FA$1)*(Data[Month]=FA$2)*(Data[Main SKU name_GOM]=$A6)*(Data[SKU name_NHẬP_GOM]=FA$3)))</f>
        <v>0</v>
      </c>
      <c r="FB6" s="8">
        <f>SUM(ER6:FA6)</f>
        <v>1975600</v>
      </c>
    </row>
    <row r="7" spans="1:158" x14ac:dyDescent="0.35">
      <c r="A7" s="5" t="s">
        <v>69</v>
      </c>
      <c r="B7" t="s">
        <v>69</v>
      </c>
      <c r="D7" s="8">
        <f>SUM('2026:2024'!D7)</f>
        <v>293538</v>
      </c>
      <c r="E7" s="8">
        <f>SUM('2026:2024'!E7)</f>
        <v>12990577</v>
      </c>
      <c r="F7" s="8">
        <f>SUM('2026:2024'!F7)</f>
        <v>432300</v>
      </c>
      <c r="G7" s="8">
        <f>SUM('2026:2024'!G7)</f>
        <v>0</v>
      </c>
      <c r="H7" s="8">
        <f>SUM('2026:2024'!H7)</f>
        <v>189276.5</v>
      </c>
      <c r="I7" s="8">
        <f>SUM('2026:2024'!I7)</f>
        <v>3300</v>
      </c>
      <c r="J7" s="8">
        <f>SUM('2026:2024'!J7)</f>
        <v>141900</v>
      </c>
      <c r="K7" s="8">
        <f>SUM('2026:2024'!K7)</f>
        <v>16500</v>
      </c>
      <c r="L7" s="8">
        <f>SUM('2026:2024'!L7)</f>
        <v>28650</v>
      </c>
      <c r="M7" s="8" cm="1">
        <f t="array" ref="M7">IF(M$2="FY",SUMPRODUCT(Data[Nhập-SPC+SPP-NX]*(Data[Year]=M$1)*(Data[Main SKU name_GOM]=$A7)*(Data[SKU name_NHẬP_GOM]=M$3)),SUMPRODUCT(Data[Nhập-SPC+SPP-NX]*(Data[Year]=M$1)*(Data[Month]=M$2)*(Data[Main SKU name_GOM]=$A7)*(Data[SKU name_NHẬP_GOM]=M$3)))</f>
        <v>0</v>
      </c>
      <c r="N7" s="13">
        <f t="shared" ref="N7:N9" si="0">SUM(D7:M7)</f>
        <v>14096041.5</v>
      </c>
      <c r="P7" s="8">
        <f>SUM('2026:2024'!P7)</f>
        <v>8800</v>
      </c>
      <c r="Q7" s="8">
        <f>SUM('2026:2024'!Q7)</f>
        <v>492800</v>
      </c>
      <c r="R7" s="8">
        <f>SUM('2026:2024'!R7)</f>
        <v>2200</v>
      </c>
      <c r="S7" s="8">
        <f>SUM('2026:2024'!S7)</f>
        <v>0</v>
      </c>
      <c r="T7" s="8">
        <f>SUM('2026:2024'!T7)</f>
        <v>5500</v>
      </c>
      <c r="U7" s="8">
        <f>SUM('2026:2024'!U7)</f>
        <v>0</v>
      </c>
      <c r="V7" s="8">
        <f>SUM('2026:2024'!V7)</f>
        <v>1100</v>
      </c>
      <c r="W7" s="8">
        <f>SUM('2026:2024'!W7)</f>
        <v>0</v>
      </c>
      <c r="X7" s="8">
        <f>SUM('2026:2024'!X7)</f>
        <v>2200</v>
      </c>
      <c r="Y7" s="8" cm="1">
        <f t="array" ref="Y7">IF(Y$2="FY",SUMPRODUCT(Data[Nhập-SPC+SPP-NX]*(Data[Year]=Y$1)*(Data[Main SKU name_GOM]=$A7)*(Data[SKU name_NHẬP_GOM]=Y$3)),SUMPRODUCT(Data[Nhập-SPC+SPP-NX]*(Data[Year]=Y$1)*(Data[Month]=Y$2)*(Data[Main SKU name_GOM]=$A7)*(Data[SKU name_NHẬP_GOM]=Y$3)))</f>
        <v>0</v>
      </c>
      <c r="Z7" s="8">
        <f t="shared" ref="Z7:Z9" si="1">SUM(P7:Y7)</f>
        <v>512600</v>
      </c>
      <c r="AB7" s="8">
        <f>SUM('2026:2024'!AB7)</f>
        <v>1100</v>
      </c>
      <c r="AC7" s="8">
        <f>SUM('2026:2024'!AC7)</f>
        <v>737440</v>
      </c>
      <c r="AD7" s="8">
        <f>SUM('2026:2024'!AD7)</f>
        <v>6600</v>
      </c>
      <c r="AE7" s="8">
        <f>SUM('2026:2024'!AE7)</f>
        <v>0</v>
      </c>
      <c r="AF7" s="8">
        <f>SUM('2026:2024'!AF7)</f>
        <v>19800</v>
      </c>
      <c r="AG7" s="8">
        <f>SUM('2026:2024'!AG7)</f>
        <v>0</v>
      </c>
      <c r="AH7" s="8">
        <f>SUM('2026:2024'!AH7)</f>
        <v>24200</v>
      </c>
      <c r="AI7" s="8">
        <f>SUM('2026:2024'!AI7)</f>
        <v>0</v>
      </c>
      <c r="AJ7" s="8">
        <f>SUM('2026:2024'!AJ7)</f>
        <v>5500</v>
      </c>
      <c r="AK7" s="8" cm="1">
        <f t="array" ref="AK7">IF(AK$2="FY",SUMPRODUCT(Data[Nhập-SPC+SPP-NX]*(Data[Year]=AK$1)*(Data[Main SKU name_GOM]=$A7)*(Data[SKU name_NHẬP_GOM]=AK$3)),SUMPRODUCT(Data[Nhập-SPC+SPP-NX]*(Data[Year]=AK$1)*(Data[Month]=AK$2)*(Data[Main SKU name_GOM]=$A7)*(Data[SKU name_NHẬP_GOM]=AK$3)))</f>
        <v>0</v>
      </c>
      <c r="AL7" s="8">
        <f t="shared" ref="AL7:AL9" si="2">SUM(AB7:AK7)</f>
        <v>794640</v>
      </c>
      <c r="AN7" s="8">
        <f>SUM('2026:2024'!AN7)</f>
        <v>11000</v>
      </c>
      <c r="AO7" s="8">
        <f>SUM('2026:2024'!AO7)</f>
        <v>1915100</v>
      </c>
      <c r="AP7" s="8">
        <f>SUM('2026:2024'!AP7)</f>
        <v>39600</v>
      </c>
      <c r="AQ7" s="8">
        <f>SUM('2026:2024'!AQ7)</f>
        <v>0</v>
      </c>
      <c r="AR7" s="8">
        <f>SUM('2026:2024'!AR7)</f>
        <v>23015.000000000004</v>
      </c>
      <c r="AS7" s="8">
        <f>SUM('2026:2024'!AS7)</f>
        <v>0</v>
      </c>
      <c r="AT7" s="8">
        <f>SUM('2026:2024'!AT7)</f>
        <v>13200</v>
      </c>
      <c r="AU7" s="8">
        <f>SUM('2026:2024'!AU7)</f>
        <v>1100</v>
      </c>
      <c r="AV7" s="8">
        <f>SUM('2026:2024'!AV7)</f>
        <v>1100</v>
      </c>
      <c r="AW7" s="8" cm="1">
        <f t="array" ref="AW7">IF(AW$2="FY",SUMPRODUCT(Data[Nhập-SPC+SPP-NX]*(Data[Year]=AW$1)*(Data[Main SKU name_GOM]=$A7)*(Data[SKU name_NHẬP_GOM]=AW$3)),SUMPRODUCT(Data[Nhập-SPC+SPP-NX]*(Data[Year]=AW$1)*(Data[Month]=AW$2)*(Data[Main SKU name_GOM]=$A7)*(Data[SKU name_NHẬP_GOM]=AW$3)))</f>
        <v>0</v>
      </c>
      <c r="AX7" s="8">
        <f t="shared" ref="AX7:AX9" si="3">SUM(AN7:AW7)</f>
        <v>2004115</v>
      </c>
      <c r="AZ7" s="8">
        <f>SUM('2026:2024'!AZ7)</f>
        <v>0</v>
      </c>
      <c r="BA7" s="8">
        <f>SUM('2026:2024'!BA7)</f>
        <v>1502936</v>
      </c>
      <c r="BB7" s="8">
        <f>SUM('2026:2024'!BB7)</f>
        <v>39600</v>
      </c>
      <c r="BC7" s="8">
        <f>SUM('2026:2024'!BC7)</f>
        <v>0</v>
      </c>
      <c r="BD7" s="8">
        <f>SUM('2026:2024'!BD7)</f>
        <v>12744.999999999996</v>
      </c>
      <c r="BE7" s="8">
        <f>SUM('2026:2024'!BE7)</f>
        <v>0</v>
      </c>
      <c r="BF7" s="8">
        <f>SUM('2026:2024'!BF7)</f>
        <v>33000.000000000015</v>
      </c>
      <c r="BG7" s="8">
        <f>SUM('2026:2024'!BG7)</f>
        <v>7700</v>
      </c>
      <c r="BH7" s="8">
        <f>SUM('2026:2024'!BH7)</f>
        <v>12150.000000000002</v>
      </c>
      <c r="BI7" s="8" cm="1">
        <f t="array" ref="BI7">IF(BI$2="FY",SUMPRODUCT(Data[Nhập-SPC+SPP-NX]*(Data[Year]=BI$1)*(Data[Main SKU name_GOM]=$A7)*(Data[SKU name_NHẬP_GOM]=BI$3)),SUMPRODUCT(Data[Nhập-SPC+SPP-NX]*(Data[Year]=BI$1)*(Data[Month]=BI$2)*(Data[Main SKU name_GOM]=$A7)*(Data[SKU name_NHẬP_GOM]=BI$3)))</f>
        <v>0</v>
      </c>
      <c r="BJ7" s="8">
        <f t="shared" ref="BJ7:BJ9" si="4">SUM(AZ7:BI7)</f>
        <v>1608131</v>
      </c>
      <c r="BL7" s="8">
        <f>SUM('2026:2024'!BL7)</f>
        <v>2200</v>
      </c>
      <c r="BM7" s="8">
        <f>SUM('2026:2024'!BM7)</f>
        <v>1322200</v>
      </c>
      <c r="BN7" s="8">
        <f>SUM('2026:2024'!BN7)</f>
        <v>23100</v>
      </c>
      <c r="BO7" s="8">
        <f>SUM('2026:2024'!BO7)</f>
        <v>0</v>
      </c>
      <c r="BP7" s="8">
        <f>SUM('2026:2024'!BP7)</f>
        <v>18700</v>
      </c>
      <c r="BQ7" s="8">
        <f>SUM('2026:2024'!BQ7)</f>
        <v>0</v>
      </c>
      <c r="BR7" s="8">
        <f>SUM('2026:2024'!BR7)</f>
        <v>11000</v>
      </c>
      <c r="BS7" s="8">
        <f>SUM('2026:2024'!BS7)</f>
        <v>2200</v>
      </c>
      <c r="BT7" s="8">
        <f>SUM('2026:2024'!BT7)</f>
        <v>1100</v>
      </c>
      <c r="BU7" s="8" cm="1">
        <f t="array" ref="BU7">IF(BU$2="FY",SUMPRODUCT(Data[Nhập-SPC+SPP-NX]*(Data[Year]=BU$1)*(Data[Main SKU name_GOM]=$A7)*(Data[SKU name_NHẬP_GOM]=BU$3)),SUMPRODUCT(Data[Nhập-SPC+SPP-NX]*(Data[Year]=BU$1)*(Data[Month]=BU$2)*(Data[Main SKU name_GOM]=$A7)*(Data[SKU name_NHẬP_GOM]=BU$3)))</f>
        <v>0</v>
      </c>
      <c r="BV7" s="8">
        <f t="shared" ref="BV7:BV9" si="5">SUM(BL7:BU7)</f>
        <v>1380500</v>
      </c>
      <c r="BX7" s="8">
        <f>SUM('2026:2024'!BX7)</f>
        <v>37400</v>
      </c>
      <c r="BY7" s="8">
        <f>SUM('2026:2024'!BY7)</f>
        <v>1905200</v>
      </c>
      <c r="BZ7" s="8">
        <f>SUM('2026:2024'!BZ7)</f>
        <v>27500</v>
      </c>
      <c r="CA7" s="8">
        <f>SUM('2026:2024'!CA7)</f>
        <v>0</v>
      </c>
      <c r="CB7" s="8">
        <f>SUM('2026:2024'!CB7)</f>
        <v>4400</v>
      </c>
      <c r="CC7" s="8">
        <f>SUM('2026:2024'!CC7)</f>
        <v>0</v>
      </c>
      <c r="CD7" s="8">
        <f>SUM('2026:2024'!CD7)</f>
        <v>12100</v>
      </c>
      <c r="CE7" s="8">
        <f>SUM('2026:2024'!CE7)</f>
        <v>2200</v>
      </c>
      <c r="CF7" s="8">
        <f>SUM('2026:2024'!CF7)</f>
        <v>4400</v>
      </c>
      <c r="CG7" s="8" cm="1">
        <f t="array" ref="CG7">IF(CG$2="FY",SUMPRODUCT(Data[Nhập-SPC+SPP-NX]*(Data[Year]=CG$1)*(Data[Main SKU name_GOM]=$A7)*(Data[SKU name_NHẬP_GOM]=CG$3)),SUMPRODUCT(Data[Nhập-SPC+SPP-NX]*(Data[Year]=CG$1)*(Data[Month]=CG$2)*(Data[Main SKU name_GOM]=$A7)*(Data[SKU name_NHẬP_GOM]=CG$3)))</f>
        <v>0</v>
      </c>
      <c r="CH7" s="8">
        <f t="shared" ref="CH7:CH9" si="6">SUM(BX7:CG7)</f>
        <v>1993200</v>
      </c>
      <c r="CJ7" s="8">
        <f>SUM('2026:2024'!CJ7)</f>
        <v>112200</v>
      </c>
      <c r="CK7" s="8">
        <f>SUM('2026:2024'!CK7)</f>
        <v>1305700</v>
      </c>
      <c r="CL7" s="8">
        <f>SUM('2026:2024'!CL7)</f>
        <v>68200</v>
      </c>
      <c r="CM7" s="8">
        <f>SUM('2026:2024'!CM7)</f>
        <v>0</v>
      </c>
      <c r="CN7" s="8">
        <f>SUM('2026:2024'!CN7)</f>
        <v>22000.000000000007</v>
      </c>
      <c r="CO7" s="8">
        <f>SUM('2026:2024'!CO7)</f>
        <v>0</v>
      </c>
      <c r="CP7" s="8">
        <f>SUM('2026:2024'!CP7)</f>
        <v>12100</v>
      </c>
      <c r="CQ7" s="8">
        <f>SUM('2026:2024'!CQ7)</f>
        <v>0</v>
      </c>
      <c r="CR7" s="8">
        <f>SUM('2026:2024'!CR7)</f>
        <v>0</v>
      </c>
      <c r="CS7" s="8" cm="1">
        <f t="array" ref="CS7">IF(CS$2="FY",SUMPRODUCT(Data[Nhập-SPC+SPP-NX]*(Data[Year]=CS$1)*(Data[Main SKU name_GOM]=$A7)*(Data[SKU name_NHẬP_GOM]=CS$3)),SUMPRODUCT(Data[Nhập-SPC+SPP-NX]*(Data[Year]=CS$1)*(Data[Month]=CS$2)*(Data[Main SKU name_GOM]=$A7)*(Data[SKU name_NHẬP_GOM]=CS$3)))</f>
        <v>0</v>
      </c>
      <c r="CT7" s="8">
        <f t="shared" ref="CT7:CT9" si="7">SUM(CJ7:CS7)</f>
        <v>1520200</v>
      </c>
      <c r="CV7" s="8">
        <f>SUM('2026:2024'!CV7)</f>
        <v>91299.999999999985</v>
      </c>
      <c r="CW7" s="8">
        <f>SUM('2026:2024'!CW7)</f>
        <v>1106600</v>
      </c>
      <c r="CX7" s="8">
        <f>SUM('2026:2024'!CX7)</f>
        <v>69300</v>
      </c>
      <c r="CY7" s="8">
        <f>SUM('2026:2024'!CY7)</f>
        <v>0</v>
      </c>
      <c r="CZ7" s="8">
        <f>SUM('2026:2024'!CZ7)</f>
        <v>14299.999999999998</v>
      </c>
      <c r="DA7" s="8">
        <f>SUM('2026:2024'!DA7)</f>
        <v>0</v>
      </c>
      <c r="DB7" s="8">
        <f>SUM('2026:2024'!DB7)</f>
        <v>14299.999999999998</v>
      </c>
      <c r="DC7" s="8">
        <f>SUM('2026:2024'!DC7)</f>
        <v>3300</v>
      </c>
      <c r="DD7" s="8">
        <f>SUM('2026:2024'!DD7)</f>
        <v>2200</v>
      </c>
      <c r="DE7" s="8" cm="1">
        <f t="array" ref="DE7">IF(DE$2="FY",SUMPRODUCT(Data[Nhập-SPC+SPP-NX]*(Data[Year]=DE$1)*(Data[Main SKU name_GOM]=$A7)*(Data[SKU name_NHẬP_GOM]=DE$3)),SUMPRODUCT(Data[Nhập-SPC+SPP-NX]*(Data[Year]=DE$1)*(Data[Month]=DE$2)*(Data[Main SKU name_GOM]=$A7)*(Data[SKU name_NHẬP_GOM]=DE$3)))</f>
        <v>0</v>
      </c>
      <c r="DF7" s="8">
        <f t="shared" ref="DF7:DF9" si="8">SUM(CV7:DE7)</f>
        <v>1301300</v>
      </c>
      <c r="DH7" s="8">
        <f>SUM('2026:2024'!DH7)</f>
        <v>0</v>
      </c>
      <c r="DI7" s="8">
        <f>SUM('2026:2024'!DI7)</f>
        <v>847000</v>
      </c>
      <c r="DJ7" s="8">
        <f>SUM('2026:2024'!DJ7)</f>
        <v>40700.000000000007</v>
      </c>
      <c r="DK7" s="8">
        <f>SUM('2026:2024'!DK7)</f>
        <v>0</v>
      </c>
      <c r="DL7" s="8">
        <f>SUM('2026:2024'!DL7)</f>
        <v>13200</v>
      </c>
      <c r="DM7" s="8">
        <f>SUM('2026:2024'!DM7)</f>
        <v>0</v>
      </c>
      <c r="DN7" s="8">
        <f>SUM('2026:2024'!DN7)</f>
        <v>8800</v>
      </c>
      <c r="DO7" s="8">
        <f>SUM('2026:2024'!DO7)</f>
        <v>0</v>
      </c>
      <c r="DP7" s="8">
        <f>SUM('2026:2024'!DP7)</f>
        <v>0</v>
      </c>
      <c r="DQ7" s="8" cm="1">
        <f t="array" ref="DQ7">IF(DQ$2="FY",SUMPRODUCT(Data[Nhập-SPC+SPP-NX]*(Data[Year]=DQ$1)*(Data[Main SKU name_GOM]=$A7)*(Data[SKU name_NHẬP_GOM]=DQ$3)),SUMPRODUCT(Data[Nhập-SPC+SPP-NX]*(Data[Year]=DQ$1)*(Data[Month]=DQ$2)*(Data[Main SKU name_GOM]=$A7)*(Data[SKU name_NHẬP_GOM]=DQ$3)))</f>
        <v>0</v>
      </c>
      <c r="DR7" s="8">
        <f t="shared" ref="DR7:DR9" si="9">SUM(DH7:DQ7)</f>
        <v>909700</v>
      </c>
      <c r="DT7" s="8">
        <f>SUM('2026:2024'!DT7)</f>
        <v>16338</v>
      </c>
      <c r="DU7" s="8">
        <f>SUM('2026:2024'!DU7)</f>
        <v>484000</v>
      </c>
      <c r="DV7" s="8">
        <f>SUM('2026:2024'!DV7)</f>
        <v>11000</v>
      </c>
      <c r="DW7" s="8">
        <f>SUM('2026:2024'!DW7)</f>
        <v>0</v>
      </c>
      <c r="DX7" s="8">
        <f>SUM('2026:2024'!DX7)</f>
        <v>13816.5</v>
      </c>
      <c r="DY7" s="8">
        <f>SUM('2026:2024'!DY7)</f>
        <v>0</v>
      </c>
      <c r="DZ7" s="8">
        <f>SUM('2026:2024'!DZ7)</f>
        <v>12100</v>
      </c>
      <c r="EA7" s="8">
        <f>SUM('2026:2024'!EA7)</f>
        <v>0</v>
      </c>
      <c r="EB7" s="8">
        <f>SUM('2026:2024'!EB7)</f>
        <v>0</v>
      </c>
      <c r="EC7" s="8" cm="1">
        <f t="array" ref="EC7">IF(EC$2="FY",SUMPRODUCT(Data[Nhập-SPC+SPP-NX]*(Data[Year]=EC$1)*(Data[Main SKU name_GOM]=$A7)*(Data[SKU name_NHẬP_GOM]=EC$3)),SUMPRODUCT(Data[Nhập-SPC+SPP-NX]*(Data[Year]=EC$1)*(Data[Month]=EC$2)*(Data[Main SKU name_GOM]=$A7)*(Data[SKU name_NHẬP_GOM]=EC$3)))</f>
        <v>0</v>
      </c>
      <c r="ED7" s="8">
        <f t="shared" ref="ED7:ED9" si="10">SUM(DT7:EC7)</f>
        <v>537254.5</v>
      </c>
      <c r="EF7" s="8">
        <f>SUM('2026:2024'!EF7)</f>
        <v>13200</v>
      </c>
      <c r="EG7" s="8">
        <f>SUM('2026:2024'!EG7)</f>
        <v>1211001.0000000002</v>
      </c>
      <c r="EH7" s="8">
        <f>SUM('2026:2024'!EH7)</f>
        <v>82500</v>
      </c>
      <c r="EI7" s="8">
        <f>SUM('2026:2024'!EI7)</f>
        <v>0</v>
      </c>
      <c r="EJ7" s="8">
        <f>SUM('2026:2024'!EJ7)</f>
        <v>41800</v>
      </c>
      <c r="EK7" s="8">
        <f>SUM('2026:2024'!EK7)</f>
        <v>0</v>
      </c>
      <c r="EL7" s="8">
        <f>SUM('2026:2024'!EL7)</f>
        <v>0</v>
      </c>
      <c r="EM7" s="8">
        <f>SUM('2026:2024'!EM7)</f>
        <v>0</v>
      </c>
      <c r="EN7" s="8">
        <f>SUM('2026:2024'!EN7)</f>
        <v>0</v>
      </c>
      <c r="EO7" s="8" cm="1">
        <f t="array" ref="EO7">IF(EO$2="FY",SUMPRODUCT(Data[Nhập-SPC+SPP-NX]*(Data[Year]=EO$1)*(Data[Main SKU name_GOM]=$A7)*(Data[SKU name_NHẬP_GOM]=EO$3)),SUMPRODUCT(Data[Nhập-SPC+SPP-NX]*(Data[Year]=EO$1)*(Data[Month]=EO$2)*(Data[Main SKU name_GOM]=$A7)*(Data[SKU name_NHẬP_GOM]=EO$3)))</f>
        <v>0</v>
      </c>
      <c r="EP7" s="8">
        <f t="shared" ref="EP7:EP9" si="11">SUM(EF7:EO7)</f>
        <v>1348501.0000000002</v>
      </c>
      <c r="ER7" s="8">
        <f>SUM('2026:2024'!ER7)</f>
        <v>0</v>
      </c>
      <c r="ES7" s="8">
        <f>SUM('2026:2024'!ES7)</f>
        <v>160600</v>
      </c>
      <c r="ET7" s="8">
        <f>SUM('2026:2024'!ET7)</f>
        <v>22000</v>
      </c>
      <c r="EU7" s="8">
        <f>SUM('2026:2024'!EU7)</f>
        <v>0</v>
      </c>
      <c r="EV7" s="8">
        <f>SUM('2026:2024'!EV7)</f>
        <v>0</v>
      </c>
      <c r="EW7" s="8">
        <f>SUM('2026:2024'!EW7)</f>
        <v>3300</v>
      </c>
      <c r="EX7" s="8">
        <f>SUM('2026:2024'!EX7)</f>
        <v>0</v>
      </c>
      <c r="EY7" s="8">
        <f>SUM('2026:2024'!EY7)</f>
        <v>0</v>
      </c>
      <c r="EZ7" s="8">
        <f>SUM('2026:2024'!EZ7)</f>
        <v>0</v>
      </c>
      <c r="FA7" s="8" cm="1">
        <f t="array" ref="FA7">IF(FA$2="FY",SUMPRODUCT(Data[Nhập-SPC+SPP-NX]*(Data[Year]=FA$1)*(Data[Main SKU name_GOM]=$A7)*(Data[SKU name_NHẬP_GOM]=FA$3)),SUMPRODUCT(Data[Nhập-SPC+SPP-NX]*(Data[Year]=FA$1)*(Data[Month]=FA$2)*(Data[Main SKU name_GOM]=$A7)*(Data[SKU name_NHẬP_GOM]=FA$3)))</f>
        <v>0</v>
      </c>
      <c r="FB7" s="8">
        <f t="shared" ref="FB7:FB9" si="12">SUM(ER7:FA7)</f>
        <v>185900</v>
      </c>
    </row>
    <row r="8" spans="1:158" x14ac:dyDescent="0.35">
      <c r="A8" s="5" t="s">
        <v>70</v>
      </c>
      <c r="B8" t="s">
        <v>70</v>
      </c>
      <c r="D8" s="8">
        <f>SUM('2026:2024'!D8)</f>
        <v>58300</v>
      </c>
      <c r="E8" s="8">
        <f>SUM('2026:2024'!E8)</f>
        <v>3794120</v>
      </c>
      <c r="F8" s="8">
        <f>SUM('2026:2024'!F8)</f>
        <v>48292039</v>
      </c>
      <c r="G8" s="8">
        <f>SUM('2026:2024'!G8)</f>
        <v>895544</v>
      </c>
      <c r="H8" s="8">
        <f>SUM('2026:2024'!H8)</f>
        <v>1763694.5</v>
      </c>
      <c r="I8" s="8">
        <f>SUM('2026:2024'!I8)</f>
        <v>2199.9999999999995</v>
      </c>
      <c r="J8" s="8">
        <f>SUM('2026:2024'!J8)</f>
        <v>11000</v>
      </c>
      <c r="K8" s="8">
        <f>SUM('2026:2024'!K8)</f>
        <v>543400</v>
      </c>
      <c r="L8" s="8">
        <f>SUM('2026:2024'!L8)</f>
        <v>156172.25</v>
      </c>
      <c r="M8" s="8" cm="1">
        <f t="array" ref="M8">IF(M$2="FY",SUMPRODUCT(Data[Nhập-SPC+SPP-NX]*(Data[Year]=M$1)*(Data[Main SKU name_GOM]=$A8)*(Data[SKU name_NHẬP_GOM]=M$3)),SUMPRODUCT(Data[Nhập-SPC+SPP-NX]*(Data[Year]=M$1)*(Data[Month]=M$2)*(Data[Main SKU name_GOM]=$A8)*(Data[SKU name_NHẬP_GOM]=M$3)))</f>
        <v>0</v>
      </c>
      <c r="N8" s="13">
        <f t="shared" si="0"/>
        <v>55516469.75</v>
      </c>
      <c r="P8" s="8">
        <f>SUM('2026:2024'!P8)</f>
        <v>1100</v>
      </c>
      <c r="Q8" s="8">
        <f>SUM('2026:2024'!Q8)</f>
        <v>500500</v>
      </c>
      <c r="R8" s="8">
        <f>SUM('2026:2024'!R8)</f>
        <v>6360657.9999999991</v>
      </c>
      <c r="S8" s="8">
        <f>SUM('2026:2024'!S8)</f>
        <v>164344</v>
      </c>
      <c r="T8" s="8">
        <f>SUM('2026:2024'!T8)</f>
        <v>44892</v>
      </c>
      <c r="U8" s="8">
        <f>SUM('2026:2024'!U8)</f>
        <v>0</v>
      </c>
      <c r="V8" s="8">
        <f>SUM('2026:2024'!V8)</f>
        <v>5500</v>
      </c>
      <c r="W8" s="8">
        <f>SUM('2026:2024'!W8)</f>
        <v>18700</v>
      </c>
      <c r="X8" s="8">
        <f>SUM('2026:2024'!X8)</f>
        <v>17572.25</v>
      </c>
      <c r="Y8" s="8" cm="1">
        <f t="array" ref="Y8">IF(Y$2="FY",SUMPRODUCT(Data[Nhập-SPC+SPP-NX]*(Data[Year]=Y$1)*(Data[Main SKU name_GOM]=$A8)*(Data[SKU name_NHẬP_GOM]=Y$3)),SUMPRODUCT(Data[Nhập-SPC+SPP-NX]*(Data[Year]=Y$1)*(Data[Month]=Y$2)*(Data[Main SKU name_GOM]=$A8)*(Data[SKU name_NHẬP_GOM]=Y$3)))</f>
        <v>0</v>
      </c>
      <c r="Z8" s="8">
        <f t="shared" si="1"/>
        <v>7113266.2499999991</v>
      </c>
      <c r="AB8" s="8">
        <f>SUM('2026:2024'!AB8)</f>
        <v>0</v>
      </c>
      <c r="AC8" s="8">
        <f>SUM('2026:2024'!AC8)</f>
        <v>266200</v>
      </c>
      <c r="AD8" s="8">
        <f>SUM('2026:2024'!AD8)</f>
        <v>3754482</v>
      </c>
      <c r="AE8" s="8">
        <f>SUM('2026:2024'!AE8)</f>
        <v>150700</v>
      </c>
      <c r="AF8" s="8">
        <f>SUM('2026:2024'!AF8)</f>
        <v>21931</v>
      </c>
      <c r="AG8" s="8">
        <f>SUM('2026:2024'!AG8)</f>
        <v>0</v>
      </c>
      <c r="AH8" s="8">
        <f>SUM('2026:2024'!AH8)</f>
        <v>1100</v>
      </c>
      <c r="AI8" s="8">
        <f>SUM('2026:2024'!AI8)</f>
        <v>51700</v>
      </c>
      <c r="AJ8" s="8">
        <f>SUM('2026:2024'!AJ8)</f>
        <v>8800</v>
      </c>
      <c r="AK8" s="8" cm="1">
        <f t="array" ref="AK8">IF(AK$2="FY",SUMPRODUCT(Data[Nhập-SPC+SPP-NX]*(Data[Year]=AK$1)*(Data[Main SKU name_GOM]=$A8)*(Data[SKU name_NHẬP_GOM]=AK$3)),SUMPRODUCT(Data[Nhập-SPC+SPP-NX]*(Data[Year]=AK$1)*(Data[Month]=AK$2)*(Data[Main SKU name_GOM]=$A8)*(Data[SKU name_NHẬP_GOM]=AK$3)))</f>
        <v>0</v>
      </c>
      <c r="AL8" s="8">
        <f t="shared" si="2"/>
        <v>4254913</v>
      </c>
      <c r="AN8" s="8">
        <f>SUM('2026:2024'!AN8)</f>
        <v>0</v>
      </c>
      <c r="AO8" s="8">
        <f>SUM('2026:2024'!AO8)</f>
        <v>487300</v>
      </c>
      <c r="AP8" s="8">
        <f>SUM('2026:2024'!AP8)</f>
        <v>7017928.9999999991</v>
      </c>
      <c r="AQ8" s="8">
        <f>SUM('2026:2024'!AQ8)</f>
        <v>118800</v>
      </c>
      <c r="AR8" s="8">
        <f>SUM('2026:2024'!AR8)</f>
        <v>62699.999999999993</v>
      </c>
      <c r="AS8" s="8">
        <f>SUM('2026:2024'!AS8)</f>
        <v>0</v>
      </c>
      <c r="AT8" s="8">
        <f>SUM('2026:2024'!AT8)</f>
        <v>3300</v>
      </c>
      <c r="AU8" s="8">
        <f>SUM('2026:2024'!AU8)</f>
        <v>15400</v>
      </c>
      <c r="AV8" s="8">
        <f>SUM('2026:2024'!AV8)</f>
        <v>6600</v>
      </c>
      <c r="AW8" s="8" cm="1">
        <f t="array" ref="AW8">IF(AW$2="FY",SUMPRODUCT(Data[Nhập-SPC+SPP-NX]*(Data[Year]=AW$1)*(Data[Main SKU name_GOM]=$A8)*(Data[SKU name_NHẬP_GOM]=AW$3)),SUMPRODUCT(Data[Nhập-SPC+SPP-NX]*(Data[Year]=AW$1)*(Data[Month]=AW$2)*(Data[Main SKU name_GOM]=$A8)*(Data[SKU name_NHẬP_GOM]=AW$3)))</f>
        <v>0</v>
      </c>
      <c r="AX8" s="8">
        <f t="shared" si="3"/>
        <v>7712028.9999999991</v>
      </c>
      <c r="AZ8" s="8">
        <f>SUM('2026:2024'!AZ8)</f>
        <v>3300</v>
      </c>
      <c r="BA8" s="8">
        <f>SUM('2026:2024'!BA8)</f>
        <v>398201.00000000012</v>
      </c>
      <c r="BB8" s="8">
        <f>SUM('2026:2024'!BB8)</f>
        <v>5655100.0000000009</v>
      </c>
      <c r="BC8" s="8">
        <f>SUM('2026:2024'!BC8)</f>
        <v>47300</v>
      </c>
      <c r="BD8" s="8">
        <f>SUM('2026:2024'!BD8)</f>
        <v>69300</v>
      </c>
      <c r="BE8" s="8">
        <f>SUM('2026:2024'!BE8)</f>
        <v>0</v>
      </c>
      <c r="BF8" s="8">
        <f>SUM('2026:2024'!BF8)</f>
        <v>0</v>
      </c>
      <c r="BG8" s="8">
        <f>SUM('2026:2024'!BG8)</f>
        <v>17600</v>
      </c>
      <c r="BH8" s="8">
        <f>SUM('2026:2024'!BH8)</f>
        <v>11000</v>
      </c>
      <c r="BI8" s="8" cm="1">
        <f t="array" ref="BI8">IF(BI$2="FY",SUMPRODUCT(Data[Nhập-SPC+SPP-NX]*(Data[Year]=BI$1)*(Data[Main SKU name_GOM]=$A8)*(Data[SKU name_NHẬP_GOM]=BI$3)),SUMPRODUCT(Data[Nhập-SPC+SPP-NX]*(Data[Year]=BI$1)*(Data[Month]=BI$2)*(Data[Main SKU name_GOM]=$A8)*(Data[SKU name_NHẬP_GOM]=BI$3)))</f>
        <v>0</v>
      </c>
      <c r="BJ8" s="8">
        <f t="shared" si="4"/>
        <v>6201801.0000000009</v>
      </c>
      <c r="BL8" s="8">
        <f>SUM('2026:2024'!BL8)</f>
        <v>0</v>
      </c>
      <c r="BM8" s="8">
        <f>SUM('2026:2024'!BM8)</f>
        <v>586300</v>
      </c>
      <c r="BN8" s="8">
        <f>SUM('2026:2024'!BN8)</f>
        <v>4692600</v>
      </c>
      <c r="BO8" s="8">
        <f>SUM('2026:2024'!BO8)</f>
        <v>238700</v>
      </c>
      <c r="BP8" s="8">
        <f>SUM('2026:2024'!BP8)</f>
        <v>285999.99999999994</v>
      </c>
      <c r="BQ8" s="8">
        <f>SUM('2026:2024'!BQ8)</f>
        <v>0</v>
      </c>
      <c r="BR8" s="8">
        <f>SUM('2026:2024'!BR8)</f>
        <v>0</v>
      </c>
      <c r="BS8" s="8">
        <f>SUM('2026:2024'!BS8)</f>
        <v>18700</v>
      </c>
      <c r="BT8" s="8">
        <f>SUM('2026:2024'!BT8)</f>
        <v>6599.9999999999991</v>
      </c>
      <c r="BU8" s="8" cm="1">
        <f t="array" ref="BU8">IF(BU$2="FY",SUMPRODUCT(Data[Nhập-SPC+SPP-NX]*(Data[Year]=BU$1)*(Data[Main SKU name_GOM]=$A8)*(Data[SKU name_NHẬP_GOM]=BU$3)),SUMPRODUCT(Data[Nhập-SPC+SPP-NX]*(Data[Year]=BU$1)*(Data[Month]=BU$2)*(Data[Main SKU name_GOM]=$A8)*(Data[SKU name_NHẬP_GOM]=BU$3)))</f>
        <v>0</v>
      </c>
      <c r="BV8" s="8">
        <f t="shared" si="5"/>
        <v>5828900</v>
      </c>
      <c r="BX8" s="8">
        <f>SUM('2026:2024'!BX8)</f>
        <v>16500.000000000004</v>
      </c>
      <c r="BY8" s="8">
        <f>SUM('2026:2024'!BY8)</f>
        <v>558800</v>
      </c>
      <c r="BZ8" s="8">
        <f>SUM('2026:2024'!BZ8)</f>
        <v>4212999.9999999991</v>
      </c>
      <c r="CA8" s="8">
        <f>SUM('2026:2024'!CA8)</f>
        <v>105600.00000000001</v>
      </c>
      <c r="CB8" s="8">
        <f>SUM('2026:2024'!CB8)</f>
        <v>390700</v>
      </c>
      <c r="CC8" s="8">
        <f>SUM('2026:2024'!CC8)</f>
        <v>2199.9999999999995</v>
      </c>
      <c r="CD8" s="8">
        <f>SUM('2026:2024'!CD8)</f>
        <v>0</v>
      </c>
      <c r="CE8" s="8">
        <f>SUM('2026:2024'!CE8)</f>
        <v>27500.000000000004</v>
      </c>
      <c r="CF8" s="8">
        <f>SUM('2026:2024'!CF8)</f>
        <v>7700.0000000000018</v>
      </c>
      <c r="CG8" s="8" cm="1">
        <f t="array" ref="CG8">IF(CG$2="FY",SUMPRODUCT(Data[Nhập-SPC+SPP-NX]*(Data[Year]=CG$1)*(Data[Main SKU name_GOM]=$A8)*(Data[SKU name_NHẬP_GOM]=CG$3)),SUMPRODUCT(Data[Nhập-SPC+SPP-NX]*(Data[Year]=CG$1)*(Data[Month]=CG$2)*(Data[Main SKU name_GOM]=$A8)*(Data[SKU name_NHẬP_GOM]=CG$3)))</f>
        <v>0</v>
      </c>
      <c r="CH8" s="8">
        <f t="shared" si="6"/>
        <v>5321999.9999999991</v>
      </c>
      <c r="CJ8" s="8">
        <f>SUM('2026:2024'!CJ8)</f>
        <v>1100</v>
      </c>
      <c r="CK8" s="8">
        <f>SUM('2026:2024'!CK8)</f>
        <v>78100.000000000015</v>
      </c>
      <c r="CL8" s="8">
        <f>SUM('2026:2024'!CL8)</f>
        <v>2101000</v>
      </c>
      <c r="CM8" s="8">
        <f>SUM('2026:2024'!CM8)</f>
        <v>3300</v>
      </c>
      <c r="CN8" s="8">
        <f>SUM('2026:2024'!CN8)</f>
        <v>47000</v>
      </c>
      <c r="CO8" s="8">
        <f>SUM('2026:2024'!CO8)</f>
        <v>0</v>
      </c>
      <c r="CP8" s="8">
        <f>SUM('2026:2024'!CP8)</f>
        <v>0</v>
      </c>
      <c r="CQ8" s="8">
        <f>SUM('2026:2024'!CQ8)</f>
        <v>113300.00000000001</v>
      </c>
      <c r="CR8" s="8">
        <f>SUM('2026:2024'!CR8)</f>
        <v>9900</v>
      </c>
      <c r="CS8" s="8" cm="1">
        <f t="array" ref="CS8">IF(CS$2="FY",SUMPRODUCT(Data[Nhập-SPC+SPP-NX]*(Data[Year]=CS$1)*(Data[Main SKU name_GOM]=$A8)*(Data[SKU name_NHẬP_GOM]=CS$3)),SUMPRODUCT(Data[Nhập-SPC+SPP-NX]*(Data[Year]=CS$1)*(Data[Month]=CS$2)*(Data[Main SKU name_GOM]=$A8)*(Data[SKU name_NHẬP_GOM]=CS$3)))</f>
        <v>0</v>
      </c>
      <c r="CT8" s="8">
        <f t="shared" si="7"/>
        <v>2353700</v>
      </c>
      <c r="CV8" s="8">
        <f>SUM('2026:2024'!CV8)</f>
        <v>2200</v>
      </c>
      <c r="CW8" s="8">
        <f>SUM('2026:2024'!CW8)</f>
        <v>214719</v>
      </c>
      <c r="CX8" s="8">
        <f>SUM('2026:2024'!CX8)</f>
        <v>2832059</v>
      </c>
      <c r="CY8" s="8">
        <f>SUM('2026:2024'!CY8)</f>
        <v>2200</v>
      </c>
      <c r="CZ8" s="8">
        <f>SUM('2026:2024'!CZ8)</f>
        <v>76198</v>
      </c>
      <c r="DA8" s="8">
        <f>SUM('2026:2024'!DA8)</f>
        <v>0</v>
      </c>
      <c r="DB8" s="8">
        <f>SUM('2026:2024'!DB8)</f>
        <v>0</v>
      </c>
      <c r="DC8" s="8">
        <f>SUM('2026:2024'!DC8)</f>
        <v>94600.000000000015</v>
      </c>
      <c r="DD8" s="8">
        <f>SUM('2026:2024'!DD8)</f>
        <v>15400</v>
      </c>
      <c r="DE8" s="8" cm="1">
        <f t="array" ref="DE8">IF(DE$2="FY",SUMPRODUCT(Data[Nhập-SPC+SPP-NX]*(Data[Year]=DE$1)*(Data[Main SKU name_GOM]=$A8)*(Data[SKU name_NHẬP_GOM]=DE$3)),SUMPRODUCT(Data[Nhập-SPC+SPP-NX]*(Data[Year]=DE$1)*(Data[Month]=DE$2)*(Data[Main SKU name_GOM]=$A8)*(Data[SKU name_NHẬP_GOM]=DE$3)))</f>
        <v>0</v>
      </c>
      <c r="DF8" s="8">
        <f t="shared" si="8"/>
        <v>3237376</v>
      </c>
      <c r="DH8" s="8">
        <f>SUM('2026:2024'!DH8)</f>
        <v>9900</v>
      </c>
      <c r="DI8" s="8">
        <f>SUM('2026:2024'!DI8)</f>
        <v>159500</v>
      </c>
      <c r="DJ8" s="8">
        <f>SUM('2026:2024'!DJ8)</f>
        <v>2840201</v>
      </c>
      <c r="DK8" s="8">
        <f>SUM('2026:2024'!DK8)</f>
        <v>4100</v>
      </c>
      <c r="DL8" s="8">
        <f>SUM('2026:2024'!DL8)</f>
        <v>96032.5</v>
      </c>
      <c r="DM8" s="8">
        <f>SUM('2026:2024'!DM8)</f>
        <v>0</v>
      </c>
      <c r="DN8" s="8">
        <f>SUM('2026:2024'!DN8)</f>
        <v>1100</v>
      </c>
      <c r="DO8" s="8">
        <f>SUM('2026:2024'!DO8)</f>
        <v>24200</v>
      </c>
      <c r="DP8" s="8">
        <f>SUM('2026:2024'!DP8)</f>
        <v>7700.0000000000009</v>
      </c>
      <c r="DQ8" s="8" cm="1">
        <f t="array" ref="DQ8">IF(DQ$2="FY",SUMPRODUCT(Data[Nhập-SPC+SPP-NX]*(Data[Year]=DQ$1)*(Data[Main SKU name_GOM]=$A8)*(Data[SKU name_NHẬP_GOM]=DQ$3)),SUMPRODUCT(Data[Nhập-SPC+SPP-NX]*(Data[Year]=DQ$1)*(Data[Month]=DQ$2)*(Data[Main SKU name_GOM]=$A8)*(Data[SKU name_NHẬP_GOM]=DQ$3)))</f>
        <v>0</v>
      </c>
      <c r="DR8" s="8">
        <f t="shared" si="9"/>
        <v>3142733.5</v>
      </c>
      <c r="DT8" s="8">
        <f>SUM('2026:2024'!DT8)</f>
        <v>12100</v>
      </c>
      <c r="DU8" s="8">
        <f>SUM('2026:2024'!DU8)</f>
        <v>141900</v>
      </c>
      <c r="DV8" s="8">
        <f>SUM('2026:2024'!DV8)</f>
        <v>3730909.9999999991</v>
      </c>
      <c r="DW8" s="8">
        <f>SUM('2026:2024'!DW8)</f>
        <v>52800</v>
      </c>
      <c r="DX8" s="8">
        <f>SUM('2026:2024'!DX8)</f>
        <v>604006</v>
      </c>
      <c r="DY8" s="8">
        <f>SUM('2026:2024'!DY8)</f>
        <v>0</v>
      </c>
      <c r="DZ8" s="8">
        <f>SUM('2026:2024'!DZ8)</f>
        <v>0</v>
      </c>
      <c r="EA8" s="8">
        <f>SUM('2026:2024'!EA8)</f>
        <v>27500.000000000004</v>
      </c>
      <c r="EB8" s="8">
        <f>SUM('2026:2024'!EB8)</f>
        <v>33000</v>
      </c>
      <c r="EC8" s="8" cm="1">
        <f t="array" ref="EC8">IF(EC$2="FY",SUMPRODUCT(Data[Nhập-SPC+SPP-NX]*(Data[Year]=EC$1)*(Data[Main SKU name_GOM]=$A8)*(Data[SKU name_NHẬP_GOM]=EC$3)),SUMPRODUCT(Data[Nhập-SPC+SPP-NX]*(Data[Year]=EC$1)*(Data[Month]=EC$2)*(Data[Main SKU name_GOM]=$A8)*(Data[SKU name_NHẬP_GOM]=EC$3)))</f>
        <v>0</v>
      </c>
      <c r="ED8" s="8">
        <f t="shared" si="10"/>
        <v>4602215.9999999991</v>
      </c>
      <c r="EF8" s="8">
        <f>SUM('2026:2024'!EF8)</f>
        <v>0</v>
      </c>
      <c r="EG8" s="8">
        <f>SUM('2026:2024'!EG8)</f>
        <v>247500</v>
      </c>
      <c r="EH8" s="8">
        <f>SUM('2026:2024'!EH8)</f>
        <v>1930500</v>
      </c>
      <c r="EI8" s="8">
        <f>SUM('2026:2024'!EI8)</f>
        <v>5500</v>
      </c>
      <c r="EJ8" s="8">
        <f>SUM('2026:2024'!EJ8)</f>
        <v>30835</v>
      </c>
      <c r="EK8" s="8">
        <f>SUM('2026:2024'!EK8)</f>
        <v>0</v>
      </c>
      <c r="EL8" s="8">
        <f>SUM('2026:2024'!EL8)</f>
        <v>0</v>
      </c>
      <c r="EM8" s="8">
        <f>SUM('2026:2024'!EM8)</f>
        <v>81400</v>
      </c>
      <c r="EN8" s="8">
        <f>SUM('2026:2024'!EN8)</f>
        <v>11000</v>
      </c>
      <c r="EO8" s="8" cm="1">
        <f t="array" ref="EO8">IF(EO$2="FY",SUMPRODUCT(Data[Nhập-SPC+SPP-NX]*(Data[Year]=EO$1)*(Data[Main SKU name_GOM]=$A8)*(Data[SKU name_NHẬP_GOM]=EO$3)),SUMPRODUCT(Data[Nhập-SPC+SPP-NX]*(Data[Year]=EO$1)*(Data[Month]=EO$2)*(Data[Main SKU name_GOM]=$A8)*(Data[SKU name_NHẬP_GOM]=EO$3)))</f>
        <v>0</v>
      </c>
      <c r="EP8" s="8">
        <f t="shared" si="11"/>
        <v>2306735</v>
      </c>
      <c r="ER8" s="8">
        <f>SUM('2026:2024'!ER8)</f>
        <v>12100</v>
      </c>
      <c r="ES8" s="8">
        <f>SUM('2026:2024'!ES8)</f>
        <v>155100</v>
      </c>
      <c r="ET8" s="8">
        <f>SUM('2026:2024'!ET8)</f>
        <v>3163600</v>
      </c>
      <c r="EU8" s="8">
        <f>SUM('2026:2024'!EU8)</f>
        <v>2200</v>
      </c>
      <c r="EV8" s="8">
        <f>SUM('2026:2024'!EV8)</f>
        <v>34100</v>
      </c>
      <c r="EW8" s="8">
        <f>SUM('2026:2024'!EW8)</f>
        <v>0</v>
      </c>
      <c r="EX8" s="8">
        <f>SUM('2026:2024'!EX8)</f>
        <v>0</v>
      </c>
      <c r="EY8" s="8">
        <f>SUM('2026:2024'!EY8)</f>
        <v>52800</v>
      </c>
      <c r="EZ8" s="8">
        <f>SUM('2026:2024'!EZ8)</f>
        <v>20900</v>
      </c>
      <c r="FA8" s="8" cm="1">
        <f t="array" ref="FA8">IF(FA$2="FY",SUMPRODUCT(Data[Nhập-SPC+SPP-NX]*(Data[Year]=FA$1)*(Data[Main SKU name_GOM]=$A8)*(Data[SKU name_NHẬP_GOM]=FA$3)),SUMPRODUCT(Data[Nhập-SPC+SPP-NX]*(Data[Year]=FA$1)*(Data[Month]=FA$2)*(Data[Main SKU name_GOM]=$A8)*(Data[SKU name_NHẬP_GOM]=FA$3)))</f>
        <v>0</v>
      </c>
      <c r="FB8" s="8">
        <f t="shared" si="12"/>
        <v>3440800</v>
      </c>
    </row>
    <row r="9" spans="1:158" ht="15" thickBot="1" x14ac:dyDescent="0.4">
      <c r="A9" s="5" t="s">
        <v>71</v>
      </c>
      <c r="B9" t="s">
        <v>71</v>
      </c>
      <c r="D9" s="8">
        <f>SUM('2026:2024'!D9)</f>
        <v>0</v>
      </c>
      <c r="E9" s="8">
        <f>SUM('2026:2024'!E9)</f>
        <v>0</v>
      </c>
      <c r="F9" s="8">
        <f>SUM('2026:2024'!F9)</f>
        <v>0</v>
      </c>
      <c r="G9" s="8">
        <f>SUM('2026:2024'!G9)</f>
        <v>2200</v>
      </c>
      <c r="H9" s="8">
        <f>SUM('2026:2024'!H9)</f>
        <v>3015100</v>
      </c>
      <c r="I9" s="8">
        <f>SUM('2026:2024'!I9)</f>
        <v>0</v>
      </c>
      <c r="J9" s="8">
        <f>SUM('2026:2024'!J9)</f>
        <v>0</v>
      </c>
      <c r="K9" s="8">
        <f>SUM('2026:2024'!K9)</f>
        <v>0</v>
      </c>
      <c r="L9" s="8">
        <f>SUM('2026:2024'!L9)</f>
        <v>74800</v>
      </c>
      <c r="M9" s="8" cm="1">
        <f t="array" ref="M9">IF(M$2="FY",SUMPRODUCT(Data[Nhập-SPC+SPP-NX]*(Data[Year]=M$1)*(Data[Main SKU name_GOM]=$A9)*(Data[SKU name_NHẬP_GOM]=M$3)),SUMPRODUCT(Data[Nhập-SPC+SPP-NX]*(Data[Year]=M$1)*(Data[Month]=M$2)*(Data[Main SKU name_GOM]=$A9)*(Data[SKU name_NHẬP_GOM]=M$3)))</f>
        <v>0</v>
      </c>
      <c r="N9" s="13">
        <f t="shared" si="0"/>
        <v>3092100</v>
      </c>
      <c r="P9" s="8">
        <f>SUM('2026:2024'!P9)</f>
        <v>0</v>
      </c>
      <c r="Q9" s="8">
        <f>SUM('2026:2024'!Q9)</f>
        <v>0</v>
      </c>
      <c r="R9" s="8">
        <f>SUM('2026:2024'!R9)</f>
        <v>0</v>
      </c>
      <c r="S9" s="8">
        <f>SUM('2026:2024'!S9)</f>
        <v>0</v>
      </c>
      <c r="T9" s="8">
        <f>SUM('2026:2024'!T9)</f>
        <v>376200</v>
      </c>
      <c r="U9" s="8">
        <f>SUM('2026:2024'!U9)</f>
        <v>0</v>
      </c>
      <c r="V9" s="8">
        <f>SUM('2026:2024'!V9)</f>
        <v>0</v>
      </c>
      <c r="W9" s="8">
        <f>SUM('2026:2024'!W9)</f>
        <v>0</v>
      </c>
      <c r="X9" s="8">
        <f>SUM('2026:2024'!X9)</f>
        <v>2200</v>
      </c>
      <c r="Y9" s="8" cm="1">
        <f t="array" ref="Y9">IF(Y$2="FY",SUMPRODUCT(Data[Nhập-SPC+SPP-NX]*(Data[Year]=Y$1)*(Data[Main SKU name_GOM]=$A9)*(Data[SKU name_NHẬP_GOM]=Y$3)),SUMPRODUCT(Data[Nhập-SPC+SPP-NX]*(Data[Year]=Y$1)*(Data[Month]=Y$2)*(Data[Main SKU name_GOM]=$A9)*(Data[SKU name_NHẬP_GOM]=Y$3)))</f>
        <v>0</v>
      </c>
      <c r="Z9" s="8">
        <f t="shared" si="1"/>
        <v>378400</v>
      </c>
      <c r="AB9" s="8">
        <f>SUM('2026:2024'!AB9)</f>
        <v>0</v>
      </c>
      <c r="AC9" s="8">
        <f>SUM('2026:2024'!AC9)</f>
        <v>0</v>
      </c>
      <c r="AD9" s="8">
        <f>SUM('2026:2024'!AD9)</f>
        <v>0</v>
      </c>
      <c r="AE9" s="8">
        <f>SUM('2026:2024'!AE9)</f>
        <v>0</v>
      </c>
      <c r="AF9" s="8">
        <f>SUM('2026:2024'!AF9)</f>
        <v>5500</v>
      </c>
      <c r="AG9" s="8">
        <f>SUM('2026:2024'!AG9)</f>
        <v>0</v>
      </c>
      <c r="AH9" s="8">
        <f>SUM('2026:2024'!AH9)</f>
        <v>0</v>
      </c>
      <c r="AI9" s="8">
        <f>SUM('2026:2024'!AI9)</f>
        <v>0</v>
      </c>
      <c r="AJ9" s="8">
        <f>SUM('2026:2024'!AJ9)</f>
        <v>2200</v>
      </c>
      <c r="AK9" s="8" cm="1">
        <f t="array" ref="AK9">IF(AK$2="FY",SUMPRODUCT(Data[Nhập-SPC+SPP-NX]*(Data[Year]=AK$1)*(Data[Main SKU name_GOM]=$A9)*(Data[SKU name_NHẬP_GOM]=AK$3)),SUMPRODUCT(Data[Nhập-SPC+SPP-NX]*(Data[Year]=AK$1)*(Data[Month]=AK$2)*(Data[Main SKU name_GOM]=$A9)*(Data[SKU name_NHẬP_GOM]=AK$3)))</f>
        <v>0</v>
      </c>
      <c r="AL9" s="8">
        <f t="shared" si="2"/>
        <v>7700</v>
      </c>
      <c r="AN9" s="8">
        <f>SUM('2026:2024'!AN9)</f>
        <v>0</v>
      </c>
      <c r="AO9" s="8">
        <f>SUM('2026:2024'!AO9)</f>
        <v>0</v>
      </c>
      <c r="AP9" s="8">
        <f>SUM('2026:2024'!AP9)</f>
        <v>0</v>
      </c>
      <c r="AQ9" s="8">
        <f>SUM('2026:2024'!AQ9)</f>
        <v>0</v>
      </c>
      <c r="AR9" s="8">
        <f>SUM('2026:2024'!AR9)</f>
        <v>628100</v>
      </c>
      <c r="AS9" s="8">
        <f>SUM('2026:2024'!AS9)</f>
        <v>0</v>
      </c>
      <c r="AT9" s="8">
        <f>SUM('2026:2024'!AT9)</f>
        <v>0</v>
      </c>
      <c r="AU9" s="8">
        <f>SUM('2026:2024'!AU9)</f>
        <v>0</v>
      </c>
      <c r="AV9" s="8">
        <f>SUM('2026:2024'!AV9)</f>
        <v>23100</v>
      </c>
      <c r="AW9" s="8" cm="1">
        <f t="array" ref="AW9">IF(AW$2="FY",SUMPRODUCT(Data[Nhập-SPC+SPP-NX]*(Data[Year]=AW$1)*(Data[Main SKU name_GOM]=$A9)*(Data[SKU name_NHẬP_GOM]=AW$3)),SUMPRODUCT(Data[Nhập-SPC+SPP-NX]*(Data[Year]=AW$1)*(Data[Month]=AW$2)*(Data[Main SKU name_GOM]=$A9)*(Data[SKU name_NHẬP_GOM]=AW$3)))</f>
        <v>0</v>
      </c>
      <c r="AX9" s="8">
        <f t="shared" si="3"/>
        <v>651200</v>
      </c>
      <c r="AZ9" s="8">
        <f>SUM('2026:2024'!AZ9)</f>
        <v>0</v>
      </c>
      <c r="BA9" s="8">
        <f>SUM('2026:2024'!BA9)</f>
        <v>0</v>
      </c>
      <c r="BB9" s="8">
        <f>SUM('2026:2024'!BB9)</f>
        <v>0</v>
      </c>
      <c r="BC9" s="8">
        <f>SUM('2026:2024'!BC9)</f>
        <v>0</v>
      </c>
      <c r="BD9" s="8">
        <f>SUM('2026:2024'!BD9)</f>
        <v>1118700</v>
      </c>
      <c r="BE9" s="8">
        <f>SUM('2026:2024'!BE9)</f>
        <v>0</v>
      </c>
      <c r="BF9" s="8">
        <f>SUM('2026:2024'!BF9)</f>
        <v>0</v>
      </c>
      <c r="BG9" s="8">
        <f>SUM('2026:2024'!BG9)</f>
        <v>0</v>
      </c>
      <c r="BH9" s="8">
        <f>SUM('2026:2024'!BH9)</f>
        <v>7700</v>
      </c>
      <c r="BI9" s="8" cm="1">
        <f t="array" ref="BI9">IF(BI$2="FY",SUMPRODUCT(Data[Nhập-SPC+SPP-NX]*(Data[Year]=BI$1)*(Data[Main SKU name_GOM]=$A9)*(Data[SKU name_NHẬP_GOM]=BI$3)),SUMPRODUCT(Data[Nhập-SPC+SPP-NX]*(Data[Year]=BI$1)*(Data[Month]=BI$2)*(Data[Main SKU name_GOM]=$A9)*(Data[SKU name_NHẬP_GOM]=BI$3)))</f>
        <v>0</v>
      </c>
      <c r="BJ9" s="8">
        <f t="shared" si="4"/>
        <v>1126400</v>
      </c>
      <c r="BL9" s="8">
        <f>SUM('2026:2024'!BL9)</f>
        <v>0</v>
      </c>
      <c r="BM9" s="8">
        <f>SUM('2026:2024'!BM9)</f>
        <v>0</v>
      </c>
      <c r="BN9" s="8">
        <f>SUM('2026:2024'!BN9)</f>
        <v>0</v>
      </c>
      <c r="BO9" s="8">
        <f>SUM('2026:2024'!BO9)</f>
        <v>0</v>
      </c>
      <c r="BP9" s="8">
        <f>SUM('2026:2024'!BP9)</f>
        <v>0</v>
      </c>
      <c r="BQ9" s="8">
        <f>SUM('2026:2024'!BQ9)</f>
        <v>0</v>
      </c>
      <c r="BR9" s="8">
        <f>SUM('2026:2024'!BR9)</f>
        <v>0</v>
      </c>
      <c r="BS9" s="8">
        <f>SUM('2026:2024'!BS9)</f>
        <v>0</v>
      </c>
      <c r="BT9" s="8">
        <f>SUM('2026:2024'!BT9)</f>
        <v>0</v>
      </c>
      <c r="BU9" s="8" cm="1">
        <f t="array" ref="BU9">IF(BU$2="FY",SUMPRODUCT(Data[Nhập-SPC+SPP-NX]*(Data[Year]=BU$1)*(Data[Main SKU name_GOM]=$A9)*(Data[SKU name_NHẬP_GOM]=BU$3)),SUMPRODUCT(Data[Nhập-SPC+SPP-NX]*(Data[Year]=BU$1)*(Data[Month]=BU$2)*(Data[Main SKU name_GOM]=$A9)*(Data[SKU name_NHẬP_GOM]=BU$3)))</f>
        <v>0</v>
      </c>
      <c r="BV9" s="8">
        <f t="shared" si="5"/>
        <v>0</v>
      </c>
      <c r="BX9" s="8">
        <f>SUM('2026:2024'!BX9)</f>
        <v>0</v>
      </c>
      <c r="BY9" s="8">
        <f>SUM('2026:2024'!BY9)</f>
        <v>0</v>
      </c>
      <c r="BZ9" s="8">
        <f>SUM('2026:2024'!BZ9)</f>
        <v>0</v>
      </c>
      <c r="CA9" s="8">
        <f>SUM('2026:2024'!CA9)</f>
        <v>0</v>
      </c>
      <c r="CB9" s="8">
        <f>SUM('2026:2024'!CB9)</f>
        <v>0</v>
      </c>
      <c r="CC9" s="8">
        <f>SUM('2026:2024'!CC9)</f>
        <v>0</v>
      </c>
      <c r="CD9" s="8">
        <f>SUM('2026:2024'!CD9)</f>
        <v>0</v>
      </c>
      <c r="CE9" s="8">
        <f>SUM('2026:2024'!CE9)</f>
        <v>0</v>
      </c>
      <c r="CF9" s="8">
        <f>SUM('2026:2024'!CF9)</f>
        <v>0</v>
      </c>
      <c r="CG9" s="8" cm="1">
        <f t="array" ref="CG9">IF(CG$2="FY",SUMPRODUCT(Data[Nhập-SPC+SPP-NX]*(Data[Year]=CG$1)*(Data[Main SKU name_GOM]=$A9)*(Data[SKU name_NHẬP_GOM]=CG$3)),SUMPRODUCT(Data[Nhập-SPC+SPP-NX]*(Data[Year]=CG$1)*(Data[Month]=CG$2)*(Data[Main SKU name_GOM]=$A9)*(Data[SKU name_NHẬP_GOM]=CG$3)))</f>
        <v>0</v>
      </c>
      <c r="CH9" s="8">
        <f t="shared" si="6"/>
        <v>0</v>
      </c>
      <c r="CJ9" s="8">
        <f>SUM('2026:2024'!CJ9)</f>
        <v>0</v>
      </c>
      <c r="CK9" s="8">
        <f>SUM('2026:2024'!CK9)</f>
        <v>0</v>
      </c>
      <c r="CL9" s="8">
        <f>SUM('2026:2024'!CL9)</f>
        <v>0</v>
      </c>
      <c r="CM9" s="8">
        <f>SUM('2026:2024'!CM9)</f>
        <v>0</v>
      </c>
      <c r="CN9" s="8">
        <f>SUM('2026:2024'!CN9)</f>
        <v>0</v>
      </c>
      <c r="CO9" s="8">
        <f>SUM('2026:2024'!CO9)</f>
        <v>0</v>
      </c>
      <c r="CP9" s="8">
        <f>SUM('2026:2024'!CP9)</f>
        <v>0</v>
      </c>
      <c r="CQ9" s="8">
        <f>SUM('2026:2024'!CQ9)</f>
        <v>0</v>
      </c>
      <c r="CR9" s="8">
        <f>SUM('2026:2024'!CR9)</f>
        <v>0</v>
      </c>
      <c r="CS9" s="8" cm="1">
        <f t="array" ref="CS9">IF(CS$2="FY",SUMPRODUCT(Data[Nhập-SPC+SPP-NX]*(Data[Year]=CS$1)*(Data[Main SKU name_GOM]=$A9)*(Data[SKU name_NHẬP_GOM]=CS$3)),SUMPRODUCT(Data[Nhập-SPC+SPP-NX]*(Data[Year]=CS$1)*(Data[Month]=CS$2)*(Data[Main SKU name_GOM]=$A9)*(Data[SKU name_NHẬP_GOM]=CS$3)))</f>
        <v>0</v>
      </c>
      <c r="CT9" s="8">
        <f t="shared" si="7"/>
        <v>0</v>
      </c>
      <c r="CV9" s="8">
        <f>SUM('2026:2024'!CV9)</f>
        <v>0</v>
      </c>
      <c r="CW9" s="8">
        <f>SUM('2026:2024'!CW9)</f>
        <v>0</v>
      </c>
      <c r="CX9" s="8">
        <f>SUM('2026:2024'!CX9)</f>
        <v>0</v>
      </c>
      <c r="CY9" s="8">
        <f>SUM('2026:2024'!CY9)</f>
        <v>0</v>
      </c>
      <c r="CZ9" s="8">
        <f>SUM('2026:2024'!CZ9)</f>
        <v>0</v>
      </c>
      <c r="DA9" s="8">
        <f>SUM('2026:2024'!DA9)</f>
        <v>0</v>
      </c>
      <c r="DB9" s="8">
        <f>SUM('2026:2024'!DB9)</f>
        <v>0</v>
      </c>
      <c r="DC9" s="8">
        <f>SUM('2026:2024'!DC9)</f>
        <v>0</v>
      </c>
      <c r="DD9" s="8">
        <f>SUM('2026:2024'!DD9)</f>
        <v>0</v>
      </c>
      <c r="DE9" s="8" cm="1">
        <f t="array" ref="DE9">IF(DE$2="FY",SUMPRODUCT(Data[Nhập-SPC+SPP-NX]*(Data[Year]=DE$1)*(Data[Main SKU name_GOM]=$A9)*(Data[SKU name_NHẬP_GOM]=DE$3)),SUMPRODUCT(Data[Nhập-SPC+SPP-NX]*(Data[Year]=DE$1)*(Data[Month]=DE$2)*(Data[Main SKU name_GOM]=$A9)*(Data[SKU name_NHẬP_GOM]=DE$3)))</f>
        <v>0</v>
      </c>
      <c r="DF9" s="8">
        <f t="shared" si="8"/>
        <v>0</v>
      </c>
      <c r="DH9" s="8">
        <f>SUM('2026:2024'!DH9)</f>
        <v>0</v>
      </c>
      <c r="DI9" s="8">
        <f>SUM('2026:2024'!DI9)</f>
        <v>0</v>
      </c>
      <c r="DJ9" s="8">
        <f>SUM('2026:2024'!DJ9)</f>
        <v>0</v>
      </c>
      <c r="DK9" s="8">
        <f>SUM('2026:2024'!DK9)</f>
        <v>0</v>
      </c>
      <c r="DL9" s="8">
        <f>SUM('2026:2024'!DL9)</f>
        <v>157300</v>
      </c>
      <c r="DM9" s="8">
        <f>SUM('2026:2024'!DM9)</f>
        <v>0</v>
      </c>
      <c r="DN9" s="8">
        <f>SUM('2026:2024'!DN9)</f>
        <v>0</v>
      </c>
      <c r="DO9" s="8">
        <f>SUM('2026:2024'!DO9)</f>
        <v>0</v>
      </c>
      <c r="DP9" s="8">
        <f>SUM('2026:2024'!DP9)</f>
        <v>0</v>
      </c>
      <c r="DQ9" s="8" cm="1">
        <f t="array" ref="DQ9">IF(DQ$2="FY",SUMPRODUCT(Data[Nhập-SPC+SPP-NX]*(Data[Year]=DQ$1)*(Data[Main SKU name_GOM]=$A9)*(Data[SKU name_NHẬP_GOM]=DQ$3)),SUMPRODUCT(Data[Nhập-SPC+SPP-NX]*(Data[Year]=DQ$1)*(Data[Month]=DQ$2)*(Data[Main SKU name_GOM]=$A9)*(Data[SKU name_NHẬP_GOM]=DQ$3)))</f>
        <v>0</v>
      </c>
      <c r="DR9" s="8">
        <f t="shared" si="9"/>
        <v>157300</v>
      </c>
      <c r="DT9" s="8">
        <f>SUM('2026:2024'!DT9)</f>
        <v>0</v>
      </c>
      <c r="DU9" s="8">
        <f>SUM('2026:2024'!DU9)</f>
        <v>0</v>
      </c>
      <c r="DV9" s="8">
        <f>SUM('2026:2024'!DV9)</f>
        <v>0</v>
      </c>
      <c r="DW9" s="8">
        <f>SUM('2026:2024'!DW9)</f>
        <v>0</v>
      </c>
      <c r="DX9" s="8">
        <f>SUM('2026:2024'!DX9)</f>
        <v>108900</v>
      </c>
      <c r="DY9" s="8">
        <f>SUM('2026:2024'!DY9)</f>
        <v>0</v>
      </c>
      <c r="DZ9" s="8">
        <f>SUM('2026:2024'!DZ9)</f>
        <v>0</v>
      </c>
      <c r="EA9" s="8">
        <f>SUM('2026:2024'!EA9)</f>
        <v>0</v>
      </c>
      <c r="EB9" s="8">
        <f>SUM('2026:2024'!EB9)</f>
        <v>33000</v>
      </c>
      <c r="EC9" s="8" cm="1">
        <f t="array" ref="EC9">IF(EC$2="FY",SUMPRODUCT(Data[Nhập-SPC+SPP-NX]*(Data[Year]=EC$1)*(Data[Main SKU name_GOM]=$A9)*(Data[SKU name_NHẬP_GOM]=EC$3)),SUMPRODUCT(Data[Nhập-SPC+SPP-NX]*(Data[Year]=EC$1)*(Data[Month]=EC$2)*(Data[Main SKU name_GOM]=$A9)*(Data[SKU name_NHẬP_GOM]=EC$3)))</f>
        <v>0</v>
      </c>
      <c r="ED9" s="8">
        <f t="shared" si="10"/>
        <v>141900</v>
      </c>
      <c r="EF9" s="8">
        <f>SUM('2026:2024'!EF9)</f>
        <v>0</v>
      </c>
      <c r="EG9" s="8">
        <f>SUM('2026:2024'!EG9)</f>
        <v>0</v>
      </c>
      <c r="EH9" s="8">
        <f>SUM('2026:2024'!EH9)</f>
        <v>0</v>
      </c>
      <c r="EI9" s="8">
        <f>SUM('2026:2024'!EI9)</f>
        <v>1100</v>
      </c>
      <c r="EJ9" s="8">
        <f>SUM('2026:2024'!EJ9)</f>
        <v>93500</v>
      </c>
      <c r="EK9" s="8">
        <f>SUM('2026:2024'!EK9)</f>
        <v>0</v>
      </c>
      <c r="EL9" s="8">
        <f>SUM('2026:2024'!EL9)</f>
        <v>0</v>
      </c>
      <c r="EM9" s="8">
        <f>SUM('2026:2024'!EM9)</f>
        <v>0</v>
      </c>
      <c r="EN9" s="8">
        <f>SUM('2026:2024'!EN9)</f>
        <v>0</v>
      </c>
      <c r="EO9" s="8" cm="1">
        <f t="array" ref="EO9">IF(EO$2="FY",SUMPRODUCT(Data[Nhập-SPC+SPP-NX]*(Data[Year]=EO$1)*(Data[Main SKU name_GOM]=$A9)*(Data[SKU name_NHẬP_GOM]=EO$3)),SUMPRODUCT(Data[Nhập-SPC+SPP-NX]*(Data[Year]=EO$1)*(Data[Month]=EO$2)*(Data[Main SKU name_GOM]=$A9)*(Data[SKU name_NHẬP_GOM]=EO$3)))</f>
        <v>0</v>
      </c>
      <c r="EP9" s="8">
        <f t="shared" si="11"/>
        <v>94600</v>
      </c>
      <c r="ER9" s="8">
        <f>SUM('2026:2024'!ER9)</f>
        <v>0</v>
      </c>
      <c r="ES9" s="8">
        <f>SUM('2026:2024'!ES9)</f>
        <v>0</v>
      </c>
      <c r="ET9" s="8">
        <f>SUM('2026:2024'!ET9)</f>
        <v>0</v>
      </c>
      <c r="EU9" s="8">
        <f>SUM('2026:2024'!EU9)</f>
        <v>1100</v>
      </c>
      <c r="EV9" s="8">
        <f>SUM('2026:2024'!EV9)</f>
        <v>526900</v>
      </c>
      <c r="EW9" s="8">
        <f>SUM('2026:2024'!EW9)</f>
        <v>0</v>
      </c>
      <c r="EX9" s="8">
        <f>SUM('2026:2024'!EX9)</f>
        <v>0</v>
      </c>
      <c r="EY9" s="8">
        <f>SUM('2026:2024'!EY9)</f>
        <v>0</v>
      </c>
      <c r="EZ9" s="8">
        <f>SUM('2026:2024'!EZ9)</f>
        <v>6600</v>
      </c>
      <c r="FA9" s="8" cm="1">
        <f t="array" ref="FA9">IF(FA$2="FY",SUMPRODUCT(Data[Nhập-SPC+SPP-NX]*(Data[Year]=FA$1)*(Data[Main SKU name_GOM]=$A9)*(Data[SKU name_NHẬP_GOM]=FA$3)),SUMPRODUCT(Data[Nhập-SPC+SPP-NX]*(Data[Year]=FA$1)*(Data[Month]=FA$2)*(Data[Main SKU name_GOM]=$A9)*(Data[SKU name_NHẬP_GOM]=FA$3)))</f>
        <v>0</v>
      </c>
      <c r="FB9" s="8">
        <f t="shared" si="12"/>
        <v>534600</v>
      </c>
    </row>
    <row r="10" spans="1:158" s="1" customFormat="1" ht="15" thickBot="1" x14ac:dyDescent="0.4">
      <c r="A10" s="6"/>
      <c r="B10" s="7" t="s">
        <v>78</v>
      </c>
      <c r="D10" s="9">
        <f>SUM(D6:D9)</f>
        <v>13692571</v>
      </c>
      <c r="E10" s="9">
        <f t="shared" ref="E10:N10" si="13">SUM(E6:E9)</f>
        <v>17388097</v>
      </c>
      <c r="F10" s="9">
        <f t="shared" si="13"/>
        <v>48923400</v>
      </c>
      <c r="G10" s="9">
        <f t="shared" si="13"/>
        <v>915344</v>
      </c>
      <c r="H10" s="9">
        <f t="shared" si="13"/>
        <v>5758074.5</v>
      </c>
      <c r="I10" s="9">
        <f t="shared" si="13"/>
        <v>108900</v>
      </c>
      <c r="J10" s="9">
        <f t="shared" si="13"/>
        <v>176000</v>
      </c>
      <c r="K10" s="9">
        <f t="shared" si="13"/>
        <v>599500</v>
      </c>
      <c r="L10" s="9">
        <f t="shared" si="13"/>
        <v>331622.25</v>
      </c>
      <c r="M10" s="9">
        <f t="shared" si="13"/>
        <v>0</v>
      </c>
      <c r="N10" s="9">
        <f t="shared" si="13"/>
        <v>87893508.75</v>
      </c>
      <c r="P10" s="9">
        <f>SUM(P6:P9)</f>
        <v>905398</v>
      </c>
      <c r="Q10" s="9">
        <f t="shared" ref="Q10:Z10" si="14">SUM(Q6:Q9)</f>
        <v>1010900</v>
      </c>
      <c r="R10" s="9">
        <f t="shared" si="14"/>
        <v>6365018.9999999991</v>
      </c>
      <c r="S10" s="9">
        <f t="shared" si="14"/>
        <v>169844</v>
      </c>
      <c r="T10" s="9">
        <f t="shared" si="14"/>
        <v>470592</v>
      </c>
      <c r="U10" s="9">
        <f t="shared" si="14"/>
        <v>1100</v>
      </c>
      <c r="V10" s="9">
        <f t="shared" si="14"/>
        <v>8800</v>
      </c>
      <c r="W10" s="9">
        <f t="shared" si="14"/>
        <v>18700</v>
      </c>
      <c r="X10" s="9">
        <f t="shared" si="14"/>
        <v>21972.25</v>
      </c>
      <c r="Y10" s="9">
        <f t="shared" si="14"/>
        <v>0</v>
      </c>
      <c r="Z10" s="9">
        <f t="shared" si="14"/>
        <v>8972325.25</v>
      </c>
      <c r="AB10" s="9">
        <f>SUM(AB6:AB9)</f>
        <v>1068233</v>
      </c>
      <c r="AC10" s="9">
        <f t="shared" ref="AC10:AL10" si="15">SUM(AC6:AC9)</f>
        <v>1068540</v>
      </c>
      <c r="AD10" s="9">
        <f t="shared" si="15"/>
        <v>3763282</v>
      </c>
      <c r="AE10" s="9">
        <f t="shared" si="15"/>
        <v>157300</v>
      </c>
      <c r="AF10" s="9">
        <f t="shared" si="15"/>
        <v>104431</v>
      </c>
      <c r="AG10" s="9">
        <f t="shared" si="15"/>
        <v>4400</v>
      </c>
      <c r="AH10" s="9">
        <f t="shared" si="15"/>
        <v>29700</v>
      </c>
      <c r="AI10" s="9">
        <f t="shared" si="15"/>
        <v>51700</v>
      </c>
      <c r="AJ10" s="9">
        <f t="shared" si="15"/>
        <v>20900</v>
      </c>
      <c r="AK10" s="9">
        <f t="shared" si="15"/>
        <v>0</v>
      </c>
      <c r="AL10" s="9">
        <f t="shared" si="15"/>
        <v>6268486</v>
      </c>
      <c r="AN10" s="9">
        <f>SUM(AN6:AN9)</f>
        <v>655600</v>
      </c>
      <c r="AO10" s="9">
        <f t="shared" ref="AO10:AX10" si="16">SUM(AO6:AO9)</f>
        <v>2413400</v>
      </c>
      <c r="AP10" s="9">
        <f t="shared" si="16"/>
        <v>7058628.9999999991</v>
      </c>
      <c r="AQ10" s="9">
        <f t="shared" si="16"/>
        <v>118800</v>
      </c>
      <c r="AR10" s="9">
        <f t="shared" si="16"/>
        <v>724815</v>
      </c>
      <c r="AS10" s="9">
        <f t="shared" si="16"/>
        <v>0</v>
      </c>
      <c r="AT10" s="9">
        <f t="shared" si="16"/>
        <v>23100</v>
      </c>
      <c r="AU10" s="9">
        <f t="shared" si="16"/>
        <v>16500</v>
      </c>
      <c r="AV10" s="9">
        <f t="shared" si="16"/>
        <v>30800</v>
      </c>
      <c r="AW10" s="9">
        <f t="shared" si="16"/>
        <v>0</v>
      </c>
      <c r="AX10" s="9">
        <f t="shared" si="16"/>
        <v>11041644</v>
      </c>
      <c r="AZ10" s="9">
        <f>SUM(AZ6:AZ9)</f>
        <v>983400.00000000012</v>
      </c>
      <c r="BA10" s="9">
        <f t="shared" ref="BA10:BJ10" si="17">SUM(BA6:BA9)</f>
        <v>1922037</v>
      </c>
      <c r="BB10" s="9">
        <f t="shared" si="17"/>
        <v>5742000.0000000009</v>
      </c>
      <c r="BC10" s="9">
        <f t="shared" si="17"/>
        <v>47300</v>
      </c>
      <c r="BD10" s="9">
        <f t="shared" si="17"/>
        <v>1215045</v>
      </c>
      <c r="BE10" s="9">
        <f t="shared" si="17"/>
        <v>2200</v>
      </c>
      <c r="BF10" s="9">
        <f t="shared" si="17"/>
        <v>35200.000000000015</v>
      </c>
      <c r="BG10" s="9">
        <f t="shared" si="17"/>
        <v>25300</v>
      </c>
      <c r="BH10" s="9">
        <f t="shared" si="17"/>
        <v>33050</v>
      </c>
      <c r="BI10" s="9">
        <f t="shared" si="17"/>
        <v>0</v>
      </c>
      <c r="BJ10" s="9">
        <f t="shared" si="17"/>
        <v>10005532</v>
      </c>
      <c r="BL10" s="9">
        <f>SUM(BL6:BL9)</f>
        <v>529100</v>
      </c>
      <c r="BM10" s="9">
        <f t="shared" ref="BM10:BV10" si="18">SUM(BM6:BM9)</f>
        <v>2038300</v>
      </c>
      <c r="BN10" s="9">
        <f t="shared" si="18"/>
        <v>4715700</v>
      </c>
      <c r="BO10" s="9">
        <f t="shared" si="18"/>
        <v>243100</v>
      </c>
      <c r="BP10" s="9">
        <f t="shared" si="18"/>
        <v>322299.99999999994</v>
      </c>
      <c r="BQ10" s="9">
        <f t="shared" si="18"/>
        <v>1100</v>
      </c>
      <c r="BR10" s="9">
        <f t="shared" si="18"/>
        <v>11000</v>
      </c>
      <c r="BS10" s="9">
        <f t="shared" si="18"/>
        <v>35200</v>
      </c>
      <c r="BT10" s="9">
        <f t="shared" si="18"/>
        <v>7699.9999999999991</v>
      </c>
      <c r="BU10" s="9">
        <f t="shared" si="18"/>
        <v>0</v>
      </c>
      <c r="BV10" s="9">
        <f t="shared" si="18"/>
        <v>7903500</v>
      </c>
      <c r="BX10" s="9">
        <f>SUM(BX6:BX9)</f>
        <v>723800</v>
      </c>
      <c r="BY10" s="9">
        <f t="shared" ref="BY10:CH10" si="19">SUM(BY6:BY9)</f>
        <v>2494800</v>
      </c>
      <c r="BZ10" s="9">
        <f t="shared" si="19"/>
        <v>4240499.9999999991</v>
      </c>
      <c r="CA10" s="9">
        <f t="shared" si="19"/>
        <v>105600.00000000001</v>
      </c>
      <c r="CB10" s="9">
        <f t="shared" si="19"/>
        <v>402800</v>
      </c>
      <c r="CC10" s="9">
        <f t="shared" si="19"/>
        <v>8800</v>
      </c>
      <c r="CD10" s="9">
        <f t="shared" si="19"/>
        <v>16500</v>
      </c>
      <c r="CE10" s="9">
        <f t="shared" si="19"/>
        <v>31900.000000000004</v>
      </c>
      <c r="CF10" s="9">
        <f t="shared" si="19"/>
        <v>18700</v>
      </c>
      <c r="CG10" s="9">
        <f t="shared" si="19"/>
        <v>0</v>
      </c>
      <c r="CH10" s="9">
        <f t="shared" si="19"/>
        <v>8043399.9999999991</v>
      </c>
      <c r="CJ10" s="9">
        <f>SUM(CJ6:CJ9)</f>
        <v>771100</v>
      </c>
      <c r="CK10" s="9">
        <f t="shared" ref="CK10:CT10" si="20">SUM(CK6:CK9)</f>
        <v>1454200</v>
      </c>
      <c r="CL10" s="9">
        <f t="shared" si="20"/>
        <v>2176900</v>
      </c>
      <c r="CM10" s="9">
        <f t="shared" si="20"/>
        <v>3300</v>
      </c>
      <c r="CN10" s="9">
        <f t="shared" si="20"/>
        <v>97600</v>
      </c>
      <c r="CO10" s="9">
        <f t="shared" si="20"/>
        <v>11000</v>
      </c>
      <c r="CP10" s="9">
        <f t="shared" si="20"/>
        <v>12100</v>
      </c>
      <c r="CQ10" s="9">
        <f t="shared" si="20"/>
        <v>113300.00000000001</v>
      </c>
      <c r="CR10" s="9">
        <f t="shared" si="20"/>
        <v>16500</v>
      </c>
      <c r="CS10" s="9">
        <f t="shared" si="20"/>
        <v>0</v>
      </c>
      <c r="CT10" s="9">
        <f t="shared" si="20"/>
        <v>4656000</v>
      </c>
      <c r="CV10" s="9">
        <f>SUM(CV6:CV9)</f>
        <v>1213300</v>
      </c>
      <c r="CW10" s="9">
        <f t="shared" ref="CW10:DF10" si="21">SUM(CW6:CW9)</f>
        <v>1365564</v>
      </c>
      <c r="CX10" s="9">
        <f t="shared" si="21"/>
        <v>2902459</v>
      </c>
      <c r="CY10" s="9">
        <f t="shared" si="21"/>
        <v>2200</v>
      </c>
      <c r="CZ10" s="9">
        <f t="shared" si="21"/>
        <v>149897</v>
      </c>
      <c r="DA10" s="9">
        <f t="shared" si="21"/>
        <v>0</v>
      </c>
      <c r="DB10" s="9">
        <f t="shared" si="21"/>
        <v>15399.999999999998</v>
      </c>
      <c r="DC10" s="9">
        <f t="shared" si="21"/>
        <v>104500.00000000001</v>
      </c>
      <c r="DD10" s="9">
        <f t="shared" si="21"/>
        <v>28000</v>
      </c>
      <c r="DE10" s="9">
        <f t="shared" si="21"/>
        <v>0</v>
      </c>
      <c r="DF10" s="9">
        <f t="shared" si="21"/>
        <v>5781320</v>
      </c>
      <c r="DH10" s="9">
        <f>SUM(DH6:DH9)</f>
        <v>1578500.0000000002</v>
      </c>
      <c r="DI10" s="9">
        <f t="shared" ref="DI10:DR10" si="22">SUM(DI6:DI9)</f>
        <v>1100355</v>
      </c>
      <c r="DJ10" s="9">
        <f t="shared" si="22"/>
        <v>2884201</v>
      </c>
      <c r="DK10" s="9">
        <f t="shared" si="22"/>
        <v>4100</v>
      </c>
      <c r="DL10" s="9">
        <f t="shared" si="22"/>
        <v>426237</v>
      </c>
      <c r="DM10" s="9">
        <f t="shared" si="22"/>
        <v>0</v>
      </c>
      <c r="DN10" s="9">
        <f t="shared" si="22"/>
        <v>9900</v>
      </c>
      <c r="DO10" s="9">
        <f t="shared" si="22"/>
        <v>24200</v>
      </c>
      <c r="DP10" s="9">
        <f t="shared" si="22"/>
        <v>8800</v>
      </c>
      <c r="DQ10" s="9">
        <f t="shared" si="22"/>
        <v>0</v>
      </c>
      <c r="DR10" s="9">
        <f t="shared" si="22"/>
        <v>6036293</v>
      </c>
      <c r="DT10" s="9">
        <f>SUM(DT6:DT9)</f>
        <v>1460640</v>
      </c>
      <c r="DU10" s="9">
        <f t="shared" ref="DU10:ED10" si="23">SUM(DU6:DU9)</f>
        <v>711700</v>
      </c>
      <c r="DV10" s="9">
        <f t="shared" si="23"/>
        <v>3847509.9999999991</v>
      </c>
      <c r="DW10" s="9">
        <f t="shared" si="23"/>
        <v>53900</v>
      </c>
      <c r="DX10" s="9">
        <f t="shared" si="23"/>
        <v>915922.5</v>
      </c>
      <c r="DY10" s="9">
        <f t="shared" si="23"/>
        <v>59400</v>
      </c>
      <c r="DZ10" s="9">
        <f t="shared" si="23"/>
        <v>12100</v>
      </c>
      <c r="EA10" s="9">
        <f t="shared" si="23"/>
        <v>44000</v>
      </c>
      <c r="EB10" s="9">
        <f t="shared" si="23"/>
        <v>86900</v>
      </c>
      <c r="EC10" s="9">
        <f t="shared" si="23"/>
        <v>0</v>
      </c>
      <c r="ED10" s="9">
        <f t="shared" si="23"/>
        <v>7192072.4999999991</v>
      </c>
      <c r="EF10" s="9">
        <f>SUM(EF6:EF9)</f>
        <v>1923600</v>
      </c>
      <c r="EG10" s="9">
        <f t="shared" ref="EG10:EP10" si="24">SUM(EG6:EG9)</f>
        <v>1484901.0000000002</v>
      </c>
      <c r="EH10" s="9">
        <f t="shared" si="24"/>
        <v>2025100</v>
      </c>
      <c r="EI10" s="9">
        <f t="shared" si="24"/>
        <v>6600</v>
      </c>
      <c r="EJ10" s="9">
        <f t="shared" si="24"/>
        <v>313535</v>
      </c>
      <c r="EK10" s="9">
        <f t="shared" si="24"/>
        <v>2200</v>
      </c>
      <c r="EL10" s="9">
        <f t="shared" si="24"/>
        <v>0</v>
      </c>
      <c r="EM10" s="9">
        <f t="shared" si="24"/>
        <v>81400</v>
      </c>
      <c r="EN10" s="9">
        <f t="shared" si="24"/>
        <v>18700</v>
      </c>
      <c r="EO10" s="9">
        <f t="shared" si="24"/>
        <v>0</v>
      </c>
      <c r="EP10" s="9">
        <f t="shared" si="24"/>
        <v>5856036</v>
      </c>
      <c r="ER10" s="9">
        <f>SUM(ER6:ER9)</f>
        <v>1879900</v>
      </c>
      <c r="ES10" s="9">
        <f t="shared" ref="ES10:FB10" si="25">SUM(ES6:ES9)</f>
        <v>323400</v>
      </c>
      <c r="ET10" s="9">
        <f t="shared" si="25"/>
        <v>3202100</v>
      </c>
      <c r="EU10" s="9">
        <f t="shared" si="25"/>
        <v>3300</v>
      </c>
      <c r="EV10" s="9">
        <f t="shared" si="25"/>
        <v>614900</v>
      </c>
      <c r="EW10" s="9">
        <f t="shared" si="25"/>
        <v>18700</v>
      </c>
      <c r="EX10" s="9">
        <f t="shared" si="25"/>
        <v>2199.9999999999995</v>
      </c>
      <c r="EY10" s="9">
        <f t="shared" si="25"/>
        <v>52800</v>
      </c>
      <c r="EZ10" s="9">
        <f t="shared" si="25"/>
        <v>39600</v>
      </c>
      <c r="FA10" s="9">
        <f t="shared" si="25"/>
        <v>0</v>
      </c>
      <c r="FB10" s="9">
        <f t="shared" si="25"/>
        <v>6136900</v>
      </c>
    </row>
    <row r="13" spans="1:158" s="14" customFormat="1" ht="15" thickBot="1" x14ac:dyDescent="0.4">
      <c r="B13" s="15" t="s">
        <v>94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</row>
    <row r="14" spans="1:158" s="14" customFormat="1" x14ac:dyDescent="0.35">
      <c r="B14" s="14" t="s">
        <v>68</v>
      </c>
      <c r="D14" s="19">
        <f>IFERROR(D6/N6,0)</f>
        <v>0.87832135281708235</v>
      </c>
      <c r="E14" s="17">
        <f>IFERROR(E6/N6,0)</f>
        <v>3.9726385670849379E-2</v>
      </c>
      <c r="F14" s="17">
        <f>IFERROR(F6/N6,0)</f>
        <v>1.310569118002146E-2</v>
      </c>
      <c r="G14" s="17">
        <f>IFERROR(G6/N6,0)</f>
        <v>1.1587411133691568E-3</v>
      </c>
      <c r="H14" s="17">
        <f>IFERROR(H6/N6,0)</f>
        <v>5.2011905406564238E-2</v>
      </c>
      <c r="I14" s="17">
        <f>IFERROR(I6/N6,0)</f>
        <v>6.8076040410437952E-3</v>
      </c>
      <c r="J14" s="17">
        <f>IFERROR(J6/N6,0)</f>
        <v>1.5208477112970181E-3</v>
      </c>
      <c r="K14" s="17">
        <f>IFERROR(K6/N6,0)</f>
        <v>2.6071675050806024E-3</v>
      </c>
      <c r="L14" s="17">
        <f>IFERROR(L6/N6,0)</f>
        <v>4.7403045546920049E-3</v>
      </c>
      <c r="M14" s="17">
        <f>IFERROR(M6/N6,0)</f>
        <v>0</v>
      </c>
      <c r="N14" s="29">
        <f>IFERROR(N6/N6,0)</f>
        <v>1</v>
      </c>
      <c r="P14" s="19">
        <f>IFERROR(P6/Z6,0)</f>
        <v>0.92504485780308843</v>
      </c>
      <c r="Q14" s="17">
        <f>IFERROR(Q6/Z6,0)</f>
        <v>1.8180710060027333E-2</v>
      </c>
      <c r="R14" s="17">
        <f>IFERROR(R6/Z6,0)</f>
        <v>2.2323019568022198E-3</v>
      </c>
      <c r="S14" s="17">
        <f>IFERROR(S6/Z6,0)</f>
        <v>5.6814718937585416E-3</v>
      </c>
      <c r="T14" s="17">
        <f>IFERROR(T6/Z6,0)</f>
        <v>4.5451775150068333E-2</v>
      </c>
      <c r="U14" s="17">
        <f>IFERROR(U6/Z6,0)</f>
        <v>1.1362943787517083E-3</v>
      </c>
      <c r="V14" s="17">
        <f>IFERROR(V6/Z6,0)</f>
        <v>2.2725887575034166E-3</v>
      </c>
      <c r="W14" s="17">
        <f>IFERROR(W6/Z6,0)</f>
        <v>0</v>
      </c>
      <c r="X14" s="17">
        <f>IFERROR(X6/Z6,0)</f>
        <v>0</v>
      </c>
      <c r="Y14" s="17">
        <f>IFERROR(Y6/Z6,0)</f>
        <v>0</v>
      </c>
      <c r="Z14" s="18">
        <f>IFERROR(Z6/Z6,0)</f>
        <v>1</v>
      </c>
      <c r="AB14" s="19">
        <f>IFERROR(AB6/AL6,0)</f>
        <v>0.88103032199419928</v>
      </c>
      <c r="AC14" s="17">
        <f>IFERROR(AC6/AL6,0)</f>
        <v>5.3581763376658334E-2</v>
      </c>
      <c r="AD14" s="17">
        <f>IFERROR(AD6/AL6,0)</f>
        <v>1.8163309619206214E-3</v>
      </c>
      <c r="AE14" s="17">
        <f>IFERROR(AE6/AL6,0)</f>
        <v>5.4489928857618638E-3</v>
      </c>
      <c r="AF14" s="17">
        <f>IFERROR(AF6/AL6,0)</f>
        <v>4.7224605009936159E-2</v>
      </c>
      <c r="AG14" s="17">
        <f>IFERROR(AG6/AL6,0)</f>
        <v>3.6326619238412428E-3</v>
      </c>
      <c r="AH14" s="17">
        <f>IFERROR(AH6/AL6,0)</f>
        <v>3.6326619238412428E-3</v>
      </c>
      <c r="AI14" s="17">
        <f>IFERROR(AI6/AL6,0)</f>
        <v>0</v>
      </c>
      <c r="AJ14" s="17">
        <f>IFERROR(AJ6/AL6,0)</f>
        <v>3.6326619238412428E-3</v>
      </c>
      <c r="AK14" s="17">
        <f>IFERROR(AK6/AL6,0)</f>
        <v>0</v>
      </c>
      <c r="AL14" s="18">
        <f>IFERROR(AL6/AL6,0)</f>
        <v>1</v>
      </c>
      <c r="AN14" s="19">
        <f t="shared" ref="AN14:AN17" si="26">IFERROR(AN6/AX6,0)</f>
        <v>0.9559543230016313</v>
      </c>
      <c r="AO14" s="17">
        <f t="shared" ref="AO14:AO17" si="27">IFERROR(AO6/AX6,0)</f>
        <v>1.6313213703099509E-2</v>
      </c>
      <c r="AP14" s="17">
        <f t="shared" ref="AP14:AP17" si="28">IFERROR(AP6/AX6,0)</f>
        <v>1.6313213703099511E-3</v>
      </c>
      <c r="AQ14" s="17">
        <f t="shared" ref="AQ14:AQ17" si="29">IFERROR(AQ6/AX6,0)</f>
        <v>0</v>
      </c>
      <c r="AR14" s="17">
        <f t="shared" ref="AR14:AR17" si="30">IFERROR(AR6/AX6,0)</f>
        <v>1.6313213703099509E-2</v>
      </c>
      <c r="AS14" s="17">
        <f t="shared" ref="AS14:AS17" si="31">IFERROR(AS6/AX6,0)</f>
        <v>0</v>
      </c>
      <c r="AT14" s="17">
        <f t="shared" ref="AT14:AT17" si="32">IFERROR(AT6/AX6,0)</f>
        <v>9.7879282218597072E-3</v>
      </c>
      <c r="AU14" s="17">
        <f t="shared" ref="AU14:AU17" si="33">IFERROR(AU6/AX6,0)</f>
        <v>0</v>
      </c>
      <c r="AV14" s="17">
        <f t="shared" ref="AV14:AV17" si="34">IFERROR(AV6/AX6,0)</f>
        <v>0</v>
      </c>
      <c r="AW14" s="17">
        <f t="shared" ref="AW14:AW17" si="35">IFERROR(AW6/AX6,0)</f>
        <v>0</v>
      </c>
      <c r="AX14" s="18">
        <f t="shared" ref="AX14:AX17" si="36">IFERROR(AX6/AX6,0)</f>
        <v>1</v>
      </c>
      <c r="AZ14" s="19">
        <f t="shared" ref="AZ14:AZ17" si="37">IFERROR(AZ6/BJ6,0)</f>
        <v>0.91666666666666674</v>
      </c>
      <c r="BA14" s="17">
        <f t="shared" ref="BA14:BA17" si="38">IFERROR(BA6/BJ6,0)</f>
        <v>1.954732510288066E-2</v>
      </c>
      <c r="BB14" s="17">
        <f t="shared" ref="BB14:BB17" si="39">IFERROR(BB6/BJ6,0)</f>
        <v>4.4238683127572016E-2</v>
      </c>
      <c r="BC14" s="17">
        <f t="shared" ref="BC14:BC17" si="40">IFERROR(BC6/BJ6,0)</f>
        <v>0</v>
      </c>
      <c r="BD14" s="17">
        <f t="shared" ref="BD14:BD17" si="41">IFERROR(BD6/BJ6,0)</f>
        <v>1.3374485596707819E-2</v>
      </c>
      <c r="BE14" s="17">
        <f t="shared" ref="BE14:BE17" si="42">IFERROR(BE6/BJ6,0)</f>
        <v>2.05761316872428E-3</v>
      </c>
      <c r="BF14" s="17">
        <f t="shared" ref="BF14:BF17" si="43">IFERROR(BF6/BJ6,0)</f>
        <v>2.05761316872428E-3</v>
      </c>
      <c r="BG14" s="17">
        <f t="shared" ref="BG14:BG17" si="44">IFERROR(BG6/BJ6,0)</f>
        <v>0</v>
      </c>
      <c r="BH14" s="17">
        <f t="shared" ref="BH14:BH17" si="45">IFERROR(BH6/BJ6,0)</f>
        <v>2.05761316872428E-3</v>
      </c>
      <c r="BI14" s="17">
        <f t="shared" ref="BI14:BI17" si="46">IFERROR(BI6/BJ6,0)</f>
        <v>0</v>
      </c>
      <c r="BJ14" s="18">
        <f t="shared" ref="BJ14:BJ17" si="47">IFERROR(BJ6/BJ6,0)</f>
        <v>1</v>
      </c>
      <c r="BL14" s="19">
        <f t="shared" ref="BL14:BL18" si="48">IFERROR(BL6/BV6,0)</f>
        <v>0.75911251980982564</v>
      </c>
      <c r="BM14" s="17">
        <f t="shared" ref="BM14:BM18" si="49">IFERROR(BM6/BV6,0)</f>
        <v>0.18700475435816163</v>
      </c>
      <c r="BN14" s="17">
        <f t="shared" ref="BN14:BN18" si="50">IFERROR(BN6/BV6,0)</f>
        <v>0</v>
      </c>
      <c r="BO14" s="17">
        <f t="shared" ref="BO14:BO18" si="51">IFERROR(BO6/BV6,0)</f>
        <v>6.3391442155309036E-3</v>
      </c>
      <c r="BP14" s="17">
        <f t="shared" ref="BP14:BP18" si="52">IFERROR(BP6/BV6,0)</f>
        <v>2.5356576862123614E-2</v>
      </c>
      <c r="BQ14" s="17">
        <f t="shared" ref="BQ14:BQ18" si="53">IFERROR(BQ6/BV6,0)</f>
        <v>1.5847860538827259E-3</v>
      </c>
      <c r="BR14" s="17">
        <f t="shared" ref="BR14:BR18" si="54">IFERROR(BR6/BV6,0)</f>
        <v>0</v>
      </c>
      <c r="BS14" s="17">
        <f t="shared" ref="BS14:BS18" si="55">IFERROR(BS6/BV6,0)</f>
        <v>2.0602218700475437E-2</v>
      </c>
      <c r="BT14" s="17">
        <f t="shared" ref="BT14:BT18" si="56">IFERROR(BT6/BV6,0)</f>
        <v>0</v>
      </c>
      <c r="BU14" s="17">
        <f t="shared" ref="BU14:BU18" si="57">IFERROR(BU6/BV6,0)</f>
        <v>0</v>
      </c>
      <c r="BV14" s="18">
        <f t="shared" ref="BV14:BV18" si="58">IFERROR(BV6/BV6,0)</f>
        <v>1</v>
      </c>
      <c r="BX14" s="19">
        <f t="shared" ref="BX14:BX18" si="59">IFERROR(BX6/CH6,0)</f>
        <v>0.91993957703927487</v>
      </c>
      <c r="BY14" s="17">
        <f t="shared" ref="BY14:BY18" si="60">IFERROR(BY6/CH6,0)</f>
        <v>4.2296072507552872E-2</v>
      </c>
      <c r="BZ14" s="17">
        <f t="shared" ref="BZ14:BZ18" si="61">IFERROR(BZ6/CH6,0)</f>
        <v>0</v>
      </c>
      <c r="CA14" s="17">
        <f t="shared" ref="CA14:CA18" si="62">IFERROR(CA6/CH6,0)</f>
        <v>0</v>
      </c>
      <c r="CB14" s="17">
        <f t="shared" ref="CB14:CB18" si="63">IFERROR(CB6/CH6,0)</f>
        <v>1.0574018126888218E-2</v>
      </c>
      <c r="CC14" s="17">
        <f t="shared" ref="CC14:CC18" si="64">IFERROR(CC6/CH6,0)</f>
        <v>9.0634441087613302E-3</v>
      </c>
      <c r="CD14" s="17">
        <f t="shared" ref="CD14:CD18" si="65">IFERROR(CD6/CH6,0)</f>
        <v>6.0422960725075529E-3</v>
      </c>
      <c r="CE14" s="17">
        <f t="shared" ref="CE14:CE18" si="66">IFERROR(CE6/CH6,0)</f>
        <v>3.0211480362537764E-3</v>
      </c>
      <c r="CF14" s="17">
        <f t="shared" ref="CF14:CF18" si="67">IFERROR(CF6/CH6,0)</f>
        <v>9.0634441087613302E-3</v>
      </c>
      <c r="CG14" s="17">
        <f t="shared" ref="CG14:CG18" si="68">IFERROR(CG6/CH6,0)</f>
        <v>0</v>
      </c>
      <c r="CH14" s="18">
        <f t="shared" ref="CH14:CH18" si="69">IFERROR(CH6/CH6,0)</f>
        <v>1</v>
      </c>
      <c r="CJ14" s="19">
        <f t="shared" ref="CJ14:CJ18" si="70">IFERROR(CJ6/CT6,0)</f>
        <v>0.84106891701828412</v>
      </c>
      <c r="CK14" s="17">
        <f t="shared" ref="CK14:CK18" si="71">IFERROR(CK6/CT6,0)</f>
        <v>9.0014064697609003E-2</v>
      </c>
      <c r="CL14" s="17">
        <f t="shared" ref="CL14:CL18" si="72">IFERROR(CL6/CT6,0)</f>
        <v>9.8452883263009851E-3</v>
      </c>
      <c r="CM14" s="17">
        <f t="shared" ref="CM14:CM18" si="73">IFERROR(CM6/CT6,0)</f>
        <v>0</v>
      </c>
      <c r="CN14" s="17">
        <f t="shared" ref="CN14:CN18" si="74">IFERROR(CN6/CT6,0)</f>
        <v>3.6568213783403657E-2</v>
      </c>
      <c r="CO14" s="17">
        <f t="shared" ref="CO14:CO18" si="75">IFERROR(CO6/CT6,0)</f>
        <v>1.4064697609001406E-2</v>
      </c>
      <c r="CP14" s="17">
        <f t="shared" ref="CP14:CP18" si="76">IFERROR(CP6/CT6,0)</f>
        <v>0</v>
      </c>
      <c r="CQ14" s="17">
        <f t="shared" ref="CQ14:CQ18" si="77">IFERROR(CQ6/CT6,0)</f>
        <v>0</v>
      </c>
      <c r="CR14" s="17">
        <f t="shared" ref="CR14:CR18" si="78">IFERROR(CR6/CT6,0)</f>
        <v>8.4388185654008432E-3</v>
      </c>
      <c r="CS14" s="17">
        <f t="shared" ref="CS14:CS18" si="79">IFERROR(CS6/CT6,0)</f>
        <v>0</v>
      </c>
      <c r="CT14" s="18">
        <f t="shared" ref="CT14:CT18" si="80">IFERROR(CT6/CT6,0)</f>
        <v>1</v>
      </c>
      <c r="CV14" s="19">
        <f t="shared" ref="CV14:CV18" si="81">IFERROR(CV6/DF6,0)</f>
        <v>0.90114304660063538</v>
      </c>
      <c r="CW14" s="17">
        <f t="shared" ref="CW14:CW18" si="82">IFERROR(CW6/DF6,0)</f>
        <v>3.5605531431367313E-2</v>
      </c>
      <c r="CX14" s="17">
        <f t="shared" ref="CX14:CX18" si="83">IFERROR(CX6/DF6,0)</f>
        <v>8.852092795684041E-4</v>
      </c>
      <c r="CY14" s="17">
        <f t="shared" ref="CY14:CY18" si="84">IFERROR(CY6/DF6,0)</f>
        <v>0</v>
      </c>
      <c r="CZ14" s="17">
        <f t="shared" ref="CZ14:CZ18" si="85">IFERROR(CZ6/DF6,0)</f>
        <v>4.7800496360985122E-2</v>
      </c>
      <c r="DA14" s="17">
        <f t="shared" ref="DA14:DA18" si="86">IFERROR(DA6/DF6,0)</f>
        <v>0</v>
      </c>
      <c r="DB14" s="17">
        <f t="shared" ref="DB14:DB18" si="87">IFERROR(DB6/DF6,0)</f>
        <v>8.852092795684041E-4</v>
      </c>
      <c r="DC14" s="17">
        <f t="shared" ref="DC14:DC18" si="88">IFERROR(DC6/DF6,0)</f>
        <v>5.3112556774104237E-3</v>
      </c>
      <c r="DD14" s="17">
        <f t="shared" ref="DD14:DD18" si="89">IFERROR(DD6/DF6,0)</f>
        <v>8.3692513704649116E-3</v>
      </c>
      <c r="DE14" s="17">
        <f t="shared" ref="DE14:DE18" si="90">IFERROR(DE6/DF6,0)</f>
        <v>0</v>
      </c>
      <c r="DF14" s="18">
        <f t="shared" ref="DF14:DF18" si="91">IFERROR(DF6/DF6,0)</f>
        <v>1</v>
      </c>
      <c r="DH14" s="19">
        <f t="shared" ref="DH14:DH18" si="92">IFERROR(DH6/DR6,0)</f>
        <v>0.85877301013189</v>
      </c>
      <c r="DI14" s="17">
        <f t="shared" ref="DI14:DI18" si="93">IFERROR(DI6/DR6,0)</f>
        <v>5.1383489013087168E-2</v>
      </c>
      <c r="DJ14" s="17">
        <f t="shared" ref="DJ14:DJ18" si="94">IFERROR(DJ6/DR6,0)</f>
        <v>1.8066753368833589E-3</v>
      </c>
      <c r="DK14" s="17">
        <f t="shared" ref="DK14:DK18" si="95">IFERROR(DK6/DR6,0)</f>
        <v>0</v>
      </c>
      <c r="DL14" s="17">
        <f t="shared" ref="DL14:DL18" si="96">IFERROR(DL6/DR6,0)</f>
        <v>8.743460040584497E-2</v>
      </c>
      <c r="DM14" s="17">
        <f t="shared" ref="DM14:DM18" si="97">IFERROR(DM6/DR6,0)</f>
        <v>0</v>
      </c>
      <c r="DN14" s="17">
        <f t="shared" ref="DN14:DN18" si="98">IFERROR(DN6/DR6,0)</f>
        <v>0</v>
      </c>
      <c r="DO14" s="17">
        <f t="shared" ref="DO14:DO18" si="99">IFERROR(DO6/DR6,0)</f>
        <v>0</v>
      </c>
      <c r="DP14" s="17">
        <f t="shared" ref="DP14:DP18" si="100">IFERROR(DP6/DR6,0)</f>
        <v>6.0222511229445299E-4</v>
      </c>
      <c r="DQ14" s="17">
        <f t="shared" ref="DQ14:DQ18" si="101">IFERROR(DQ6/DR6,0)</f>
        <v>0</v>
      </c>
      <c r="DR14" s="18">
        <f t="shared" ref="DR14:DR18" si="102">IFERROR(DR6/DR6,0)</f>
        <v>1</v>
      </c>
      <c r="DT14" s="19">
        <f t="shared" ref="DT14:DT18" si="103">IFERROR(DT6/ED6,0)</f>
        <v>0.74956848320669578</v>
      </c>
      <c r="DU14" s="17">
        <f t="shared" ref="DU14:DU18" si="104">IFERROR(DU6/ED6,0)</f>
        <v>4.4904961631902829E-2</v>
      </c>
      <c r="DV14" s="17">
        <f t="shared" ref="DV14:DV18" si="105">IFERROR(DV6/ED6,0)</f>
        <v>5.5267645085418864E-2</v>
      </c>
      <c r="DW14" s="17">
        <f t="shared" ref="DW14:DW18" si="106">IFERROR(DW6/ED6,0)</f>
        <v>5.7570463630644657E-4</v>
      </c>
      <c r="DX14" s="17">
        <f t="shared" ref="DX14:DX18" si="107">IFERROR(DX6/ED6,0)</f>
        <v>9.9021197444708803E-2</v>
      </c>
      <c r="DY14" s="17">
        <f t="shared" ref="DY14:DY18" si="108">IFERROR(DY6/ED6,0)</f>
        <v>3.1088050360548111E-2</v>
      </c>
      <c r="DZ14" s="17">
        <f t="shared" ref="DZ14:DZ18" si="109">IFERROR(DZ6/ED6,0)</f>
        <v>0</v>
      </c>
      <c r="EA14" s="17">
        <f t="shared" ref="EA14:EA18" si="110">IFERROR(EA6/ED6,0)</f>
        <v>8.6355695445966985E-3</v>
      </c>
      <c r="EB14" s="17">
        <f t="shared" ref="EB14:EB18" si="111">IFERROR(EB6/ED6,0)</f>
        <v>1.0938388089822487E-2</v>
      </c>
      <c r="EC14" s="17">
        <f t="shared" ref="EC14:EC18" si="112">IFERROR(EC6/ED6,0)</f>
        <v>0</v>
      </c>
      <c r="ED14" s="18">
        <f t="shared" ref="ED14:ED18" si="113">IFERROR(ED6/ED6,0)</f>
        <v>1</v>
      </c>
      <c r="EF14" s="19">
        <f t="shared" ref="EF14:EF18" si="114">IFERROR(EF6/EP6,0)</f>
        <v>0.9070363688158769</v>
      </c>
      <c r="EG14" s="17">
        <f t="shared" ref="EG14:EG18" si="115">IFERROR(EG6/EP6,0)</f>
        <v>1.2534422182128952E-2</v>
      </c>
      <c r="EH14" s="17">
        <f t="shared" ref="EH14:EH18" si="116">IFERROR(EH6/EP6,0)</f>
        <v>5.7449435001424368E-3</v>
      </c>
      <c r="EI14" s="17">
        <f t="shared" ref="EI14:EI18" si="117">IFERROR(EI6/EP6,0)</f>
        <v>0</v>
      </c>
      <c r="EJ14" s="17">
        <f t="shared" ref="EJ14:EJ18" si="118">IFERROR(EJ6/EP6,0)</f>
        <v>6.9983857183553322E-2</v>
      </c>
      <c r="EK14" s="17">
        <f t="shared" ref="EK14:EK18" si="119">IFERROR(EK6/EP6,0)</f>
        <v>1.0445351818440794E-3</v>
      </c>
      <c r="EL14" s="17">
        <f t="shared" ref="EL14:EL18" si="120">IFERROR(EL6/EP6,0)</f>
        <v>0</v>
      </c>
      <c r="EM14" s="17">
        <f t="shared" ref="EM14:EM18" si="121">IFERROR(EM6/EP6,0)</f>
        <v>0</v>
      </c>
      <c r="EN14" s="17">
        <f t="shared" ref="EN14:EN18" si="122">IFERROR(EN6/EP6,0)</f>
        <v>3.655873136454278E-3</v>
      </c>
      <c r="EO14" s="17">
        <f t="shared" ref="EO14:EO18" si="123">IFERROR(EO6/EP6,0)</f>
        <v>0</v>
      </c>
      <c r="EP14" s="18">
        <f t="shared" ref="EP14:EP18" si="124">IFERROR(EP6/EP6,0)</f>
        <v>1</v>
      </c>
      <c r="ER14" s="19">
        <f t="shared" ref="ER14:ER18" si="125">IFERROR(ER6/FB6,0)</f>
        <v>0.94543429844097993</v>
      </c>
      <c r="ES14" s="17">
        <f t="shared" ref="ES14:ES18" si="126">IFERROR(ES6/FB6,0)</f>
        <v>3.8975501113585748E-3</v>
      </c>
      <c r="ET14" s="17">
        <f t="shared" ref="ET14:ET18" si="127">IFERROR(ET6/FB6,0)</f>
        <v>8.351893095768375E-3</v>
      </c>
      <c r="EU14" s="17">
        <f t="shared" ref="EU14:EU18" si="128">IFERROR(EU6/FB6,0)</f>
        <v>0</v>
      </c>
      <c r="EV14" s="17">
        <f t="shared" ref="EV14:EV18" si="129">IFERROR(EV6/FB6,0)</f>
        <v>2.728285077951002E-2</v>
      </c>
      <c r="EW14" s="17">
        <f t="shared" ref="EW14:EW18" si="130">IFERROR(EW6/FB6,0)</f>
        <v>7.7951002227171495E-3</v>
      </c>
      <c r="EX14" s="17">
        <f t="shared" ref="EX14:EX18" si="131">IFERROR(EX6/FB6,0)</f>
        <v>1.1135857461024496E-3</v>
      </c>
      <c r="EY14" s="17">
        <f t="shared" ref="EY14:EY18" si="132">IFERROR(EY6/FB6,0)</f>
        <v>0</v>
      </c>
      <c r="EZ14" s="17">
        <f t="shared" ref="EZ14:EZ18" si="133">IFERROR(EZ6/FB6,0)</f>
        <v>6.124721603563474E-3</v>
      </c>
      <c r="FA14" s="17">
        <f t="shared" ref="FA14:FA18" si="134">IFERROR(FA6/FB6,0)</f>
        <v>0</v>
      </c>
      <c r="FB14" s="18">
        <f t="shared" ref="FB14:FB18" si="135">IFERROR(FB6/FB6,0)</f>
        <v>1</v>
      </c>
    </row>
    <row r="15" spans="1:158" s="14" customFormat="1" x14ac:dyDescent="0.35">
      <c r="B15" s="14" t="s">
        <v>69</v>
      </c>
      <c r="D15" s="17">
        <f>IFERROR(D7/N7,0)</f>
        <v>2.0824144140041016E-2</v>
      </c>
      <c r="E15" s="19">
        <f>IFERROR(E7/N7,0)</f>
        <v>0.92157624535937976</v>
      </c>
      <c r="F15" s="17">
        <f>IFERROR(F7/N7,0)</f>
        <v>3.0668184397726127E-2</v>
      </c>
      <c r="G15" s="17">
        <f>IFERROR(G7/N7,0)</f>
        <v>0</v>
      </c>
      <c r="H15" s="17">
        <f>IFERROR(H7/N7,0)</f>
        <v>1.342763498532549E-2</v>
      </c>
      <c r="I15" s="17">
        <f>IFERROR(I7/N7,0)</f>
        <v>2.3410827784523761E-4</v>
      </c>
      <c r="J15" s="17">
        <f>IFERROR(J7/N7,0)</f>
        <v>1.0066655947345217E-2</v>
      </c>
      <c r="K15" s="17">
        <f>IFERROR(K7/N7,0)</f>
        <v>1.1705413892261882E-3</v>
      </c>
      <c r="L15" s="17">
        <f>IFERROR(L7/N7,0)</f>
        <v>2.0324855031109267E-3</v>
      </c>
      <c r="M15" s="17">
        <f>IFERROR(M7/N7,0)</f>
        <v>0</v>
      </c>
      <c r="N15" s="29">
        <f>IFERROR(N7/N7,0)</f>
        <v>1</v>
      </c>
      <c r="P15" s="17">
        <f>IFERROR(P7/Z7,0)</f>
        <v>1.7167381974248927E-2</v>
      </c>
      <c r="Q15" s="19">
        <f>IFERROR(Q7/Z7,0)</f>
        <v>0.96137339055793991</v>
      </c>
      <c r="R15" s="17">
        <f>IFERROR(R7/Z7,0)</f>
        <v>4.2918454935622317E-3</v>
      </c>
      <c r="S15" s="17">
        <f>IFERROR(S7/Z7,0)</f>
        <v>0</v>
      </c>
      <c r="T15" s="17">
        <f>IFERROR(T7/Z7,0)</f>
        <v>1.0729613733905579E-2</v>
      </c>
      <c r="U15" s="17">
        <f>IFERROR(U7/Z7,0)</f>
        <v>0</v>
      </c>
      <c r="V15" s="17">
        <f>IFERROR(V7/Z7,0)</f>
        <v>2.1459227467811159E-3</v>
      </c>
      <c r="W15" s="17">
        <f>IFERROR(W7/Z7,0)</f>
        <v>0</v>
      </c>
      <c r="X15" s="17">
        <f>IFERROR(X7/Z7,0)</f>
        <v>4.2918454935622317E-3</v>
      </c>
      <c r="Y15" s="17">
        <f>IFERROR(Y7/Z7,0)</f>
        <v>0</v>
      </c>
      <c r="Z15" s="18">
        <f>IFERROR(Z7/Z7,0)</f>
        <v>1</v>
      </c>
      <c r="AB15" s="17">
        <f>IFERROR(AB7/AL7,0)</f>
        <v>1.3842746400885937E-3</v>
      </c>
      <c r="AC15" s="19">
        <f>IFERROR(AC7/AL7,0)</f>
        <v>0.92801771871539318</v>
      </c>
      <c r="AD15" s="17">
        <f>IFERROR(AD7/AL7,0)</f>
        <v>8.3056478405315621E-3</v>
      </c>
      <c r="AE15" s="17">
        <f>IFERROR(AE7/AL7,0)</f>
        <v>0</v>
      </c>
      <c r="AF15" s="17">
        <f>IFERROR(AF7/AL7,0)</f>
        <v>2.4916943521594685E-2</v>
      </c>
      <c r="AG15" s="17">
        <f>IFERROR(AG7/AL7,0)</f>
        <v>0</v>
      </c>
      <c r="AH15" s="17">
        <f>IFERROR(AH7/AL7,0)</f>
        <v>3.0454042081949059E-2</v>
      </c>
      <c r="AI15" s="17">
        <f>IFERROR(AI7/AL7,0)</f>
        <v>0</v>
      </c>
      <c r="AJ15" s="17">
        <f>IFERROR(AJ7/AL7,0)</f>
        <v>6.9213732004429675E-3</v>
      </c>
      <c r="AK15" s="17">
        <f>IFERROR(AK7/AL7,0)</f>
        <v>0</v>
      </c>
      <c r="AL15" s="18">
        <f>IFERROR(AL7/AL7,0)</f>
        <v>1</v>
      </c>
      <c r="AN15" s="17">
        <f t="shared" si="26"/>
        <v>5.4887069853775854E-3</v>
      </c>
      <c r="AO15" s="19">
        <f t="shared" si="27"/>
        <v>0.95558388615423762</v>
      </c>
      <c r="AP15" s="17">
        <f t="shared" si="28"/>
        <v>1.975934514735931E-2</v>
      </c>
      <c r="AQ15" s="17">
        <f t="shared" si="29"/>
        <v>0</v>
      </c>
      <c r="AR15" s="17">
        <f t="shared" si="30"/>
        <v>1.1483871933496832E-2</v>
      </c>
      <c r="AS15" s="17">
        <f t="shared" si="31"/>
        <v>0</v>
      </c>
      <c r="AT15" s="17">
        <f t="shared" si="32"/>
        <v>6.586448382453103E-3</v>
      </c>
      <c r="AU15" s="17">
        <f t="shared" si="33"/>
        <v>5.4887069853775858E-4</v>
      </c>
      <c r="AV15" s="17">
        <f t="shared" si="34"/>
        <v>5.4887069853775858E-4</v>
      </c>
      <c r="AW15" s="17">
        <f t="shared" si="35"/>
        <v>0</v>
      </c>
      <c r="AX15" s="18">
        <f t="shared" si="36"/>
        <v>1</v>
      </c>
      <c r="AZ15" s="17">
        <f t="shared" si="37"/>
        <v>0</v>
      </c>
      <c r="BA15" s="19">
        <f t="shared" si="38"/>
        <v>0.93458555304263147</v>
      </c>
      <c r="BB15" s="17">
        <f t="shared" si="39"/>
        <v>2.4624859541915428E-2</v>
      </c>
      <c r="BC15" s="17">
        <f t="shared" si="40"/>
        <v>0</v>
      </c>
      <c r="BD15" s="17">
        <f t="shared" si="41"/>
        <v>7.9253493651947494E-3</v>
      </c>
      <c r="BE15" s="17">
        <f t="shared" si="42"/>
        <v>0</v>
      </c>
      <c r="BF15" s="17">
        <f t="shared" si="43"/>
        <v>2.0520716284929533E-2</v>
      </c>
      <c r="BG15" s="17">
        <f t="shared" si="44"/>
        <v>4.788167133150222E-3</v>
      </c>
      <c r="BH15" s="17">
        <f t="shared" si="45"/>
        <v>7.5553546321785988E-3</v>
      </c>
      <c r="BI15" s="17">
        <f t="shared" si="46"/>
        <v>0</v>
      </c>
      <c r="BJ15" s="18">
        <f t="shared" si="47"/>
        <v>1</v>
      </c>
      <c r="BL15" s="17">
        <f t="shared" si="48"/>
        <v>1.5936254980079682E-3</v>
      </c>
      <c r="BM15" s="19">
        <f t="shared" si="49"/>
        <v>0.95776892430278882</v>
      </c>
      <c r="BN15" s="17">
        <f t="shared" si="50"/>
        <v>1.6733067729083666E-2</v>
      </c>
      <c r="BO15" s="17">
        <f t="shared" si="51"/>
        <v>0</v>
      </c>
      <c r="BP15" s="17">
        <f t="shared" si="52"/>
        <v>1.3545816733067729E-2</v>
      </c>
      <c r="BQ15" s="17">
        <f t="shared" si="53"/>
        <v>0</v>
      </c>
      <c r="BR15" s="17">
        <f t="shared" si="54"/>
        <v>7.9681274900398405E-3</v>
      </c>
      <c r="BS15" s="17">
        <f t="shared" si="55"/>
        <v>1.5936254980079682E-3</v>
      </c>
      <c r="BT15" s="17">
        <f t="shared" si="56"/>
        <v>7.9681274900398409E-4</v>
      </c>
      <c r="BU15" s="17">
        <f t="shared" si="57"/>
        <v>0</v>
      </c>
      <c r="BV15" s="18">
        <f t="shared" si="58"/>
        <v>1</v>
      </c>
      <c r="BX15" s="17">
        <f t="shared" si="59"/>
        <v>1.8763796909492272E-2</v>
      </c>
      <c r="BY15" s="19">
        <f t="shared" si="60"/>
        <v>0.95584988962472406</v>
      </c>
      <c r="BZ15" s="17">
        <f t="shared" si="61"/>
        <v>1.379690949227373E-2</v>
      </c>
      <c r="CA15" s="17">
        <f t="shared" si="62"/>
        <v>0</v>
      </c>
      <c r="CB15" s="17">
        <f t="shared" si="63"/>
        <v>2.2075055187637969E-3</v>
      </c>
      <c r="CC15" s="17">
        <f t="shared" si="64"/>
        <v>0</v>
      </c>
      <c r="CD15" s="17">
        <f t="shared" si="65"/>
        <v>6.0706401766004413E-3</v>
      </c>
      <c r="CE15" s="17">
        <f t="shared" si="66"/>
        <v>1.1037527593818985E-3</v>
      </c>
      <c r="CF15" s="17">
        <f t="shared" si="67"/>
        <v>2.2075055187637969E-3</v>
      </c>
      <c r="CG15" s="17">
        <f t="shared" si="68"/>
        <v>0</v>
      </c>
      <c r="CH15" s="18">
        <f t="shared" si="69"/>
        <v>1</v>
      </c>
      <c r="CJ15" s="17">
        <f t="shared" si="70"/>
        <v>7.3806078147612156E-2</v>
      </c>
      <c r="CK15" s="19">
        <f t="shared" si="71"/>
        <v>0.8589001447178003</v>
      </c>
      <c r="CL15" s="17">
        <f t="shared" si="72"/>
        <v>4.4862518089725037E-2</v>
      </c>
      <c r="CM15" s="17">
        <f t="shared" si="73"/>
        <v>0</v>
      </c>
      <c r="CN15" s="17">
        <f t="shared" si="74"/>
        <v>1.4471780028943565E-2</v>
      </c>
      <c r="CO15" s="17">
        <f t="shared" si="75"/>
        <v>0</v>
      </c>
      <c r="CP15" s="17">
        <f t="shared" si="76"/>
        <v>7.9594790159189573E-3</v>
      </c>
      <c r="CQ15" s="17">
        <f t="shared" si="77"/>
        <v>0</v>
      </c>
      <c r="CR15" s="17">
        <f t="shared" si="78"/>
        <v>0</v>
      </c>
      <c r="CS15" s="17">
        <f t="shared" si="79"/>
        <v>0</v>
      </c>
      <c r="CT15" s="18">
        <f t="shared" si="80"/>
        <v>1</v>
      </c>
      <c r="CV15" s="17">
        <f t="shared" si="81"/>
        <v>7.0160608622147069E-2</v>
      </c>
      <c r="CW15" s="19">
        <f t="shared" si="82"/>
        <v>0.85038038884192735</v>
      </c>
      <c r="CX15" s="17">
        <f t="shared" si="83"/>
        <v>5.3254437869822487E-2</v>
      </c>
      <c r="CY15" s="17">
        <f t="shared" si="84"/>
        <v>0</v>
      </c>
      <c r="CZ15" s="17">
        <f t="shared" si="85"/>
        <v>1.0989010989010988E-2</v>
      </c>
      <c r="DA15" s="17">
        <f t="shared" si="86"/>
        <v>0</v>
      </c>
      <c r="DB15" s="17">
        <f t="shared" si="87"/>
        <v>1.0989010989010988E-2</v>
      </c>
      <c r="DC15" s="17">
        <f t="shared" si="88"/>
        <v>2.5359256128486898E-3</v>
      </c>
      <c r="DD15" s="17">
        <f t="shared" si="89"/>
        <v>1.6906170752324597E-3</v>
      </c>
      <c r="DE15" s="17">
        <f t="shared" si="90"/>
        <v>0</v>
      </c>
      <c r="DF15" s="18">
        <f t="shared" si="91"/>
        <v>1</v>
      </c>
      <c r="DH15" s="17">
        <f t="shared" si="92"/>
        <v>0</v>
      </c>
      <c r="DI15" s="19">
        <f t="shared" si="93"/>
        <v>0.93107617896009676</v>
      </c>
      <c r="DJ15" s="17">
        <f t="shared" si="94"/>
        <v>4.4740024183796863E-2</v>
      </c>
      <c r="DK15" s="17">
        <f t="shared" si="95"/>
        <v>0</v>
      </c>
      <c r="DL15" s="17">
        <f t="shared" si="96"/>
        <v>1.4510278113663845E-2</v>
      </c>
      <c r="DM15" s="17">
        <f t="shared" si="97"/>
        <v>0</v>
      </c>
      <c r="DN15" s="17">
        <f t="shared" si="98"/>
        <v>9.673518742442563E-3</v>
      </c>
      <c r="DO15" s="17">
        <f t="shared" si="99"/>
        <v>0</v>
      </c>
      <c r="DP15" s="17">
        <f t="shared" si="100"/>
        <v>0</v>
      </c>
      <c r="DQ15" s="17">
        <f t="shared" si="101"/>
        <v>0</v>
      </c>
      <c r="DR15" s="18">
        <f t="shared" si="102"/>
        <v>1</v>
      </c>
      <c r="DT15" s="17">
        <f t="shared" si="103"/>
        <v>3.0410168737535003E-2</v>
      </c>
      <c r="DU15" s="19">
        <f t="shared" si="104"/>
        <v>0.90087658642226354</v>
      </c>
      <c r="DV15" s="17">
        <f t="shared" si="105"/>
        <v>2.0474467873233263E-2</v>
      </c>
      <c r="DW15" s="17">
        <f t="shared" si="106"/>
        <v>0</v>
      </c>
      <c r="DX15" s="17">
        <f t="shared" si="107"/>
        <v>2.571686230641158E-2</v>
      </c>
      <c r="DY15" s="17">
        <f t="shared" si="108"/>
        <v>0</v>
      </c>
      <c r="DZ15" s="17">
        <f t="shared" si="109"/>
        <v>2.2521914660556589E-2</v>
      </c>
      <c r="EA15" s="17">
        <f t="shared" si="110"/>
        <v>0</v>
      </c>
      <c r="EB15" s="17">
        <f t="shared" si="111"/>
        <v>0</v>
      </c>
      <c r="EC15" s="17">
        <f t="shared" si="112"/>
        <v>0</v>
      </c>
      <c r="ED15" s="18">
        <f t="shared" si="113"/>
        <v>1</v>
      </c>
      <c r="EF15" s="17">
        <f t="shared" si="114"/>
        <v>9.7886468011517958E-3</v>
      </c>
      <c r="EG15" s="19">
        <f t="shared" si="115"/>
        <v>0.89803492915466876</v>
      </c>
      <c r="EH15" s="17">
        <f t="shared" si="116"/>
        <v>6.1179042507198723E-2</v>
      </c>
      <c r="EI15" s="17">
        <f t="shared" si="117"/>
        <v>0</v>
      </c>
      <c r="EJ15" s="17">
        <f t="shared" si="118"/>
        <v>3.0997381536980687E-2</v>
      </c>
      <c r="EK15" s="17">
        <f t="shared" si="119"/>
        <v>0</v>
      </c>
      <c r="EL15" s="17">
        <f t="shared" si="120"/>
        <v>0</v>
      </c>
      <c r="EM15" s="17">
        <f t="shared" si="121"/>
        <v>0</v>
      </c>
      <c r="EN15" s="17">
        <f t="shared" si="122"/>
        <v>0</v>
      </c>
      <c r="EO15" s="17">
        <f t="shared" si="123"/>
        <v>0</v>
      </c>
      <c r="EP15" s="18">
        <f t="shared" si="124"/>
        <v>1</v>
      </c>
      <c r="ER15" s="17">
        <f t="shared" si="125"/>
        <v>0</v>
      </c>
      <c r="ES15" s="19">
        <f t="shared" si="126"/>
        <v>0.86390532544378695</v>
      </c>
      <c r="ET15" s="17">
        <f t="shared" si="127"/>
        <v>0.11834319526627218</v>
      </c>
      <c r="EU15" s="17">
        <f t="shared" si="128"/>
        <v>0</v>
      </c>
      <c r="EV15" s="17">
        <f t="shared" si="129"/>
        <v>0</v>
      </c>
      <c r="EW15" s="17">
        <f t="shared" si="130"/>
        <v>1.7751479289940829E-2</v>
      </c>
      <c r="EX15" s="17">
        <f t="shared" si="131"/>
        <v>0</v>
      </c>
      <c r="EY15" s="17">
        <f t="shared" si="132"/>
        <v>0</v>
      </c>
      <c r="EZ15" s="17">
        <f t="shared" si="133"/>
        <v>0</v>
      </c>
      <c r="FA15" s="17">
        <f t="shared" si="134"/>
        <v>0</v>
      </c>
      <c r="FB15" s="18">
        <f t="shared" si="135"/>
        <v>1</v>
      </c>
    </row>
    <row r="16" spans="1:158" s="14" customFormat="1" x14ac:dyDescent="0.35">
      <c r="B16" s="14" t="s">
        <v>70</v>
      </c>
      <c r="D16" s="17">
        <f>IFERROR(D8/N8,0)</f>
        <v>1.0501388193906187E-3</v>
      </c>
      <c r="E16" s="17">
        <f>IFERROR(E8/N8,0)</f>
        <v>6.8342241808341933E-2</v>
      </c>
      <c r="F16" s="19">
        <f>IFERROR(F8/N8,0)</f>
        <v>0.86986869333491801</v>
      </c>
      <c r="G16" s="17">
        <f>IFERROR(G8/N8,0)</f>
        <v>1.6131140975512045E-2</v>
      </c>
      <c r="H16" s="17">
        <f>IFERROR(H8/N8,0)</f>
        <v>3.1768851800955879E-2</v>
      </c>
      <c r="I16" s="17">
        <f>IFERROR(I8/N8,0)</f>
        <v>3.9627879977004471E-5</v>
      </c>
      <c r="J16" s="17">
        <f>IFERROR(J8/N8,0)</f>
        <v>1.981393998850224E-4</v>
      </c>
      <c r="K16" s="17">
        <f>IFERROR(K8/N8,0)</f>
        <v>9.7880863543201076E-3</v>
      </c>
      <c r="L16" s="17">
        <f>IFERROR(L8/N8,0)</f>
        <v>2.8130796266994263E-3</v>
      </c>
      <c r="M16" s="17">
        <f>IFERROR(M8/N8,0)</f>
        <v>0</v>
      </c>
      <c r="N16" s="29">
        <f>IFERROR(N8/N8,0)</f>
        <v>1</v>
      </c>
      <c r="P16" s="17">
        <f>IFERROR(P8/Z8,0)</f>
        <v>1.5464063361890891E-4</v>
      </c>
      <c r="Q16" s="17">
        <f>IFERROR(Q8/Z8,0)</f>
        <v>7.0361488296603561E-2</v>
      </c>
      <c r="R16" s="19">
        <f>IFERROR(R8/Z8,0)</f>
        <v>0.89419653032107438</v>
      </c>
      <c r="S16" s="17">
        <f>IFERROR(S8/Z8,0)</f>
        <v>2.3103872992241786E-2</v>
      </c>
      <c r="T16" s="17">
        <f>IFERROR(T8/Z8,0)</f>
        <v>6.3110248403818719E-3</v>
      </c>
      <c r="U16" s="17">
        <f>IFERROR(U8/Z8,0)</f>
        <v>0</v>
      </c>
      <c r="V16" s="17">
        <f>IFERROR(V8/Z8,0)</f>
        <v>7.7320316809454455E-4</v>
      </c>
      <c r="W16" s="17">
        <f>IFERROR(W8/Z8,0)</f>
        <v>2.6288907715214514E-3</v>
      </c>
      <c r="X16" s="17">
        <f>IFERROR(X8/Z8,0)</f>
        <v>2.4703489764635201E-3</v>
      </c>
      <c r="Y16" s="17">
        <f>IFERROR(Y8/Z8,0)</f>
        <v>0</v>
      </c>
      <c r="Z16" s="18">
        <f>IFERROR(Z8/Z8,0)</f>
        <v>1</v>
      </c>
      <c r="AB16" s="17">
        <f>IFERROR(AB8/AL8,0)</f>
        <v>0</v>
      </c>
      <c r="AC16" s="17">
        <f>IFERROR(AC8/AL8,0)</f>
        <v>6.2562971322797908E-2</v>
      </c>
      <c r="AD16" s="19">
        <f>IFERROR(AD8/AL8,0)</f>
        <v>0.88238748947393286</v>
      </c>
      <c r="AE16" s="17">
        <f>IFERROR(AE8/AL8,0)</f>
        <v>3.5417880459600468E-2</v>
      </c>
      <c r="AF16" s="17">
        <f>IFERROR(AF8/AL8,0)</f>
        <v>5.1542769499634891E-3</v>
      </c>
      <c r="AG16" s="17">
        <f>IFERROR(AG8/AL8,0)</f>
        <v>0</v>
      </c>
      <c r="AH16" s="17">
        <f>IFERROR(AH8/AL8,0)</f>
        <v>2.5852467488759464E-4</v>
      </c>
      <c r="AI16" s="17">
        <f>IFERROR(AI8/AL8,0)</f>
        <v>1.2150659719716949E-2</v>
      </c>
      <c r="AJ16" s="17">
        <f>IFERROR(AJ8/AL8,0)</f>
        <v>2.0681973991007571E-3</v>
      </c>
      <c r="AK16" s="17">
        <f>IFERROR(AK8/AL8,0)</f>
        <v>0</v>
      </c>
      <c r="AL16" s="18">
        <f>IFERROR(AL8/AL8,0)</f>
        <v>1</v>
      </c>
      <c r="AN16" s="17">
        <f t="shared" si="26"/>
        <v>0</v>
      </c>
      <c r="AO16" s="17">
        <f t="shared" si="27"/>
        <v>6.318700305717212E-2</v>
      </c>
      <c r="AP16" s="19">
        <f t="shared" si="28"/>
        <v>0.90999774508109343</v>
      </c>
      <c r="AQ16" s="17">
        <f t="shared" si="29"/>
        <v>1.5404506388655958E-2</v>
      </c>
      <c r="AR16" s="17">
        <f t="shared" si="30"/>
        <v>8.1301561495684214E-3</v>
      </c>
      <c r="AS16" s="17">
        <f t="shared" si="31"/>
        <v>0</v>
      </c>
      <c r="AT16" s="17">
        <f t="shared" si="32"/>
        <v>4.2790295524044325E-4</v>
      </c>
      <c r="AU16" s="17">
        <f t="shared" si="33"/>
        <v>1.9968804577887352E-3</v>
      </c>
      <c r="AV16" s="17">
        <f t="shared" si="34"/>
        <v>8.558059104808865E-4</v>
      </c>
      <c r="AW16" s="17">
        <f t="shared" si="35"/>
        <v>0</v>
      </c>
      <c r="AX16" s="18">
        <f t="shared" si="36"/>
        <v>1</v>
      </c>
      <c r="AZ16" s="17">
        <f t="shared" si="37"/>
        <v>5.3210349703255544E-4</v>
      </c>
      <c r="BA16" s="17">
        <f t="shared" si="38"/>
        <v>6.4207316552078994E-2</v>
      </c>
      <c r="BB16" s="19">
        <f t="shared" si="39"/>
        <v>0.91184802608145599</v>
      </c>
      <c r="BC16" s="17">
        <f t="shared" si="40"/>
        <v>7.6268167907999618E-3</v>
      </c>
      <c r="BD16" s="17">
        <f t="shared" si="41"/>
        <v>1.1174173437683664E-2</v>
      </c>
      <c r="BE16" s="17">
        <f t="shared" si="42"/>
        <v>0</v>
      </c>
      <c r="BF16" s="17">
        <f t="shared" si="43"/>
        <v>0</v>
      </c>
      <c r="BG16" s="17">
        <f t="shared" si="44"/>
        <v>2.8378853175069626E-3</v>
      </c>
      <c r="BH16" s="17">
        <f t="shared" si="45"/>
        <v>1.7736783234418515E-3</v>
      </c>
      <c r="BI16" s="17">
        <f t="shared" si="46"/>
        <v>0</v>
      </c>
      <c r="BJ16" s="18">
        <f t="shared" si="47"/>
        <v>1</v>
      </c>
      <c r="BL16" s="17">
        <f t="shared" si="48"/>
        <v>0</v>
      </c>
      <c r="BM16" s="17">
        <f t="shared" si="49"/>
        <v>0.10058501604076241</v>
      </c>
      <c r="BN16" s="19">
        <f t="shared" si="50"/>
        <v>0.80505755802981693</v>
      </c>
      <c r="BO16" s="17">
        <f t="shared" si="51"/>
        <v>4.0951122853368563E-2</v>
      </c>
      <c r="BP16" s="17">
        <f t="shared" si="52"/>
        <v>4.9065861483298723E-2</v>
      </c>
      <c r="BQ16" s="17">
        <f t="shared" si="53"/>
        <v>0</v>
      </c>
      <c r="BR16" s="17">
        <f t="shared" si="54"/>
        <v>0</v>
      </c>
      <c r="BS16" s="17">
        <f t="shared" si="55"/>
        <v>3.2081524816003019E-3</v>
      </c>
      <c r="BT16" s="17">
        <f t="shared" si="56"/>
        <v>1.1322891111530476E-3</v>
      </c>
      <c r="BU16" s="17">
        <f t="shared" si="57"/>
        <v>0</v>
      </c>
      <c r="BV16" s="18">
        <f t="shared" si="58"/>
        <v>1</v>
      </c>
      <c r="BX16" s="17">
        <f t="shared" si="59"/>
        <v>3.10033821871477E-3</v>
      </c>
      <c r="BY16" s="17">
        <f t="shared" si="60"/>
        <v>0.10499812100714019</v>
      </c>
      <c r="BZ16" s="19">
        <f t="shared" si="61"/>
        <v>0.791619691845171</v>
      </c>
      <c r="CA16" s="17">
        <f t="shared" si="62"/>
        <v>1.9842164599774528E-2</v>
      </c>
      <c r="CB16" s="17">
        <f t="shared" si="63"/>
        <v>7.3412251033446091E-2</v>
      </c>
      <c r="CC16" s="17">
        <f t="shared" si="64"/>
        <v>4.133784291619692E-4</v>
      </c>
      <c r="CD16" s="17">
        <f t="shared" si="65"/>
        <v>0</v>
      </c>
      <c r="CE16" s="17">
        <f t="shared" si="66"/>
        <v>5.1672303645246163E-3</v>
      </c>
      <c r="CF16" s="17">
        <f t="shared" si="67"/>
        <v>1.4468245020668928E-3</v>
      </c>
      <c r="CG16" s="17">
        <f t="shared" si="68"/>
        <v>0</v>
      </c>
      <c r="CH16" s="18">
        <f t="shared" si="69"/>
        <v>1</v>
      </c>
      <c r="CJ16" s="17">
        <f t="shared" si="70"/>
        <v>4.6734927985724603E-4</v>
      </c>
      <c r="CK16" s="17">
        <f t="shared" si="71"/>
        <v>3.3181798869864478E-2</v>
      </c>
      <c r="CL16" s="19">
        <f t="shared" si="72"/>
        <v>0.8926371245273399</v>
      </c>
      <c r="CM16" s="17">
        <f t="shared" si="73"/>
        <v>1.4020478395717381E-3</v>
      </c>
      <c r="CN16" s="17">
        <f t="shared" si="74"/>
        <v>1.9968560139355059E-2</v>
      </c>
      <c r="CO16" s="17">
        <f t="shared" si="75"/>
        <v>0</v>
      </c>
      <c r="CP16" s="17">
        <f t="shared" si="76"/>
        <v>0</v>
      </c>
      <c r="CQ16" s="17">
        <f t="shared" si="77"/>
        <v>4.8136975825296351E-2</v>
      </c>
      <c r="CR16" s="17">
        <f t="shared" si="78"/>
        <v>4.2061435187152147E-3</v>
      </c>
      <c r="CS16" s="17">
        <f t="shared" si="79"/>
        <v>0</v>
      </c>
      <c r="CT16" s="18">
        <f t="shared" si="80"/>
        <v>1</v>
      </c>
      <c r="CV16" s="17">
        <f t="shared" si="81"/>
        <v>6.7956270757551791E-4</v>
      </c>
      <c r="CW16" s="17">
        <f t="shared" si="82"/>
        <v>6.6325011367230749E-2</v>
      </c>
      <c r="CX16" s="19">
        <f t="shared" si="83"/>
        <v>0.87480076456982447</v>
      </c>
      <c r="CY16" s="17">
        <f t="shared" si="84"/>
        <v>6.7956270757551791E-4</v>
      </c>
      <c r="CZ16" s="17">
        <f t="shared" si="85"/>
        <v>2.3536963269017872E-2</v>
      </c>
      <c r="DA16" s="17">
        <f t="shared" si="86"/>
        <v>0</v>
      </c>
      <c r="DB16" s="17">
        <f t="shared" si="87"/>
        <v>0</v>
      </c>
      <c r="DC16" s="17">
        <f t="shared" si="88"/>
        <v>2.9221196425747276E-2</v>
      </c>
      <c r="DD16" s="17">
        <f t="shared" si="89"/>
        <v>4.7569389530286253E-3</v>
      </c>
      <c r="DE16" s="17">
        <f t="shared" si="90"/>
        <v>0</v>
      </c>
      <c r="DF16" s="18">
        <f t="shared" si="91"/>
        <v>1</v>
      </c>
      <c r="DH16" s="17">
        <f t="shared" si="92"/>
        <v>3.1501239287391055E-3</v>
      </c>
      <c r="DI16" s="17">
        <f t="shared" si="93"/>
        <v>5.0751996629685589E-2</v>
      </c>
      <c r="DJ16" s="19">
        <f t="shared" si="94"/>
        <v>0.90373587197259964</v>
      </c>
      <c r="DK16" s="17">
        <f t="shared" si="95"/>
        <v>1.3045967785687204E-3</v>
      </c>
      <c r="DL16" s="17">
        <f t="shared" si="96"/>
        <v>3.0556997594609916E-2</v>
      </c>
      <c r="DM16" s="17">
        <f t="shared" si="97"/>
        <v>0</v>
      </c>
      <c r="DN16" s="17">
        <f t="shared" si="98"/>
        <v>3.5001376985990064E-4</v>
      </c>
      <c r="DO16" s="17">
        <f t="shared" si="99"/>
        <v>7.7003029369178133E-3</v>
      </c>
      <c r="DP16" s="17">
        <f t="shared" si="100"/>
        <v>2.4500963890193047E-3</v>
      </c>
      <c r="DQ16" s="17">
        <f t="shared" si="101"/>
        <v>0</v>
      </c>
      <c r="DR16" s="18">
        <f t="shared" si="102"/>
        <v>1</v>
      </c>
      <c r="DT16" s="17">
        <f t="shared" si="103"/>
        <v>2.6291682094017324E-3</v>
      </c>
      <c r="DU16" s="17">
        <f t="shared" si="104"/>
        <v>3.0832972637529404E-2</v>
      </c>
      <c r="DV16" s="19">
        <f t="shared" si="105"/>
        <v>0.81067685654041444</v>
      </c>
      <c r="DW16" s="17">
        <f t="shared" si="106"/>
        <v>1.1472734004662104E-2</v>
      </c>
      <c r="DX16" s="17">
        <f t="shared" si="107"/>
        <v>0.1312424275609837</v>
      </c>
      <c r="DY16" s="17">
        <f t="shared" si="108"/>
        <v>0</v>
      </c>
      <c r="DZ16" s="17">
        <f t="shared" si="109"/>
        <v>0</v>
      </c>
      <c r="EA16" s="17">
        <f t="shared" si="110"/>
        <v>5.975382294094847E-3</v>
      </c>
      <c r="EB16" s="17">
        <f t="shared" si="111"/>
        <v>7.1704587529138148E-3</v>
      </c>
      <c r="EC16" s="17">
        <f t="shared" si="112"/>
        <v>0</v>
      </c>
      <c r="ED16" s="18">
        <f t="shared" si="113"/>
        <v>1</v>
      </c>
      <c r="EF16" s="17">
        <f t="shared" si="114"/>
        <v>0</v>
      </c>
      <c r="EG16" s="17">
        <f t="shared" si="115"/>
        <v>0.10729450933895744</v>
      </c>
      <c r="EH16" s="19">
        <f t="shared" si="116"/>
        <v>0.83689717284386811</v>
      </c>
      <c r="EI16" s="17">
        <f t="shared" si="117"/>
        <v>2.3843224297546099E-3</v>
      </c>
      <c r="EJ16" s="17">
        <f t="shared" si="118"/>
        <v>1.3367378567542436E-2</v>
      </c>
      <c r="EK16" s="17">
        <f t="shared" si="119"/>
        <v>0</v>
      </c>
      <c r="EL16" s="17">
        <f t="shared" si="120"/>
        <v>0</v>
      </c>
      <c r="EM16" s="17">
        <f t="shared" si="121"/>
        <v>3.5287971960368224E-2</v>
      </c>
      <c r="EN16" s="17">
        <f t="shared" si="122"/>
        <v>4.7686448595092197E-3</v>
      </c>
      <c r="EO16" s="17">
        <f t="shared" si="123"/>
        <v>0</v>
      </c>
      <c r="EP16" s="18">
        <f t="shared" si="124"/>
        <v>1</v>
      </c>
      <c r="ER16" s="17">
        <f t="shared" si="125"/>
        <v>3.5166240409207159E-3</v>
      </c>
      <c r="ES16" s="17">
        <f t="shared" si="126"/>
        <v>4.5076726342710996E-2</v>
      </c>
      <c r="ET16" s="19">
        <f t="shared" si="127"/>
        <v>0.91943734015345269</v>
      </c>
      <c r="EU16" s="17">
        <f t="shared" si="128"/>
        <v>6.3938618925831207E-4</v>
      </c>
      <c r="EV16" s="17">
        <f t="shared" si="129"/>
        <v>9.9104859335038369E-3</v>
      </c>
      <c r="EW16" s="17">
        <f t="shared" si="130"/>
        <v>0</v>
      </c>
      <c r="EX16" s="17">
        <f t="shared" si="131"/>
        <v>0</v>
      </c>
      <c r="EY16" s="17">
        <f t="shared" si="132"/>
        <v>1.5345268542199489E-2</v>
      </c>
      <c r="EZ16" s="17">
        <f t="shared" si="133"/>
        <v>6.0741687979539638E-3</v>
      </c>
      <c r="FA16" s="17">
        <f t="shared" si="134"/>
        <v>0</v>
      </c>
      <c r="FB16" s="18">
        <f t="shared" si="135"/>
        <v>1</v>
      </c>
    </row>
    <row r="17" spans="2:158" s="14" customFormat="1" x14ac:dyDescent="0.35">
      <c r="B17" s="14" t="s">
        <v>71</v>
      </c>
      <c r="D17" s="17">
        <f>IFERROR(D9/N9,0)</f>
        <v>0</v>
      </c>
      <c r="E17" s="17">
        <f>IFERROR(E9/N9,0)</f>
        <v>0</v>
      </c>
      <c r="F17" s="17">
        <f>IFERROR(F9/N9,0)</f>
        <v>0</v>
      </c>
      <c r="G17" s="17">
        <f>IFERROR(G9/N9,0)</f>
        <v>7.1149057274991104E-4</v>
      </c>
      <c r="H17" s="19">
        <f>IFERROR(H9/N9,0)</f>
        <v>0.97509782995375316</v>
      </c>
      <c r="I17" s="17">
        <f>IFERROR(I9/N9,0)</f>
        <v>0</v>
      </c>
      <c r="J17" s="17">
        <f>IFERROR(J9/N9,0)</f>
        <v>0</v>
      </c>
      <c r="K17" s="17">
        <f>IFERROR(K9/N9,0)</f>
        <v>0</v>
      </c>
      <c r="L17" s="17">
        <f>IFERROR(L9/N9,0)</f>
        <v>2.4190679473496977E-2</v>
      </c>
      <c r="M17" s="17">
        <f>IFERROR(M9/N9,0)</f>
        <v>0</v>
      </c>
      <c r="N17" s="29">
        <f>IFERROR(N9/N9,0)</f>
        <v>1</v>
      </c>
      <c r="P17" s="17">
        <f>IFERROR(P9/Z9,0)</f>
        <v>0</v>
      </c>
      <c r="Q17" s="17">
        <f>IFERROR(Q9/Z9,0)</f>
        <v>0</v>
      </c>
      <c r="R17" s="17">
        <f>IFERROR(R9/Z9,0)</f>
        <v>0</v>
      </c>
      <c r="S17" s="17">
        <f>IFERROR(S9/Z9,0)</f>
        <v>0</v>
      </c>
      <c r="T17" s="19">
        <f>IFERROR(T9/Z9,0)</f>
        <v>0.9941860465116279</v>
      </c>
      <c r="U17" s="17">
        <f>IFERROR(U9/Z9,0)</f>
        <v>0</v>
      </c>
      <c r="V17" s="17">
        <f>IFERROR(V9/Z9,0)</f>
        <v>0</v>
      </c>
      <c r="W17" s="17">
        <f>IFERROR(W9/Z9,0)</f>
        <v>0</v>
      </c>
      <c r="X17" s="17">
        <f>IFERROR(X9/Z9,0)</f>
        <v>5.8139534883720929E-3</v>
      </c>
      <c r="Y17" s="17">
        <f>IFERROR(Y9/Z9,0)</f>
        <v>0</v>
      </c>
      <c r="Z17" s="18">
        <f>IFERROR(Z9/Z9,0)</f>
        <v>1</v>
      </c>
      <c r="AB17" s="17">
        <f>IFERROR(AB9/AL9,0)</f>
        <v>0</v>
      </c>
      <c r="AC17" s="17">
        <f>IFERROR(AC9/AL9,0)</f>
        <v>0</v>
      </c>
      <c r="AD17" s="17">
        <f>IFERROR(AD9/AL9,0)</f>
        <v>0</v>
      </c>
      <c r="AE17" s="17">
        <f>IFERROR(AE9/AL9,0)</f>
        <v>0</v>
      </c>
      <c r="AF17" s="19">
        <f>IFERROR(AF9/AL9,0)</f>
        <v>0.7142857142857143</v>
      </c>
      <c r="AG17" s="17">
        <f>IFERROR(AG9/AL9,0)</f>
        <v>0</v>
      </c>
      <c r="AH17" s="17">
        <f>IFERROR(AH9/AL9,0)</f>
        <v>0</v>
      </c>
      <c r="AI17" s="17">
        <f>IFERROR(AI9/AL9,0)</f>
        <v>0</v>
      </c>
      <c r="AJ17" s="17">
        <f>IFERROR(AJ9/AL9,0)</f>
        <v>0.2857142857142857</v>
      </c>
      <c r="AK17" s="17">
        <f>IFERROR(AK9/AL9,0)</f>
        <v>0</v>
      </c>
      <c r="AL17" s="18">
        <f>IFERROR(AL9/AL9,0)</f>
        <v>1</v>
      </c>
      <c r="AN17" s="17">
        <f t="shared" si="26"/>
        <v>0</v>
      </c>
      <c r="AO17" s="17">
        <f t="shared" si="27"/>
        <v>0</v>
      </c>
      <c r="AP17" s="17">
        <f t="shared" si="28"/>
        <v>0</v>
      </c>
      <c r="AQ17" s="17">
        <f t="shared" si="29"/>
        <v>0</v>
      </c>
      <c r="AR17" s="19">
        <f t="shared" si="30"/>
        <v>0.96452702702702697</v>
      </c>
      <c r="AS17" s="17">
        <f t="shared" si="31"/>
        <v>0</v>
      </c>
      <c r="AT17" s="17">
        <f t="shared" si="32"/>
        <v>0</v>
      </c>
      <c r="AU17" s="17">
        <f t="shared" si="33"/>
        <v>0</v>
      </c>
      <c r="AV17" s="17">
        <f t="shared" si="34"/>
        <v>3.5472972972972971E-2</v>
      </c>
      <c r="AW17" s="17">
        <f t="shared" si="35"/>
        <v>0</v>
      </c>
      <c r="AX17" s="18">
        <f t="shared" si="36"/>
        <v>1</v>
      </c>
      <c r="AZ17" s="17">
        <f t="shared" si="37"/>
        <v>0</v>
      </c>
      <c r="BA17" s="17">
        <f t="shared" si="38"/>
        <v>0</v>
      </c>
      <c r="BB17" s="17">
        <f t="shared" si="39"/>
        <v>0</v>
      </c>
      <c r="BC17" s="17">
        <f t="shared" si="40"/>
        <v>0</v>
      </c>
      <c r="BD17" s="19">
        <f t="shared" si="41"/>
        <v>0.9931640625</v>
      </c>
      <c r="BE17" s="17">
        <f t="shared" si="42"/>
        <v>0</v>
      </c>
      <c r="BF17" s="17">
        <f t="shared" si="43"/>
        <v>0</v>
      </c>
      <c r="BG17" s="17">
        <f t="shared" si="44"/>
        <v>0</v>
      </c>
      <c r="BH17" s="17">
        <f t="shared" si="45"/>
        <v>6.8359375E-3</v>
      </c>
      <c r="BI17" s="17">
        <f t="shared" si="46"/>
        <v>0</v>
      </c>
      <c r="BJ17" s="18">
        <f t="shared" si="47"/>
        <v>1</v>
      </c>
      <c r="BL17" s="17">
        <f t="shared" si="48"/>
        <v>0</v>
      </c>
      <c r="BM17" s="17">
        <f t="shared" si="49"/>
        <v>0</v>
      </c>
      <c r="BN17" s="17">
        <f t="shared" si="50"/>
        <v>0</v>
      </c>
      <c r="BO17" s="17">
        <f t="shared" si="51"/>
        <v>0</v>
      </c>
      <c r="BP17" s="19">
        <f t="shared" si="52"/>
        <v>0</v>
      </c>
      <c r="BQ17" s="17">
        <f t="shared" si="53"/>
        <v>0</v>
      </c>
      <c r="BR17" s="17">
        <f t="shared" si="54"/>
        <v>0</v>
      </c>
      <c r="BS17" s="17">
        <f t="shared" si="55"/>
        <v>0</v>
      </c>
      <c r="BT17" s="17">
        <f t="shared" si="56"/>
        <v>0</v>
      </c>
      <c r="BU17" s="17">
        <f t="shared" si="57"/>
        <v>0</v>
      </c>
      <c r="BV17" s="18">
        <f t="shared" si="58"/>
        <v>0</v>
      </c>
      <c r="BX17" s="17">
        <f t="shared" si="59"/>
        <v>0</v>
      </c>
      <c r="BY17" s="17">
        <f t="shared" si="60"/>
        <v>0</v>
      </c>
      <c r="BZ17" s="17">
        <f t="shared" si="61"/>
        <v>0</v>
      </c>
      <c r="CA17" s="17">
        <f t="shared" si="62"/>
        <v>0</v>
      </c>
      <c r="CB17" s="19">
        <f t="shared" si="63"/>
        <v>0</v>
      </c>
      <c r="CC17" s="17">
        <f t="shared" si="64"/>
        <v>0</v>
      </c>
      <c r="CD17" s="17">
        <f t="shared" si="65"/>
        <v>0</v>
      </c>
      <c r="CE17" s="17">
        <f t="shared" si="66"/>
        <v>0</v>
      </c>
      <c r="CF17" s="17">
        <f t="shared" si="67"/>
        <v>0</v>
      </c>
      <c r="CG17" s="17">
        <f t="shared" si="68"/>
        <v>0</v>
      </c>
      <c r="CH17" s="18">
        <f t="shared" si="69"/>
        <v>0</v>
      </c>
      <c r="CJ17" s="17">
        <f t="shared" si="70"/>
        <v>0</v>
      </c>
      <c r="CK17" s="17">
        <f t="shared" si="71"/>
        <v>0</v>
      </c>
      <c r="CL17" s="17">
        <f t="shared" si="72"/>
        <v>0</v>
      </c>
      <c r="CM17" s="17">
        <f t="shared" si="73"/>
        <v>0</v>
      </c>
      <c r="CN17" s="19">
        <f t="shared" si="74"/>
        <v>0</v>
      </c>
      <c r="CO17" s="17">
        <f t="shared" si="75"/>
        <v>0</v>
      </c>
      <c r="CP17" s="17">
        <f t="shared" si="76"/>
        <v>0</v>
      </c>
      <c r="CQ17" s="17">
        <f t="shared" si="77"/>
        <v>0</v>
      </c>
      <c r="CR17" s="17">
        <f t="shared" si="78"/>
        <v>0</v>
      </c>
      <c r="CS17" s="17">
        <f t="shared" si="79"/>
        <v>0</v>
      </c>
      <c r="CT17" s="18">
        <f t="shared" si="80"/>
        <v>0</v>
      </c>
      <c r="CV17" s="17">
        <f t="shared" si="81"/>
        <v>0</v>
      </c>
      <c r="CW17" s="17">
        <f t="shared" si="82"/>
        <v>0</v>
      </c>
      <c r="CX17" s="17">
        <f t="shared" si="83"/>
        <v>0</v>
      </c>
      <c r="CY17" s="17">
        <f t="shared" si="84"/>
        <v>0</v>
      </c>
      <c r="CZ17" s="19">
        <f t="shared" si="85"/>
        <v>0</v>
      </c>
      <c r="DA17" s="17">
        <f t="shared" si="86"/>
        <v>0</v>
      </c>
      <c r="DB17" s="17">
        <f t="shared" si="87"/>
        <v>0</v>
      </c>
      <c r="DC17" s="17">
        <f t="shared" si="88"/>
        <v>0</v>
      </c>
      <c r="DD17" s="17">
        <f t="shared" si="89"/>
        <v>0</v>
      </c>
      <c r="DE17" s="17">
        <f t="shared" si="90"/>
        <v>0</v>
      </c>
      <c r="DF17" s="18">
        <f t="shared" si="91"/>
        <v>0</v>
      </c>
      <c r="DH17" s="17">
        <f t="shared" si="92"/>
        <v>0</v>
      </c>
      <c r="DI17" s="17">
        <f t="shared" si="93"/>
        <v>0</v>
      </c>
      <c r="DJ17" s="17">
        <f t="shared" si="94"/>
        <v>0</v>
      </c>
      <c r="DK17" s="17">
        <f t="shared" si="95"/>
        <v>0</v>
      </c>
      <c r="DL17" s="19">
        <f t="shared" si="96"/>
        <v>1</v>
      </c>
      <c r="DM17" s="17">
        <f t="shared" si="97"/>
        <v>0</v>
      </c>
      <c r="DN17" s="17">
        <f t="shared" si="98"/>
        <v>0</v>
      </c>
      <c r="DO17" s="17">
        <f t="shared" si="99"/>
        <v>0</v>
      </c>
      <c r="DP17" s="17">
        <f t="shared" si="100"/>
        <v>0</v>
      </c>
      <c r="DQ17" s="17">
        <f t="shared" si="101"/>
        <v>0</v>
      </c>
      <c r="DR17" s="18">
        <f t="shared" si="102"/>
        <v>1</v>
      </c>
      <c r="DT17" s="17">
        <f t="shared" si="103"/>
        <v>0</v>
      </c>
      <c r="DU17" s="17">
        <f t="shared" si="104"/>
        <v>0</v>
      </c>
      <c r="DV17" s="17">
        <f t="shared" si="105"/>
        <v>0</v>
      </c>
      <c r="DW17" s="17">
        <f t="shared" si="106"/>
        <v>0</v>
      </c>
      <c r="DX17" s="19">
        <f t="shared" si="107"/>
        <v>0.76744186046511631</v>
      </c>
      <c r="DY17" s="17">
        <f t="shared" si="108"/>
        <v>0</v>
      </c>
      <c r="DZ17" s="17">
        <f t="shared" si="109"/>
        <v>0</v>
      </c>
      <c r="EA17" s="17">
        <f t="shared" si="110"/>
        <v>0</v>
      </c>
      <c r="EB17" s="17">
        <f t="shared" si="111"/>
        <v>0.23255813953488372</v>
      </c>
      <c r="EC17" s="17">
        <f t="shared" si="112"/>
        <v>0</v>
      </c>
      <c r="ED17" s="18">
        <f t="shared" si="113"/>
        <v>1</v>
      </c>
      <c r="EF17" s="17">
        <f t="shared" si="114"/>
        <v>0</v>
      </c>
      <c r="EG17" s="17">
        <f t="shared" si="115"/>
        <v>0</v>
      </c>
      <c r="EH17" s="17">
        <f t="shared" si="116"/>
        <v>0</v>
      </c>
      <c r="EI17" s="17">
        <f t="shared" si="117"/>
        <v>1.1627906976744186E-2</v>
      </c>
      <c r="EJ17" s="19">
        <f t="shared" si="118"/>
        <v>0.98837209302325579</v>
      </c>
      <c r="EK17" s="17">
        <f t="shared" si="119"/>
        <v>0</v>
      </c>
      <c r="EL17" s="17">
        <f t="shared" si="120"/>
        <v>0</v>
      </c>
      <c r="EM17" s="17">
        <f t="shared" si="121"/>
        <v>0</v>
      </c>
      <c r="EN17" s="17">
        <f t="shared" si="122"/>
        <v>0</v>
      </c>
      <c r="EO17" s="17">
        <f t="shared" si="123"/>
        <v>0</v>
      </c>
      <c r="EP17" s="18">
        <f t="shared" si="124"/>
        <v>1</v>
      </c>
      <c r="ER17" s="17">
        <f t="shared" si="125"/>
        <v>0</v>
      </c>
      <c r="ES17" s="17">
        <f t="shared" si="126"/>
        <v>0</v>
      </c>
      <c r="ET17" s="17">
        <f t="shared" si="127"/>
        <v>0</v>
      </c>
      <c r="EU17" s="17">
        <f t="shared" si="128"/>
        <v>2.05761316872428E-3</v>
      </c>
      <c r="EV17" s="19">
        <f t="shared" si="129"/>
        <v>0.98559670781893005</v>
      </c>
      <c r="EW17" s="17">
        <f t="shared" si="130"/>
        <v>0</v>
      </c>
      <c r="EX17" s="17">
        <f t="shared" si="131"/>
        <v>0</v>
      </c>
      <c r="EY17" s="17">
        <f t="shared" si="132"/>
        <v>0</v>
      </c>
      <c r="EZ17" s="17">
        <f t="shared" si="133"/>
        <v>1.2345679012345678E-2</v>
      </c>
      <c r="FA17" s="17">
        <f t="shared" si="134"/>
        <v>0</v>
      </c>
      <c r="FB17" s="18">
        <f t="shared" si="135"/>
        <v>1</v>
      </c>
    </row>
    <row r="18" spans="2:158" x14ac:dyDescent="0.35">
      <c r="B18" s="30" t="s">
        <v>98</v>
      </c>
      <c r="C18" s="31"/>
      <c r="D18" s="32">
        <f>IFERROR(D10/N10,0)</f>
        <v>0.15578591860459776</v>
      </c>
      <c r="E18" s="32">
        <f>IFERROR(E10/N10,0)</f>
        <v>0.19783141266390733</v>
      </c>
      <c r="F18" s="32">
        <f>IFERROR(F10/N10,0)</f>
        <v>0.55662131021706429</v>
      </c>
      <c r="G18" s="32">
        <f>IFERROR(G10/N10,0)</f>
        <v>1.0414238924100297E-2</v>
      </c>
      <c r="H18" s="32">
        <f>IFERROR(H10/N10,0)</f>
        <v>6.5511942598377601E-2</v>
      </c>
      <c r="I18" s="32">
        <f>IFERROR(I10/N10,0)</f>
        <v>1.2389993476054056E-3</v>
      </c>
      <c r="J18" s="32">
        <f>IFERROR(J10/N10,0)</f>
        <v>2.0024231880491402E-3</v>
      </c>
      <c r="K18" s="32">
        <f>IFERROR(K10/N10,0)</f>
        <v>6.8207539842923834E-3</v>
      </c>
      <c r="L18" s="32">
        <f>IFERROR(L10/N10,0)</f>
        <v>3.7730004720058466E-3</v>
      </c>
      <c r="M18" s="32">
        <f>IFERROR(M10/N10,0)</f>
        <v>0</v>
      </c>
      <c r="N18" s="33">
        <f>IFERROR(N10/N10,0)</f>
        <v>1</v>
      </c>
      <c r="P18" s="32">
        <f>IFERROR(P10/Z10,0)</f>
        <v>0.10091007345058071</v>
      </c>
      <c r="Q18" s="32">
        <f>IFERROR(Q10/Z10,0)</f>
        <v>0.11266867526898894</v>
      </c>
      <c r="R18" s="32">
        <f>IFERROR(R10/Z10,0)</f>
        <v>0.70940573626663828</v>
      </c>
      <c r="S18" s="32">
        <f>IFERROR(S10/Z10,0)</f>
        <v>1.8929764054195428E-2</v>
      </c>
      <c r="T18" s="32">
        <f>IFERROR(T10/Z10,0)</f>
        <v>5.2449280079319462E-2</v>
      </c>
      <c r="U18" s="32">
        <f>IFERROR(U10/Z10,0)</f>
        <v>1.225992113917181E-4</v>
      </c>
      <c r="V18" s="32">
        <f>IFERROR(V10/Z10,0)</f>
        <v>9.8079369113374484E-4</v>
      </c>
      <c r="W18" s="32">
        <f>IFERROR(W10/Z10,0)</f>
        <v>2.0841865936592078E-3</v>
      </c>
      <c r="X18" s="32">
        <f>IFERROR(X10/Z10,0)</f>
        <v>2.4488913840924349E-3</v>
      </c>
      <c r="Y18" s="32">
        <f>IFERROR(Y10/Z10,0)</f>
        <v>0</v>
      </c>
      <c r="Z18" s="33">
        <f>IFERROR(Z10/Z10,0)</f>
        <v>1</v>
      </c>
      <c r="AB18" s="32">
        <f>IFERROR(AB10/AL10,0)</f>
        <v>0.17041323853957718</v>
      </c>
      <c r="AC18" s="32">
        <f>IFERROR(AC10/AL10,0)</f>
        <v>0.17046221368285738</v>
      </c>
      <c r="AD18" s="32">
        <f>IFERROR(AD10/AL10,0)</f>
        <v>0.60034943046853739</v>
      </c>
      <c r="AE18" s="32">
        <f>IFERROR(AE10/AL10,0)</f>
        <v>2.5093778625333133E-2</v>
      </c>
      <c r="AF18" s="32">
        <f>IFERROR(AF10/AL10,0)</f>
        <v>1.6659684651126286E-2</v>
      </c>
      <c r="AG18" s="32">
        <f>IFERROR(AG10/AL10,0)</f>
        <v>7.0192387763169607E-4</v>
      </c>
      <c r="AH18" s="32">
        <f>IFERROR(AH10/AL10,0)</f>
        <v>4.7379861740139487E-3</v>
      </c>
      <c r="AI18" s="32">
        <f>IFERROR(AI10/AL10,0)</f>
        <v>8.2476055621724283E-3</v>
      </c>
      <c r="AJ18" s="32">
        <f>IFERROR(AJ10/AL10,0)</f>
        <v>3.3341384187505563E-3</v>
      </c>
      <c r="AK18" s="32">
        <f>IFERROR(AK10/AL10,0)</f>
        <v>0</v>
      </c>
      <c r="AL18" s="33">
        <f>IFERROR(AL10/AL10,0)</f>
        <v>1</v>
      </c>
      <c r="AN18" s="32">
        <f>IFERROR(AN10/AX10,0)</f>
        <v>5.9375216226858971E-2</v>
      </c>
      <c r="AO18" s="32">
        <f>IFERROR(AO10/AX10,0)</f>
        <v>0.21857252416397413</v>
      </c>
      <c r="AP18" s="32">
        <f>IFERROR(AP10/AX10,0)</f>
        <v>0.63927337269703666</v>
      </c>
      <c r="AQ18" s="32">
        <f>IFERROR(AQ10/AX10,0)</f>
        <v>1.0759267369967733E-2</v>
      </c>
      <c r="AR18" s="32">
        <f>IFERROR(AR10/AX10,0)</f>
        <v>6.5643757396996322E-2</v>
      </c>
      <c r="AS18" s="32">
        <f>IFERROR(AS10/AX10,0)</f>
        <v>0</v>
      </c>
      <c r="AT18" s="32">
        <f>IFERROR(AT10/AX10,0)</f>
        <v>2.0920797663826146E-3</v>
      </c>
      <c r="AU18" s="32">
        <f>IFERROR(AU10/AX10,0)</f>
        <v>1.4943426902732963E-3</v>
      </c>
      <c r="AV18" s="32">
        <f>IFERROR(AV10/AX10,0)</f>
        <v>2.7894396885101529E-3</v>
      </c>
      <c r="AW18" s="32">
        <f>IFERROR(AW10/AX10,0)</f>
        <v>0</v>
      </c>
      <c r="AX18" s="33">
        <f>IFERROR(AX10/AX10,0)</f>
        <v>1</v>
      </c>
      <c r="AZ18" s="32">
        <f>IFERROR(AZ10/BJ10,0)</f>
        <v>9.8285628390374455E-2</v>
      </c>
      <c r="BA18" s="32">
        <f>IFERROR(BA10/BJ10,0)</f>
        <v>0.19209743170078314</v>
      </c>
      <c r="BB18" s="32">
        <f>IFERROR(BB10/BJ10,0)</f>
        <v>0.57388252818540797</v>
      </c>
      <c r="BC18" s="32">
        <f>IFERROR(BC10/BJ10,0)</f>
        <v>4.727384810722708E-3</v>
      </c>
      <c r="BD18" s="32">
        <f>IFERROR(BD10/BJ10,0)</f>
        <v>0.12143732087409245</v>
      </c>
      <c r="BE18" s="32">
        <f>IFERROR(BE10/BJ10,0)</f>
        <v>2.1987836328942828E-4</v>
      </c>
      <c r="BF18" s="32">
        <f>IFERROR(BF10/BJ10,0)</f>
        <v>3.5180538126308543E-3</v>
      </c>
      <c r="BG18" s="32">
        <f>IFERROR(BG10/BJ10,0)</f>
        <v>2.5286011778284253E-3</v>
      </c>
      <c r="BH18" s="32">
        <f>IFERROR(BH10/BJ10,0)</f>
        <v>3.3031726848707296E-3</v>
      </c>
      <c r="BI18" s="32">
        <f>IFERROR(BI10/BJ10,0)</f>
        <v>0</v>
      </c>
      <c r="BJ18" s="33">
        <f>IFERROR(BJ10/BJ10,0)</f>
        <v>1</v>
      </c>
      <c r="BL18" s="32">
        <f t="shared" si="48"/>
        <v>6.6945024356297844E-2</v>
      </c>
      <c r="BM18" s="32">
        <f t="shared" si="49"/>
        <v>0.25789839944328463</v>
      </c>
      <c r="BN18" s="32">
        <f t="shared" si="50"/>
        <v>0.59665970772442589</v>
      </c>
      <c r="BO18" s="32">
        <f t="shared" si="51"/>
        <v>3.0758524704244956E-2</v>
      </c>
      <c r="BP18" s="32">
        <f t="shared" si="52"/>
        <v>4.0779401530967284E-2</v>
      </c>
      <c r="BQ18" s="32">
        <f t="shared" si="53"/>
        <v>1.3917884481558804E-4</v>
      </c>
      <c r="BR18" s="32">
        <f t="shared" si="54"/>
        <v>1.3917884481558804E-3</v>
      </c>
      <c r="BS18" s="32">
        <f t="shared" si="55"/>
        <v>4.4537230340988172E-3</v>
      </c>
      <c r="BT18" s="32">
        <f t="shared" si="56"/>
        <v>9.7425191370911605E-4</v>
      </c>
      <c r="BU18" s="32">
        <f t="shared" si="57"/>
        <v>0</v>
      </c>
      <c r="BV18" s="33">
        <f t="shared" si="58"/>
        <v>1</v>
      </c>
      <c r="BX18" s="32">
        <f t="shared" si="59"/>
        <v>8.9986821493398331E-2</v>
      </c>
      <c r="BY18" s="32">
        <f t="shared" si="60"/>
        <v>0.31016734216873465</v>
      </c>
      <c r="BZ18" s="32">
        <f t="shared" si="61"/>
        <v>0.5272024268344232</v>
      </c>
      <c r="CA18" s="32">
        <f t="shared" si="62"/>
        <v>1.3128776388094589E-2</v>
      </c>
      <c r="CB18" s="32">
        <f t="shared" si="63"/>
        <v>5.007832508640625E-2</v>
      </c>
      <c r="CC18" s="32">
        <f t="shared" si="64"/>
        <v>1.0940646990078825E-3</v>
      </c>
      <c r="CD18" s="32">
        <f t="shared" si="65"/>
        <v>2.0513713106397793E-3</v>
      </c>
      <c r="CE18" s="32">
        <f t="shared" si="66"/>
        <v>3.9659845339035738E-3</v>
      </c>
      <c r="CF18" s="32">
        <f t="shared" si="67"/>
        <v>2.3248874853917501E-3</v>
      </c>
      <c r="CG18" s="32">
        <f t="shared" si="68"/>
        <v>0</v>
      </c>
      <c r="CH18" s="33">
        <f t="shared" si="69"/>
        <v>1</v>
      </c>
      <c r="CJ18" s="32">
        <f t="shared" si="70"/>
        <v>0.16561426116838487</v>
      </c>
      <c r="CK18" s="32">
        <f t="shared" si="71"/>
        <v>0.31232817869415808</v>
      </c>
      <c r="CL18" s="32">
        <f t="shared" si="72"/>
        <v>0.46754725085910653</v>
      </c>
      <c r="CM18" s="32">
        <f t="shared" si="73"/>
        <v>7.0876288659793812E-4</v>
      </c>
      <c r="CN18" s="32">
        <f t="shared" si="74"/>
        <v>2.0962199312714775E-2</v>
      </c>
      <c r="CO18" s="32">
        <f t="shared" si="75"/>
        <v>2.3625429553264603E-3</v>
      </c>
      <c r="CP18" s="32">
        <f t="shared" si="76"/>
        <v>2.5987972508591064E-3</v>
      </c>
      <c r="CQ18" s="32">
        <f t="shared" si="77"/>
        <v>2.4334192439862547E-2</v>
      </c>
      <c r="CR18" s="32">
        <f t="shared" si="78"/>
        <v>3.5438144329896907E-3</v>
      </c>
      <c r="CS18" s="32">
        <f t="shared" si="79"/>
        <v>0</v>
      </c>
      <c r="CT18" s="33">
        <f t="shared" si="80"/>
        <v>1</v>
      </c>
      <c r="CV18" s="32">
        <f t="shared" si="81"/>
        <v>0.2098655670331343</v>
      </c>
      <c r="CW18" s="32">
        <f t="shared" si="82"/>
        <v>0.23620280489576775</v>
      </c>
      <c r="CX18" s="32">
        <f t="shared" si="83"/>
        <v>0.50204088339687125</v>
      </c>
      <c r="CY18" s="32">
        <f t="shared" si="84"/>
        <v>3.8053593297032512E-4</v>
      </c>
      <c r="CZ18" s="32">
        <f t="shared" si="85"/>
        <v>2.5927815792933101E-2</v>
      </c>
      <c r="DA18" s="32">
        <f t="shared" si="86"/>
        <v>0</v>
      </c>
      <c r="DB18" s="32">
        <f t="shared" si="87"/>
        <v>2.6637515307922754E-3</v>
      </c>
      <c r="DC18" s="32">
        <f t="shared" si="88"/>
        <v>1.8075456816090445E-2</v>
      </c>
      <c r="DD18" s="32">
        <f t="shared" si="89"/>
        <v>4.8431846014405011E-3</v>
      </c>
      <c r="DE18" s="32">
        <f t="shared" si="90"/>
        <v>0</v>
      </c>
      <c r="DF18" s="33">
        <f t="shared" si="91"/>
        <v>1</v>
      </c>
      <c r="DH18" s="32">
        <f t="shared" si="92"/>
        <v>0.26150155401667879</v>
      </c>
      <c r="DI18" s="32">
        <f t="shared" si="93"/>
        <v>0.18228985902440456</v>
      </c>
      <c r="DJ18" s="32">
        <f t="shared" si="94"/>
        <v>0.47780997377032558</v>
      </c>
      <c r="DK18" s="32">
        <f t="shared" si="95"/>
        <v>6.7922481562773709E-4</v>
      </c>
      <c r="DL18" s="32">
        <f t="shared" si="96"/>
        <v>7.0612377497248732E-2</v>
      </c>
      <c r="DM18" s="32">
        <f t="shared" si="97"/>
        <v>0</v>
      </c>
      <c r="DN18" s="32">
        <f t="shared" si="98"/>
        <v>1.6400794328572188E-3</v>
      </c>
      <c r="DO18" s="32">
        <f t="shared" si="99"/>
        <v>4.0090830580954235E-3</v>
      </c>
      <c r="DP18" s="32">
        <f t="shared" si="100"/>
        <v>1.4578483847619724E-3</v>
      </c>
      <c r="DQ18" s="32">
        <f t="shared" si="101"/>
        <v>0</v>
      </c>
      <c r="DR18" s="33">
        <f t="shared" si="102"/>
        <v>1</v>
      </c>
      <c r="DT18" s="32">
        <f t="shared" si="103"/>
        <v>0.20309027752431585</v>
      </c>
      <c r="DU18" s="32">
        <f t="shared" si="104"/>
        <v>9.8956177096379397E-2</v>
      </c>
      <c r="DV18" s="32">
        <f t="shared" si="105"/>
        <v>0.53496540809342508</v>
      </c>
      <c r="DW18" s="32">
        <f t="shared" si="106"/>
        <v>7.4943627167273425E-3</v>
      </c>
      <c r="DX18" s="32">
        <f t="shared" si="107"/>
        <v>0.12735167783695175</v>
      </c>
      <c r="DY18" s="32">
        <f t="shared" si="108"/>
        <v>8.2590936061893161E-3</v>
      </c>
      <c r="DZ18" s="32">
        <f t="shared" si="109"/>
        <v>1.682407956816342E-3</v>
      </c>
      <c r="EA18" s="32">
        <f t="shared" si="110"/>
        <v>6.1178471156957898E-3</v>
      </c>
      <c r="EB18" s="32">
        <f t="shared" si="111"/>
        <v>1.2082748053499183E-2</v>
      </c>
      <c r="EC18" s="32">
        <f t="shared" si="112"/>
        <v>0</v>
      </c>
      <c r="ED18" s="33">
        <f t="shared" si="113"/>
        <v>1</v>
      </c>
      <c r="EF18" s="32">
        <f t="shared" si="114"/>
        <v>0.32848158720335735</v>
      </c>
      <c r="EG18" s="32">
        <f t="shared" si="115"/>
        <v>0.25356760101884623</v>
      </c>
      <c r="EH18" s="32">
        <f t="shared" si="116"/>
        <v>0.34581413092405855</v>
      </c>
      <c r="EI18" s="32">
        <f t="shared" si="117"/>
        <v>1.1270422517894356E-3</v>
      </c>
      <c r="EJ18" s="32">
        <f t="shared" si="118"/>
        <v>5.354048369921223E-2</v>
      </c>
      <c r="EK18" s="32">
        <f t="shared" si="119"/>
        <v>3.7568075059647856E-4</v>
      </c>
      <c r="EL18" s="32">
        <f t="shared" si="120"/>
        <v>0</v>
      </c>
      <c r="EM18" s="32">
        <f t="shared" si="121"/>
        <v>1.3900187772069706E-2</v>
      </c>
      <c r="EN18" s="32">
        <f t="shared" si="122"/>
        <v>3.1932863800700679E-3</v>
      </c>
      <c r="EO18" s="32">
        <f t="shared" si="123"/>
        <v>0</v>
      </c>
      <c r="EP18" s="33">
        <f t="shared" si="124"/>
        <v>1</v>
      </c>
      <c r="ER18" s="32">
        <f t="shared" si="125"/>
        <v>0.30632729879906795</v>
      </c>
      <c r="ES18" s="32">
        <f t="shared" si="126"/>
        <v>5.2697616060225848E-2</v>
      </c>
      <c r="ET18" s="32">
        <f t="shared" si="127"/>
        <v>0.52177809643305251</v>
      </c>
      <c r="EU18" s="32">
        <f t="shared" si="128"/>
        <v>5.3773077612475359E-4</v>
      </c>
      <c r="EV18" s="32">
        <f t="shared" si="129"/>
        <v>0.10019716795124574</v>
      </c>
      <c r="EW18" s="32">
        <f t="shared" si="130"/>
        <v>3.0471410647069366E-3</v>
      </c>
      <c r="EX18" s="32">
        <f t="shared" si="131"/>
        <v>3.5848718408316895E-4</v>
      </c>
      <c r="EY18" s="32">
        <f t="shared" si="132"/>
        <v>8.6036924179960575E-3</v>
      </c>
      <c r="EZ18" s="32">
        <f t="shared" si="133"/>
        <v>6.4527693134970423E-3</v>
      </c>
      <c r="FA18" s="32">
        <f t="shared" si="134"/>
        <v>0</v>
      </c>
      <c r="FB18" s="33">
        <f t="shared" si="135"/>
        <v>1</v>
      </c>
    </row>
    <row r="19" spans="2:158" x14ac:dyDescent="0.35">
      <c r="L19" s="2"/>
    </row>
    <row r="20" spans="2:158" ht="15" thickBot="1" x14ac:dyDescent="0.4">
      <c r="B20" s="15" t="s">
        <v>97</v>
      </c>
      <c r="L20" s="2"/>
    </row>
    <row r="21" spans="2:158" x14ac:dyDescent="0.35">
      <c r="B21" s="14" t="s">
        <v>68</v>
      </c>
      <c r="D21" s="26">
        <f>D6/D$10</f>
        <v>0.97430446042602226</v>
      </c>
      <c r="E21" s="23">
        <f t="shared" ref="E21:BK25" si="136">E6/E$10</f>
        <v>3.4701899811117917E-2</v>
      </c>
      <c r="F21" s="23">
        <f t="shared" si="136"/>
        <v>4.0688300486065969E-3</v>
      </c>
      <c r="G21" s="23">
        <f t="shared" si="136"/>
        <v>1.9227743886451432E-2</v>
      </c>
      <c r="H21" s="23">
        <f t="shared" si="136"/>
        <v>0.13719924950606319</v>
      </c>
      <c r="I21" s="27">
        <f t="shared" si="136"/>
        <v>0.9494949494949495</v>
      </c>
      <c r="J21" s="23">
        <f t="shared" si="136"/>
        <v>0.13125000000000001</v>
      </c>
      <c r="K21" s="23">
        <f t="shared" si="136"/>
        <v>6.6055045871559637E-2</v>
      </c>
      <c r="L21" s="23">
        <f t="shared" si="136"/>
        <v>0.21711450302264096</v>
      </c>
      <c r="M21" s="23" t="e">
        <f t="shared" si="136"/>
        <v>#DIV/0!</v>
      </c>
      <c r="N21" s="28">
        <f t="shared" si="136"/>
        <v>0.17281023042557736</v>
      </c>
      <c r="O21" s="23" t="e">
        <f t="shared" si="136"/>
        <v>#DIV/0!</v>
      </c>
      <c r="P21" s="26">
        <f t="shared" si="136"/>
        <v>0.98906558220804552</v>
      </c>
      <c r="Q21" s="23">
        <f t="shared" si="136"/>
        <v>1.7410228509249184E-2</v>
      </c>
      <c r="R21" s="23">
        <f t="shared" si="136"/>
        <v>3.3951194803974666E-4</v>
      </c>
      <c r="S21" s="23">
        <f t="shared" si="136"/>
        <v>3.2382657026447798E-2</v>
      </c>
      <c r="T21" s="23">
        <f t="shared" si="136"/>
        <v>9.3499252005983954E-2</v>
      </c>
      <c r="U21" s="27">
        <f>U6/U$10</f>
        <v>1</v>
      </c>
      <c r="V21" s="23">
        <f t="shared" si="136"/>
        <v>0.25</v>
      </c>
      <c r="W21" s="23">
        <f t="shared" si="136"/>
        <v>0</v>
      </c>
      <c r="X21" s="23">
        <f t="shared" si="136"/>
        <v>0</v>
      </c>
      <c r="Y21" s="23" t="e">
        <f t="shared" si="136"/>
        <v>#DIV/0!</v>
      </c>
      <c r="Z21" s="28">
        <f t="shared" si="136"/>
        <v>0.10789388180059567</v>
      </c>
      <c r="AA21" s="23" t="e">
        <f t="shared" si="136"/>
        <v>#DIV/0!</v>
      </c>
      <c r="AB21" s="26">
        <f t="shared" si="136"/>
        <v>0.99897026210573914</v>
      </c>
      <c r="AC21" s="23">
        <f t="shared" si="136"/>
        <v>6.0737080502367716E-2</v>
      </c>
      <c r="AD21" s="23">
        <f t="shared" si="136"/>
        <v>5.8459610520816667E-4</v>
      </c>
      <c r="AE21" s="23">
        <f t="shared" si="136"/>
        <v>4.195804195804196E-2</v>
      </c>
      <c r="AF21" s="23">
        <f t="shared" si="136"/>
        <v>0.54773008014861491</v>
      </c>
      <c r="AG21" s="27">
        <f t="shared" si="136"/>
        <v>1</v>
      </c>
      <c r="AH21" s="23">
        <f t="shared" si="136"/>
        <v>0.14814814814814814</v>
      </c>
      <c r="AI21" s="23">
        <f t="shared" si="136"/>
        <v>0</v>
      </c>
      <c r="AJ21" s="23">
        <f t="shared" si="136"/>
        <v>0.21052631578947367</v>
      </c>
      <c r="AK21" s="23" t="e">
        <f t="shared" si="136"/>
        <v>#DIV/0!</v>
      </c>
      <c r="AL21" s="28">
        <f t="shared" si="136"/>
        <v>0.19322576456260732</v>
      </c>
      <c r="AM21" s="23" t="e">
        <f t="shared" si="136"/>
        <v>#DIV/0!</v>
      </c>
      <c r="AN21" s="26">
        <f t="shared" si="136"/>
        <v>0.98322147651006708</v>
      </c>
      <c r="AO21" s="23">
        <f t="shared" si="136"/>
        <v>4.5578851412944391E-3</v>
      </c>
      <c r="AP21" s="23">
        <f t="shared" si="136"/>
        <v>1.5583762795863052E-4</v>
      </c>
      <c r="AQ21" s="23">
        <f t="shared" si="136"/>
        <v>0</v>
      </c>
      <c r="AR21" s="23">
        <f t="shared" si="136"/>
        <v>1.517628636272704E-2</v>
      </c>
      <c r="AS21" s="27" t="e">
        <f t="shared" si="136"/>
        <v>#DIV/0!</v>
      </c>
      <c r="AT21" s="23">
        <f t="shared" si="136"/>
        <v>0.28571428571428575</v>
      </c>
      <c r="AU21" s="23">
        <f t="shared" si="136"/>
        <v>0</v>
      </c>
      <c r="AV21" s="23">
        <f t="shared" si="136"/>
        <v>0</v>
      </c>
      <c r="AW21" s="23" t="e">
        <f t="shared" si="136"/>
        <v>#DIV/0!</v>
      </c>
      <c r="AX21" s="28">
        <f t="shared" si="136"/>
        <v>6.1068804609168706E-2</v>
      </c>
      <c r="AY21" s="23" t="e">
        <f t="shared" si="136"/>
        <v>#DIV/0!</v>
      </c>
      <c r="AZ21" s="26">
        <f t="shared" si="136"/>
        <v>0.99664429530201337</v>
      </c>
      <c r="BA21" s="23">
        <f t="shared" si="136"/>
        <v>1.0873880159435016E-2</v>
      </c>
      <c r="BB21" s="23">
        <f t="shared" si="136"/>
        <v>8.2375478927203052E-3</v>
      </c>
      <c r="BC21" s="23">
        <f t="shared" si="136"/>
        <v>0</v>
      </c>
      <c r="BD21" s="23">
        <f t="shared" si="136"/>
        <v>1.1769111432086877E-2</v>
      </c>
      <c r="BE21" s="27">
        <f t="shared" si="136"/>
        <v>1</v>
      </c>
      <c r="BF21" s="23">
        <f t="shared" si="136"/>
        <v>6.2499999999999972E-2</v>
      </c>
      <c r="BG21" s="23">
        <f t="shared" si="136"/>
        <v>0</v>
      </c>
      <c r="BH21" s="23">
        <f t="shared" si="136"/>
        <v>6.6565809379727683E-2</v>
      </c>
      <c r="BI21" s="23" t="e">
        <f t="shared" si="136"/>
        <v>#DIV/0!</v>
      </c>
      <c r="BJ21" s="28">
        <f t="shared" si="136"/>
        <v>0.10686088455866215</v>
      </c>
      <c r="BK21" s="23" t="e">
        <f t="shared" si="136"/>
        <v>#DIV/0!</v>
      </c>
      <c r="BL21" s="26"/>
      <c r="BM21" s="23"/>
      <c r="BN21" s="23"/>
      <c r="BO21" s="23"/>
      <c r="BP21" s="23"/>
      <c r="BQ21" s="27"/>
      <c r="BR21" s="23"/>
      <c r="BS21" s="23"/>
      <c r="BT21" s="23"/>
      <c r="BU21" s="23"/>
      <c r="BV21" s="28"/>
    </row>
    <row r="22" spans="2:158" x14ac:dyDescent="0.35">
      <c r="B22" s="14" t="s">
        <v>69</v>
      </c>
      <c r="D22" s="23">
        <f t="shared" ref="D22:O25" si="137">D7/D$10</f>
        <v>2.1437756284046292E-2</v>
      </c>
      <c r="E22" s="26">
        <f t="shared" si="137"/>
        <v>0.74709595880446267</v>
      </c>
      <c r="F22" s="23">
        <f t="shared" si="137"/>
        <v>8.836262402040742E-3</v>
      </c>
      <c r="G22" s="23">
        <f t="shared" si="137"/>
        <v>0</v>
      </c>
      <c r="H22" s="23">
        <f t="shared" si="137"/>
        <v>3.2871492023939602E-2</v>
      </c>
      <c r="I22" s="23">
        <f t="shared" si="137"/>
        <v>3.0303030303030304E-2</v>
      </c>
      <c r="J22" s="27">
        <f t="shared" si="137"/>
        <v>0.80625000000000002</v>
      </c>
      <c r="K22" s="23">
        <f t="shared" si="137"/>
        <v>2.7522935779816515E-2</v>
      </c>
      <c r="L22" s="23">
        <f t="shared" si="137"/>
        <v>8.6393479327759218E-2</v>
      </c>
      <c r="M22" s="23" t="e">
        <f t="shared" si="137"/>
        <v>#DIV/0!</v>
      </c>
      <c r="N22" s="28">
        <f t="shared" si="137"/>
        <v>0.16037636567785787</v>
      </c>
      <c r="O22" s="23" t="e">
        <f t="shared" si="137"/>
        <v>#DIV/0!</v>
      </c>
      <c r="P22" s="23">
        <f t="shared" si="136"/>
        <v>9.719482481737313E-3</v>
      </c>
      <c r="Q22" s="26">
        <f t="shared" si="136"/>
        <v>0.48748639825897716</v>
      </c>
      <c r="R22" s="23">
        <f t="shared" si="136"/>
        <v>3.4563918819409655E-4</v>
      </c>
      <c r="S22" s="23">
        <f t="shared" si="136"/>
        <v>0</v>
      </c>
      <c r="T22" s="23">
        <f t="shared" si="136"/>
        <v>1.1687406500747994E-2</v>
      </c>
      <c r="U22" s="23">
        <f t="shared" si="136"/>
        <v>0</v>
      </c>
      <c r="V22" s="27">
        <f t="shared" si="136"/>
        <v>0.125</v>
      </c>
      <c r="W22" s="23">
        <f t="shared" si="136"/>
        <v>0</v>
      </c>
      <c r="X22" s="23">
        <f t="shared" si="136"/>
        <v>0.10012629566839991</v>
      </c>
      <c r="Y22" s="23" t="e">
        <f t="shared" si="136"/>
        <v>#DIV/0!</v>
      </c>
      <c r="Z22" s="28">
        <f t="shared" si="136"/>
        <v>5.7131232508540637E-2</v>
      </c>
      <c r="AA22" s="23" t="e">
        <f t="shared" si="136"/>
        <v>#DIV/0!</v>
      </c>
      <c r="AB22" s="23">
        <f t="shared" si="136"/>
        <v>1.0297378942608962E-3</v>
      </c>
      <c r="AC22" s="26">
        <f t="shared" si="136"/>
        <v>0.69013794523368333</v>
      </c>
      <c r="AD22" s="23">
        <f t="shared" si="136"/>
        <v>1.7537883156245001E-3</v>
      </c>
      <c r="AE22" s="23">
        <f t="shared" si="136"/>
        <v>0</v>
      </c>
      <c r="AF22" s="23">
        <f t="shared" si="136"/>
        <v>0.18959887389759747</v>
      </c>
      <c r="AG22" s="23">
        <f t="shared" si="136"/>
        <v>0</v>
      </c>
      <c r="AH22" s="27">
        <f t="shared" si="136"/>
        <v>0.81481481481481477</v>
      </c>
      <c r="AI22" s="23">
        <f t="shared" si="136"/>
        <v>0</v>
      </c>
      <c r="AJ22" s="23">
        <f t="shared" si="136"/>
        <v>0.26315789473684209</v>
      </c>
      <c r="AK22" s="23" t="e">
        <f t="shared" si="136"/>
        <v>#DIV/0!</v>
      </c>
      <c r="AL22" s="28">
        <f t="shared" si="136"/>
        <v>0.1267674523002843</v>
      </c>
      <c r="AM22" s="23" t="e">
        <f t="shared" si="136"/>
        <v>#DIV/0!</v>
      </c>
      <c r="AN22" s="23">
        <f t="shared" si="136"/>
        <v>1.6778523489932886E-2</v>
      </c>
      <c r="AO22" s="26">
        <f t="shared" si="136"/>
        <v>0.79352780309936188</v>
      </c>
      <c r="AP22" s="23">
        <f t="shared" si="136"/>
        <v>5.6101546065106984E-3</v>
      </c>
      <c r="AQ22" s="23">
        <f t="shared" si="136"/>
        <v>0</v>
      </c>
      <c r="AR22" s="23">
        <f t="shared" si="136"/>
        <v>3.1752930058014807E-2</v>
      </c>
      <c r="AS22" s="23" t="e">
        <f t="shared" si="136"/>
        <v>#DIV/0!</v>
      </c>
      <c r="AT22" s="27">
        <f t="shared" si="136"/>
        <v>0.5714285714285714</v>
      </c>
      <c r="AU22" s="23">
        <f t="shared" si="136"/>
        <v>6.6666666666666666E-2</v>
      </c>
      <c r="AV22" s="23">
        <f t="shared" si="136"/>
        <v>3.5714285714285712E-2</v>
      </c>
      <c r="AW22" s="23" t="e">
        <f t="shared" si="136"/>
        <v>#DIV/0!</v>
      </c>
      <c r="AX22" s="28">
        <f t="shared" si="136"/>
        <v>0.1815051273161859</v>
      </c>
      <c r="AY22" s="23" t="e">
        <f t="shared" si="136"/>
        <v>#DIV/0!</v>
      </c>
      <c r="AZ22" s="23">
        <f t="shared" si="136"/>
        <v>0</v>
      </c>
      <c r="BA22" s="26">
        <f t="shared" si="136"/>
        <v>0.78194956704787677</v>
      </c>
      <c r="BB22" s="23">
        <f t="shared" si="136"/>
        <v>6.8965517241379301E-3</v>
      </c>
      <c r="BC22" s="23">
        <f t="shared" si="136"/>
        <v>0</v>
      </c>
      <c r="BD22" s="23">
        <f t="shared" si="136"/>
        <v>1.0489323440695609E-2</v>
      </c>
      <c r="BE22" s="23">
        <f t="shared" si="136"/>
        <v>0</v>
      </c>
      <c r="BF22" s="27">
        <f t="shared" si="136"/>
        <v>0.9375</v>
      </c>
      <c r="BG22" s="23">
        <f t="shared" si="136"/>
        <v>0.30434782608695654</v>
      </c>
      <c r="BH22" s="23">
        <f t="shared" si="136"/>
        <v>0.36762481089258703</v>
      </c>
      <c r="BI22" s="23" t="e">
        <f t="shared" si="136"/>
        <v>#DIV/0!</v>
      </c>
      <c r="BJ22" s="28">
        <f t="shared" si="136"/>
        <v>0.16072418737954164</v>
      </c>
      <c r="BK22" s="23" t="e">
        <f t="shared" si="136"/>
        <v>#DIV/0!</v>
      </c>
      <c r="BL22" s="23"/>
      <c r="BM22" s="26"/>
      <c r="BN22" s="23"/>
      <c r="BO22" s="23"/>
      <c r="BP22" s="23"/>
      <c r="BQ22" s="23"/>
      <c r="BR22" s="27"/>
      <c r="BS22" s="23"/>
      <c r="BT22" s="23"/>
      <c r="BU22" s="23"/>
      <c r="BV22" s="28"/>
    </row>
    <row r="23" spans="2:158" x14ac:dyDescent="0.35">
      <c r="B23" s="14" t="s">
        <v>70</v>
      </c>
      <c r="D23" s="23">
        <f t="shared" si="137"/>
        <v>4.2577832899314523E-3</v>
      </c>
      <c r="E23" s="23">
        <f t="shared" si="137"/>
        <v>0.21820214138441946</v>
      </c>
      <c r="F23" s="26">
        <f t="shared" si="137"/>
        <v>0.9870949075493527</v>
      </c>
      <c r="G23" s="23">
        <f t="shared" si="137"/>
        <v>0.97836878812774208</v>
      </c>
      <c r="H23" s="23">
        <f t="shared" si="137"/>
        <v>0.30629935406358499</v>
      </c>
      <c r="I23" s="23">
        <f t="shared" si="137"/>
        <v>2.0202020202020197E-2</v>
      </c>
      <c r="J23" s="23">
        <f t="shared" si="137"/>
        <v>6.25E-2</v>
      </c>
      <c r="K23" s="27">
        <f t="shared" si="137"/>
        <v>0.9064220183486239</v>
      </c>
      <c r="L23" s="23">
        <f t="shared" si="137"/>
        <v>0.47093417284274502</v>
      </c>
      <c r="M23" s="23" t="e">
        <f t="shared" si="137"/>
        <v>#DIV/0!</v>
      </c>
      <c r="N23" s="28">
        <f t="shared" si="137"/>
        <v>0.63163333151152645</v>
      </c>
      <c r="O23" s="23" t="e">
        <f t="shared" si="137"/>
        <v>#DIV/0!</v>
      </c>
      <c r="P23" s="23">
        <f t="shared" si="136"/>
        <v>1.2149353102171641E-3</v>
      </c>
      <c r="Q23" s="23">
        <f t="shared" si="136"/>
        <v>0.49510337323177367</v>
      </c>
      <c r="R23" s="26">
        <f t="shared" si="136"/>
        <v>0.9993148488637662</v>
      </c>
      <c r="S23" s="23">
        <f t="shared" si="136"/>
        <v>0.96761734297355217</v>
      </c>
      <c r="T23" s="23">
        <f t="shared" si="136"/>
        <v>9.5394736842105268E-2</v>
      </c>
      <c r="U23" s="23">
        <f t="shared" si="136"/>
        <v>0</v>
      </c>
      <c r="V23" s="23">
        <f t="shared" si="136"/>
        <v>0.625</v>
      </c>
      <c r="W23" s="27">
        <f t="shared" si="136"/>
        <v>1</v>
      </c>
      <c r="X23" s="23">
        <f t="shared" si="136"/>
        <v>0.79974740866320015</v>
      </c>
      <c r="Y23" s="23" t="e">
        <f t="shared" si="136"/>
        <v>#DIV/0!</v>
      </c>
      <c r="Z23" s="28">
        <f t="shared" si="136"/>
        <v>0.79280075697211261</v>
      </c>
      <c r="AA23" s="23" t="e">
        <f t="shared" si="136"/>
        <v>#DIV/0!</v>
      </c>
      <c r="AB23" s="23">
        <f t="shared" si="136"/>
        <v>0</v>
      </c>
      <c r="AC23" s="23">
        <f t="shared" si="136"/>
        <v>0.24912497426394895</v>
      </c>
      <c r="AD23" s="26">
        <f t="shared" si="136"/>
        <v>0.99766161557916733</v>
      </c>
      <c r="AE23" s="23">
        <f t="shared" si="136"/>
        <v>0.95804195804195802</v>
      </c>
      <c r="AF23" s="23">
        <f t="shared" si="136"/>
        <v>0.21000469209334394</v>
      </c>
      <c r="AG23" s="23">
        <f t="shared" si="136"/>
        <v>0</v>
      </c>
      <c r="AH23" s="23">
        <f t="shared" si="136"/>
        <v>3.7037037037037035E-2</v>
      </c>
      <c r="AI23" s="27">
        <f t="shared" si="136"/>
        <v>1</v>
      </c>
      <c r="AJ23" s="23">
        <f t="shared" si="136"/>
        <v>0.42105263157894735</v>
      </c>
      <c r="AK23" s="23" t="e">
        <f t="shared" si="136"/>
        <v>#DIV/0!</v>
      </c>
      <c r="AL23" s="28">
        <f t="shared" si="136"/>
        <v>0.67877841635125291</v>
      </c>
      <c r="AM23" s="23" t="e">
        <f t="shared" si="136"/>
        <v>#DIV/0!</v>
      </c>
      <c r="AN23" s="23">
        <f t="shared" si="136"/>
        <v>0</v>
      </c>
      <c r="AO23" s="23">
        <f t="shared" si="136"/>
        <v>0.20191431175934366</v>
      </c>
      <c r="AP23" s="26">
        <f t="shared" si="136"/>
        <v>0.99423400776553073</v>
      </c>
      <c r="AQ23" s="23">
        <f t="shared" si="136"/>
        <v>1</v>
      </c>
      <c r="AR23" s="23">
        <f t="shared" si="136"/>
        <v>8.6504832267544116E-2</v>
      </c>
      <c r="AS23" s="23" t="e">
        <f t="shared" si="136"/>
        <v>#DIV/0!</v>
      </c>
      <c r="AT23" s="23">
        <f t="shared" si="136"/>
        <v>0.14285714285714285</v>
      </c>
      <c r="AU23" s="27">
        <f t="shared" si="136"/>
        <v>0.93333333333333335</v>
      </c>
      <c r="AV23" s="23">
        <f t="shared" si="136"/>
        <v>0.21428571428571427</v>
      </c>
      <c r="AW23" s="23" t="e">
        <f t="shared" si="136"/>
        <v>#DIV/0!</v>
      </c>
      <c r="AX23" s="28">
        <f t="shared" si="136"/>
        <v>0.69844934323185925</v>
      </c>
      <c r="AY23" s="23" t="e">
        <f t="shared" si="136"/>
        <v>#DIV/0!</v>
      </c>
      <c r="AZ23" s="23">
        <f t="shared" si="136"/>
        <v>3.3557046979865767E-3</v>
      </c>
      <c r="BA23" s="23">
        <f t="shared" si="136"/>
        <v>0.20717655279268823</v>
      </c>
      <c r="BB23" s="26">
        <f t="shared" si="136"/>
        <v>0.98486590038314181</v>
      </c>
      <c r="BC23" s="23">
        <f t="shared" si="136"/>
        <v>1</v>
      </c>
      <c r="BD23" s="23">
        <f t="shared" si="136"/>
        <v>5.7034924632421019E-2</v>
      </c>
      <c r="BE23" s="23">
        <f t="shared" si="136"/>
        <v>0</v>
      </c>
      <c r="BF23" s="23">
        <f t="shared" si="136"/>
        <v>0</v>
      </c>
      <c r="BG23" s="27">
        <f t="shared" si="136"/>
        <v>0.69565217391304346</v>
      </c>
      <c r="BH23" s="23">
        <f t="shared" si="136"/>
        <v>0.3328290468986384</v>
      </c>
      <c r="BI23" s="23" t="e">
        <f t="shared" si="136"/>
        <v>#DIV/0!</v>
      </c>
      <c r="BJ23" s="28">
        <f t="shared" si="136"/>
        <v>0.61983720605760906</v>
      </c>
      <c r="BK23" s="23" t="e">
        <f t="shared" si="136"/>
        <v>#DIV/0!</v>
      </c>
      <c r="BL23" s="23"/>
      <c r="BM23" s="23"/>
      <c r="BN23" s="26"/>
      <c r="BO23" s="23"/>
      <c r="BP23" s="23"/>
      <c r="BQ23" s="23"/>
      <c r="BR23" s="23"/>
      <c r="BS23" s="27"/>
      <c r="BT23" s="23"/>
      <c r="BU23" s="23"/>
      <c r="BV23" s="28"/>
    </row>
    <row r="24" spans="2:158" x14ac:dyDescent="0.35">
      <c r="B24" s="14" t="s">
        <v>71</v>
      </c>
      <c r="D24" s="23">
        <f t="shared" si="137"/>
        <v>0</v>
      </c>
      <c r="E24" s="23">
        <f t="shared" si="137"/>
        <v>0</v>
      </c>
      <c r="F24" s="23">
        <f t="shared" si="137"/>
        <v>0</v>
      </c>
      <c r="G24" s="23">
        <f t="shared" si="137"/>
        <v>2.403467985806429E-3</v>
      </c>
      <c r="H24" s="26">
        <f t="shared" si="137"/>
        <v>0.52362990440641222</v>
      </c>
      <c r="I24" s="23">
        <f t="shared" si="137"/>
        <v>0</v>
      </c>
      <c r="J24" s="23">
        <f t="shared" si="137"/>
        <v>0</v>
      </c>
      <c r="K24" s="23">
        <f t="shared" si="137"/>
        <v>0</v>
      </c>
      <c r="L24" s="27">
        <f t="shared" si="137"/>
        <v>0.22555784480685478</v>
      </c>
      <c r="M24" s="23" t="e">
        <f t="shared" si="137"/>
        <v>#DIV/0!</v>
      </c>
      <c r="N24" s="28">
        <f t="shared" si="137"/>
        <v>3.5180072385038334E-2</v>
      </c>
      <c r="O24" s="23" t="e">
        <f t="shared" si="137"/>
        <v>#DIV/0!</v>
      </c>
      <c r="P24" s="23">
        <f t="shared" si="136"/>
        <v>0</v>
      </c>
      <c r="Q24" s="23">
        <f t="shared" si="136"/>
        <v>0</v>
      </c>
      <c r="R24" s="23">
        <f t="shared" si="136"/>
        <v>0</v>
      </c>
      <c r="S24" s="23">
        <f t="shared" si="136"/>
        <v>0</v>
      </c>
      <c r="T24" s="26">
        <f t="shared" si="136"/>
        <v>0.79941860465116277</v>
      </c>
      <c r="U24" s="23">
        <f t="shared" si="136"/>
        <v>0</v>
      </c>
      <c r="V24" s="23">
        <f t="shared" si="136"/>
        <v>0</v>
      </c>
      <c r="W24" s="23">
        <f t="shared" si="136"/>
        <v>0</v>
      </c>
      <c r="X24" s="27">
        <f t="shared" si="136"/>
        <v>0.10012629566839991</v>
      </c>
      <c r="Y24" s="23" t="e">
        <f t="shared" si="136"/>
        <v>#DIV/0!</v>
      </c>
      <c r="Z24" s="28">
        <f t="shared" si="136"/>
        <v>4.2174128718751029E-2</v>
      </c>
      <c r="AA24" s="23" t="e">
        <f t="shared" si="136"/>
        <v>#DIV/0!</v>
      </c>
      <c r="AB24" s="23">
        <f t="shared" si="136"/>
        <v>0</v>
      </c>
      <c r="AC24" s="23">
        <f t="shared" si="136"/>
        <v>0</v>
      </c>
      <c r="AD24" s="23">
        <f t="shared" si="136"/>
        <v>0</v>
      </c>
      <c r="AE24" s="23">
        <f t="shared" si="136"/>
        <v>0</v>
      </c>
      <c r="AF24" s="26">
        <f t="shared" si="136"/>
        <v>5.2666353860443736E-2</v>
      </c>
      <c r="AG24" s="23">
        <f t="shared" si="136"/>
        <v>0</v>
      </c>
      <c r="AH24" s="23">
        <f t="shared" si="136"/>
        <v>0</v>
      </c>
      <c r="AI24" s="23">
        <f t="shared" si="136"/>
        <v>0</v>
      </c>
      <c r="AJ24" s="27">
        <f t="shared" si="136"/>
        <v>0.10526315789473684</v>
      </c>
      <c r="AK24" s="23" t="e">
        <f t="shared" si="136"/>
        <v>#DIV/0!</v>
      </c>
      <c r="AL24" s="28">
        <f t="shared" si="136"/>
        <v>1.2283667858554682E-3</v>
      </c>
      <c r="AM24" s="23" t="e">
        <f t="shared" si="136"/>
        <v>#DIV/0!</v>
      </c>
      <c r="AN24" s="23">
        <f t="shared" si="136"/>
        <v>0</v>
      </c>
      <c r="AO24" s="23">
        <f t="shared" si="136"/>
        <v>0</v>
      </c>
      <c r="AP24" s="23">
        <f t="shared" si="136"/>
        <v>0</v>
      </c>
      <c r="AQ24" s="23">
        <f t="shared" si="136"/>
        <v>0</v>
      </c>
      <c r="AR24" s="26">
        <f t="shared" si="136"/>
        <v>0.86656595131171399</v>
      </c>
      <c r="AS24" s="23" t="e">
        <f t="shared" si="136"/>
        <v>#DIV/0!</v>
      </c>
      <c r="AT24" s="23">
        <f t="shared" si="136"/>
        <v>0</v>
      </c>
      <c r="AU24" s="23">
        <f t="shared" si="136"/>
        <v>0</v>
      </c>
      <c r="AV24" s="27">
        <f t="shared" si="136"/>
        <v>0.75</v>
      </c>
      <c r="AW24" s="23" t="e">
        <f t="shared" si="136"/>
        <v>#DIV/0!</v>
      </c>
      <c r="AX24" s="28">
        <f t="shared" si="136"/>
        <v>5.8976724842786092E-2</v>
      </c>
      <c r="AY24" s="23" t="e">
        <f t="shared" si="136"/>
        <v>#DIV/0!</v>
      </c>
      <c r="AZ24" s="23">
        <f t="shared" si="136"/>
        <v>0</v>
      </c>
      <c r="BA24" s="23">
        <f t="shared" si="136"/>
        <v>0</v>
      </c>
      <c r="BB24" s="23">
        <f t="shared" si="136"/>
        <v>0</v>
      </c>
      <c r="BC24" s="23">
        <f t="shared" si="136"/>
        <v>0</v>
      </c>
      <c r="BD24" s="26">
        <f t="shared" si="136"/>
        <v>0.92070664049479645</v>
      </c>
      <c r="BE24" s="23">
        <f t="shared" si="136"/>
        <v>0</v>
      </c>
      <c r="BF24" s="23">
        <f t="shared" si="136"/>
        <v>0</v>
      </c>
      <c r="BG24" s="23">
        <f t="shared" si="136"/>
        <v>0</v>
      </c>
      <c r="BH24" s="27">
        <f t="shared" si="136"/>
        <v>0.2329803328290469</v>
      </c>
      <c r="BI24" s="23" t="e">
        <f t="shared" si="136"/>
        <v>#DIV/0!</v>
      </c>
      <c r="BJ24" s="28">
        <f t="shared" si="136"/>
        <v>0.11257772200418728</v>
      </c>
      <c r="BK24" s="23" t="e">
        <f t="shared" si="136"/>
        <v>#DIV/0!</v>
      </c>
      <c r="BL24" s="23"/>
      <c r="BM24" s="23"/>
      <c r="BN24" s="23"/>
      <c r="BO24" s="23"/>
      <c r="BP24" s="26"/>
      <c r="BQ24" s="23"/>
      <c r="BR24" s="23"/>
      <c r="BS24" s="23"/>
      <c r="BT24" s="27"/>
      <c r="BU24" s="23"/>
      <c r="BV24" s="28"/>
    </row>
    <row r="25" spans="2:158" x14ac:dyDescent="0.35">
      <c r="B25" s="25" t="s">
        <v>98</v>
      </c>
      <c r="D25" s="24">
        <f>D10/D$10</f>
        <v>1</v>
      </c>
      <c r="E25" s="24">
        <f t="shared" si="137"/>
        <v>1</v>
      </c>
      <c r="F25" s="24">
        <f t="shared" si="137"/>
        <v>1</v>
      </c>
      <c r="G25" s="24">
        <f t="shared" si="137"/>
        <v>1</v>
      </c>
      <c r="H25" s="24">
        <f t="shared" si="137"/>
        <v>1</v>
      </c>
      <c r="I25" s="24">
        <f t="shared" si="137"/>
        <v>1</v>
      </c>
      <c r="J25" s="24">
        <f t="shared" si="137"/>
        <v>1</v>
      </c>
      <c r="K25" s="24">
        <f t="shared" si="137"/>
        <v>1</v>
      </c>
      <c r="L25" s="24">
        <f t="shared" si="137"/>
        <v>1</v>
      </c>
      <c r="M25" s="24" t="e">
        <f t="shared" si="137"/>
        <v>#DIV/0!</v>
      </c>
      <c r="N25" s="28">
        <f t="shared" si="137"/>
        <v>1</v>
      </c>
      <c r="O25" s="24" t="e">
        <f t="shared" si="137"/>
        <v>#DIV/0!</v>
      </c>
      <c r="P25" s="24">
        <f t="shared" si="136"/>
        <v>1</v>
      </c>
      <c r="Q25" s="24">
        <f t="shared" si="136"/>
        <v>1</v>
      </c>
      <c r="R25" s="24">
        <f t="shared" si="136"/>
        <v>1</v>
      </c>
      <c r="S25" s="24">
        <f t="shared" si="136"/>
        <v>1</v>
      </c>
      <c r="T25" s="24">
        <f t="shared" si="136"/>
        <v>1</v>
      </c>
      <c r="U25" s="24">
        <f t="shared" si="136"/>
        <v>1</v>
      </c>
      <c r="V25" s="24">
        <f t="shared" si="136"/>
        <v>1</v>
      </c>
      <c r="W25" s="24">
        <f t="shared" si="136"/>
        <v>1</v>
      </c>
      <c r="X25" s="24">
        <f t="shared" si="136"/>
        <v>1</v>
      </c>
      <c r="Y25" s="24" t="e">
        <f t="shared" si="136"/>
        <v>#DIV/0!</v>
      </c>
      <c r="Z25" s="28">
        <f t="shared" si="136"/>
        <v>1</v>
      </c>
      <c r="AA25" s="24" t="e">
        <f t="shared" si="136"/>
        <v>#DIV/0!</v>
      </c>
      <c r="AB25" s="24">
        <f t="shared" si="136"/>
        <v>1</v>
      </c>
      <c r="AC25" s="24">
        <f t="shared" si="136"/>
        <v>1</v>
      </c>
      <c r="AD25" s="24">
        <f t="shared" si="136"/>
        <v>1</v>
      </c>
      <c r="AE25" s="24">
        <f t="shared" si="136"/>
        <v>1</v>
      </c>
      <c r="AF25" s="24">
        <f t="shared" si="136"/>
        <v>1</v>
      </c>
      <c r="AG25" s="24">
        <f t="shared" si="136"/>
        <v>1</v>
      </c>
      <c r="AH25" s="24">
        <f t="shared" si="136"/>
        <v>1</v>
      </c>
      <c r="AI25" s="24">
        <f t="shared" si="136"/>
        <v>1</v>
      </c>
      <c r="AJ25" s="24">
        <f t="shared" si="136"/>
        <v>1</v>
      </c>
      <c r="AK25" s="24" t="e">
        <f t="shared" si="136"/>
        <v>#DIV/0!</v>
      </c>
      <c r="AL25" s="28">
        <f t="shared" si="136"/>
        <v>1</v>
      </c>
      <c r="AM25" s="24" t="e">
        <f t="shared" si="136"/>
        <v>#DIV/0!</v>
      </c>
      <c r="AN25" s="24">
        <f t="shared" si="136"/>
        <v>1</v>
      </c>
      <c r="AO25" s="24">
        <f t="shared" si="136"/>
        <v>1</v>
      </c>
      <c r="AP25" s="24">
        <f t="shared" si="136"/>
        <v>1</v>
      </c>
      <c r="AQ25" s="24">
        <f t="shared" si="136"/>
        <v>1</v>
      </c>
      <c r="AR25" s="24">
        <f t="shared" si="136"/>
        <v>1</v>
      </c>
      <c r="AS25" s="24" t="e">
        <f t="shared" si="136"/>
        <v>#DIV/0!</v>
      </c>
      <c r="AT25" s="24">
        <f t="shared" si="136"/>
        <v>1</v>
      </c>
      <c r="AU25" s="24">
        <f t="shared" si="136"/>
        <v>1</v>
      </c>
      <c r="AV25" s="24">
        <f t="shared" si="136"/>
        <v>1</v>
      </c>
      <c r="AW25" s="24" t="e">
        <f t="shared" si="136"/>
        <v>#DIV/0!</v>
      </c>
      <c r="AX25" s="28">
        <f t="shared" si="136"/>
        <v>1</v>
      </c>
      <c r="AY25" s="24" t="e">
        <f t="shared" si="136"/>
        <v>#DIV/0!</v>
      </c>
      <c r="AZ25" s="24">
        <f t="shared" si="136"/>
        <v>1</v>
      </c>
      <c r="BA25" s="24">
        <f t="shared" si="136"/>
        <v>1</v>
      </c>
      <c r="BB25" s="24">
        <f t="shared" si="136"/>
        <v>1</v>
      </c>
      <c r="BC25" s="24">
        <f t="shared" si="136"/>
        <v>1</v>
      </c>
      <c r="BD25" s="24">
        <f t="shared" si="136"/>
        <v>1</v>
      </c>
      <c r="BE25" s="24">
        <f t="shared" si="136"/>
        <v>1</v>
      </c>
      <c r="BF25" s="24">
        <f t="shared" si="136"/>
        <v>1</v>
      </c>
      <c r="BG25" s="24">
        <f t="shared" si="136"/>
        <v>1</v>
      </c>
      <c r="BH25" s="24">
        <f t="shared" si="136"/>
        <v>1</v>
      </c>
      <c r="BI25" s="24" t="e">
        <f t="shared" si="136"/>
        <v>#DIV/0!</v>
      </c>
      <c r="BJ25" s="28">
        <f t="shared" si="136"/>
        <v>1</v>
      </c>
      <c r="BK25" s="24" t="e">
        <f t="shared" si="136"/>
        <v>#DIV/0!</v>
      </c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8"/>
    </row>
    <row r="26" spans="2:158" x14ac:dyDescent="0.35">
      <c r="L26" s="2"/>
    </row>
    <row r="27" spans="2:158" x14ac:dyDescent="0.35">
      <c r="L27" s="2"/>
    </row>
    <row r="28" spans="2:158" x14ac:dyDescent="0.35">
      <c r="L28" s="2"/>
    </row>
    <row r="29" spans="2:158" x14ac:dyDescent="0.35">
      <c r="L29" s="2"/>
    </row>
    <row r="30" spans="2:158" x14ac:dyDescent="0.35">
      <c r="L30" s="2"/>
    </row>
    <row r="31" spans="2:158" x14ac:dyDescent="0.35">
      <c r="L31" s="2"/>
    </row>
    <row r="32" spans="2:158" x14ac:dyDescent="0.35">
      <c r="L32" s="2"/>
    </row>
    <row r="33" spans="12:12" x14ac:dyDescent="0.35">
      <c r="L33" s="2"/>
    </row>
    <row r="34" spans="12:12" x14ac:dyDescent="0.35">
      <c r="L34" s="2"/>
    </row>
    <row r="35" spans="12:12" x14ac:dyDescent="0.35">
      <c r="L35" s="2"/>
    </row>
    <row r="36" spans="12:12" x14ac:dyDescent="0.35">
      <c r="L36" s="2"/>
    </row>
    <row r="37" spans="12:12" x14ac:dyDescent="0.35">
      <c r="L37" s="2"/>
    </row>
    <row r="38" spans="12:12" x14ac:dyDescent="0.35">
      <c r="L38" s="2"/>
    </row>
    <row r="39" spans="12:12" x14ac:dyDescent="0.35">
      <c r="L39" s="2"/>
    </row>
    <row r="40" spans="12:12" x14ac:dyDescent="0.35">
      <c r="L40" s="2"/>
    </row>
    <row r="41" spans="12:12" x14ac:dyDescent="0.35">
      <c r="L41" s="2"/>
    </row>
  </sheetData>
  <mergeCells count="13">
    <mergeCell ref="ER4:FB4"/>
    <mergeCell ref="BX4:CH4"/>
    <mergeCell ref="CJ4:CT4"/>
    <mergeCell ref="CV4:DF4"/>
    <mergeCell ref="DH4:DR4"/>
    <mergeCell ref="DT4:ED4"/>
    <mergeCell ref="EF4:EP4"/>
    <mergeCell ref="B4:B5"/>
    <mergeCell ref="P4:Z4"/>
    <mergeCell ref="AB4:AL4"/>
    <mergeCell ref="AN4:AX4"/>
    <mergeCell ref="AZ4:BJ4"/>
    <mergeCell ref="BL4:BV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017C-8402-4D20-BB68-47335320BA27}">
  <sheetPr>
    <tabColor rgb="FF00B0F0"/>
  </sheetPr>
  <dimension ref="A1:FB41"/>
  <sheetViews>
    <sheetView showGridLines="0" tabSelected="1" zoomScale="115" zoomScaleNormal="115" workbookViewId="0">
      <pane xSplit="2" ySplit="5" topLeftCell="C20" activePane="bottomRight" state="frozen"/>
      <selection pane="topRight" activeCell="C1" sqref="C1"/>
      <selection pane="bottomLeft" activeCell="A4" sqref="A4"/>
      <selection pane="bottomRight" activeCell="H22" sqref="H22"/>
    </sheetView>
  </sheetViews>
  <sheetFormatPr defaultRowHeight="14.5" outlineLevelRow="1" outlineLevelCol="1" x14ac:dyDescent="0.35"/>
  <cols>
    <col min="1" max="1" width="3.08203125" style="5" hidden="1" customWidth="1" outlineLevel="1"/>
    <col min="2" max="2" width="14.9140625" customWidth="1" collapsed="1"/>
    <col min="3" max="3" width="0.75" customWidth="1"/>
    <col min="4" max="4" width="8.33203125" bestFit="1" customWidth="1"/>
    <col min="5" max="5" width="5.6640625" bestFit="1" customWidth="1"/>
    <col min="6" max="6" width="6.58203125" bestFit="1" customWidth="1"/>
    <col min="7" max="7" width="12.4140625" hidden="1" customWidth="1"/>
    <col min="8" max="8" width="6.58203125" bestFit="1" customWidth="1"/>
    <col min="9" max="9" width="11" bestFit="1" customWidth="1"/>
    <col min="10" max="10" width="8" bestFit="1" customWidth="1"/>
    <col min="11" max="12" width="9.25" bestFit="1" customWidth="1"/>
    <col min="13" max="13" width="12.4140625" hidden="1" customWidth="1"/>
    <col min="14" max="14" width="7.58203125" bestFit="1" customWidth="1"/>
    <col min="15" max="15" width="0.75" customWidth="1"/>
    <col min="16" max="16" width="8.33203125" hidden="1" customWidth="1" outlineLevel="1"/>
    <col min="17" max="17" width="5.33203125" hidden="1" customWidth="1" outlineLevel="1"/>
    <col min="18" max="18" width="6.58203125" hidden="1" customWidth="1" outlineLevel="1"/>
    <col min="19" max="19" width="6.9140625" hidden="1" customWidth="1" outlineLevel="1"/>
    <col min="20" max="20" width="6.58203125" hidden="1" customWidth="1" outlineLevel="1"/>
    <col min="21" max="21" width="11" hidden="1" customWidth="1" outlineLevel="1"/>
    <col min="22" max="22" width="8" hidden="1" customWidth="1" outlineLevel="1"/>
    <col min="23" max="24" width="9.25" hidden="1" customWidth="1" outlineLevel="1"/>
    <col min="25" max="25" width="13" hidden="1" customWidth="1" outlineLevel="1"/>
    <col min="26" max="26" width="6.9140625" bestFit="1" customWidth="1" collapsed="1"/>
    <col min="27" max="27" width="0.75" customWidth="1"/>
    <col min="28" max="32" width="11.25" hidden="1" customWidth="1" outlineLevel="1"/>
    <col min="33" max="37" width="13" hidden="1" customWidth="1" outlineLevel="1"/>
    <col min="38" max="38" width="11.25" customWidth="1" collapsed="1"/>
    <col min="39" max="39" width="0.75" customWidth="1"/>
    <col min="40" max="44" width="11.25" hidden="1" customWidth="1" outlineLevel="1"/>
    <col min="45" max="49" width="13" hidden="1" customWidth="1" outlineLevel="1"/>
    <col min="50" max="50" width="11.25" customWidth="1" collapsed="1"/>
    <col min="51" max="51" width="0.75" customWidth="1"/>
    <col min="52" max="56" width="11.25" hidden="1" customWidth="1" outlineLevel="1"/>
    <col min="57" max="61" width="13" hidden="1" customWidth="1" outlineLevel="1"/>
    <col min="62" max="62" width="11.25" customWidth="1" collapsed="1"/>
    <col min="63" max="63" width="0.75" customWidth="1"/>
    <col min="64" max="68" width="11.25" hidden="1" customWidth="1" outlineLevel="1"/>
    <col min="69" max="73" width="13" hidden="1" customWidth="1" outlineLevel="1"/>
    <col min="74" max="74" width="11.25" customWidth="1" collapsed="1"/>
    <col min="75" max="75" width="0.75" customWidth="1"/>
    <col min="76" max="80" width="11.25" hidden="1" customWidth="1" outlineLevel="1"/>
    <col min="81" max="85" width="13" hidden="1" customWidth="1" outlineLevel="1"/>
    <col min="86" max="86" width="11.25" customWidth="1" collapsed="1"/>
    <col min="87" max="87" width="0.75" customWidth="1"/>
    <col min="88" max="92" width="11.25" hidden="1" customWidth="1" outlineLevel="1"/>
    <col min="93" max="97" width="13" hidden="1" customWidth="1" outlineLevel="1"/>
    <col min="98" max="98" width="11.25" customWidth="1" collapsed="1"/>
    <col min="99" max="99" width="0.75" customWidth="1"/>
    <col min="100" max="104" width="11.25" hidden="1" customWidth="1" outlineLevel="1"/>
    <col min="105" max="109" width="13" hidden="1" customWidth="1" outlineLevel="1"/>
    <col min="110" max="110" width="11.25" customWidth="1" collapsed="1"/>
    <col min="111" max="111" width="0.75" customWidth="1"/>
    <col min="112" max="116" width="11.25" hidden="1" customWidth="1" outlineLevel="1"/>
    <col min="117" max="121" width="13" hidden="1" customWidth="1" outlineLevel="1"/>
    <col min="122" max="122" width="11.25" customWidth="1" collapsed="1"/>
    <col min="123" max="123" width="0.75" customWidth="1"/>
    <col min="124" max="128" width="11.25" hidden="1" customWidth="1" outlineLevel="1"/>
    <col min="129" max="133" width="13" hidden="1" customWidth="1" outlineLevel="1"/>
    <col min="134" max="134" width="11.25" customWidth="1" collapsed="1"/>
    <col min="135" max="135" width="0.75" customWidth="1"/>
    <col min="136" max="140" width="11.25" hidden="1" customWidth="1" outlineLevel="1"/>
    <col min="141" max="145" width="13" hidden="1" customWidth="1" outlineLevel="1"/>
    <col min="146" max="146" width="11.25" customWidth="1" collapsed="1"/>
    <col min="147" max="147" width="0.75" customWidth="1"/>
    <col min="148" max="152" width="11.25" hidden="1" customWidth="1" outlineLevel="1"/>
    <col min="153" max="157" width="13" hidden="1" customWidth="1" outlineLevel="1"/>
    <col min="158" max="158" width="11.25" customWidth="1" collapsed="1"/>
  </cols>
  <sheetData>
    <row r="1" spans="1:158" s="5" customFormat="1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P1" s="5">
        <v>2026</v>
      </c>
      <c r="Q1" s="5">
        <v>2026</v>
      </c>
      <c r="R1" s="5">
        <v>2026</v>
      </c>
      <c r="S1" s="5">
        <v>2026</v>
      </c>
      <c r="T1" s="5">
        <v>2026</v>
      </c>
      <c r="U1" s="5">
        <v>2026</v>
      </c>
      <c r="V1" s="5">
        <v>2026</v>
      </c>
      <c r="W1" s="5">
        <v>2026</v>
      </c>
      <c r="X1" s="5">
        <v>2026</v>
      </c>
      <c r="Y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>
        <v>2026</v>
      </c>
      <c r="AH1" s="5">
        <v>2026</v>
      </c>
      <c r="AI1" s="5">
        <v>2026</v>
      </c>
      <c r="AJ1" s="5">
        <v>2026</v>
      </c>
      <c r="AK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>
        <v>2026</v>
      </c>
      <c r="AW1" s="5">
        <v>2026</v>
      </c>
      <c r="AZ1" s="5">
        <v>2026</v>
      </c>
      <c r="BA1" s="5">
        <v>2026</v>
      </c>
      <c r="BB1" s="5">
        <v>2026</v>
      </c>
      <c r="BC1" s="5">
        <v>2026</v>
      </c>
      <c r="BD1" s="5">
        <v>2026</v>
      </c>
      <c r="BE1" s="5">
        <v>2026</v>
      </c>
      <c r="BF1" s="5">
        <v>2026</v>
      </c>
      <c r="BG1" s="5">
        <v>2026</v>
      </c>
      <c r="BH1" s="5">
        <v>2026</v>
      </c>
      <c r="BI1" s="5">
        <v>2026</v>
      </c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X1" s="5">
        <v>2026</v>
      </c>
      <c r="BY1" s="5">
        <v>2026</v>
      </c>
      <c r="BZ1" s="5">
        <v>2026</v>
      </c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J1" s="5">
        <v>2026</v>
      </c>
      <c r="CK1" s="5">
        <v>2026</v>
      </c>
      <c r="CL1" s="5">
        <v>2026</v>
      </c>
      <c r="CM1" s="5">
        <v>2026</v>
      </c>
      <c r="CN1" s="5">
        <v>2026</v>
      </c>
      <c r="CO1" s="5">
        <v>2026</v>
      </c>
      <c r="CP1" s="5">
        <v>2026</v>
      </c>
      <c r="CQ1" s="5">
        <v>2026</v>
      </c>
      <c r="CR1" s="5">
        <v>2026</v>
      </c>
      <c r="CS1" s="5">
        <v>2026</v>
      </c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>
        <v>2026</v>
      </c>
      <c r="DE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T1" s="5">
        <v>2026</v>
      </c>
      <c r="DU1" s="5">
        <v>2026</v>
      </c>
      <c r="DV1" s="5">
        <v>2026</v>
      </c>
      <c r="DW1" s="5">
        <v>2026</v>
      </c>
      <c r="DX1" s="5">
        <v>2026</v>
      </c>
      <c r="DY1" s="5">
        <v>2026</v>
      </c>
      <c r="DZ1" s="5">
        <v>2026</v>
      </c>
      <c r="EA1" s="5">
        <v>2026</v>
      </c>
      <c r="EB1" s="5">
        <v>2026</v>
      </c>
      <c r="EC1" s="5">
        <v>2026</v>
      </c>
      <c r="EF1" s="5">
        <v>2026</v>
      </c>
      <c r="EG1" s="5">
        <v>2026</v>
      </c>
      <c r="EH1" s="5">
        <v>2026</v>
      </c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>
        <v>2026</v>
      </c>
      <c r="EX1" s="5">
        <v>2026</v>
      </c>
      <c r="EY1" s="5">
        <v>2026</v>
      </c>
      <c r="EZ1" s="5">
        <v>2026</v>
      </c>
      <c r="FA1" s="5">
        <v>2026</v>
      </c>
    </row>
    <row r="2" spans="1:158" s="5" customFormat="1" hidden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AB2" s="5">
        <v>2</v>
      </c>
      <c r="AC2" s="5">
        <v>2</v>
      </c>
      <c r="AD2" s="5">
        <v>2</v>
      </c>
      <c r="AE2" s="5">
        <v>2</v>
      </c>
      <c r="AF2" s="5">
        <v>2</v>
      </c>
      <c r="AG2" s="5">
        <v>2</v>
      </c>
      <c r="AH2" s="5">
        <v>2</v>
      </c>
      <c r="AI2" s="5">
        <v>2</v>
      </c>
      <c r="AJ2" s="5">
        <v>2</v>
      </c>
      <c r="AK2" s="5">
        <v>2</v>
      </c>
      <c r="AN2" s="5">
        <v>3</v>
      </c>
      <c r="AO2" s="5">
        <v>3</v>
      </c>
      <c r="AP2" s="5">
        <v>3</v>
      </c>
      <c r="AQ2" s="5">
        <v>3</v>
      </c>
      <c r="AR2" s="5">
        <v>3</v>
      </c>
      <c r="AS2" s="5">
        <v>3</v>
      </c>
      <c r="AT2" s="5">
        <v>3</v>
      </c>
      <c r="AU2" s="5">
        <v>3</v>
      </c>
      <c r="AV2" s="5">
        <v>3</v>
      </c>
      <c r="AW2" s="5">
        <v>3</v>
      </c>
      <c r="AZ2" s="5">
        <v>4</v>
      </c>
      <c r="BA2" s="5">
        <v>4</v>
      </c>
      <c r="BB2" s="5">
        <v>4</v>
      </c>
      <c r="BC2" s="5">
        <v>4</v>
      </c>
      <c r="BD2" s="5">
        <v>4</v>
      </c>
      <c r="BE2" s="5">
        <v>4</v>
      </c>
      <c r="BF2" s="5">
        <v>4</v>
      </c>
      <c r="BG2" s="5">
        <v>4</v>
      </c>
      <c r="BH2" s="5">
        <v>4</v>
      </c>
      <c r="BI2" s="5">
        <v>4</v>
      </c>
      <c r="BL2" s="5">
        <v>5</v>
      </c>
      <c r="BM2" s="5">
        <v>5</v>
      </c>
      <c r="BN2" s="5">
        <v>5</v>
      </c>
      <c r="BO2" s="5">
        <v>5</v>
      </c>
      <c r="BP2" s="5">
        <v>5</v>
      </c>
      <c r="BQ2" s="5">
        <v>5</v>
      </c>
      <c r="BR2" s="5">
        <v>5</v>
      </c>
      <c r="BS2" s="5">
        <v>5</v>
      </c>
      <c r="BT2" s="5">
        <v>5</v>
      </c>
      <c r="BU2" s="5">
        <v>5</v>
      </c>
      <c r="BX2" s="5">
        <v>6</v>
      </c>
      <c r="BY2" s="5">
        <v>6</v>
      </c>
      <c r="BZ2" s="5">
        <v>6</v>
      </c>
      <c r="CA2" s="5">
        <v>6</v>
      </c>
      <c r="CB2" s="5">
        <v>6</v>
      </c>
      <c r="CC2" s="5">
        <v>6</v>
      </c>
      <c r="CD2" s="5">
        <v>6</v>
      </c>
      <c r="CE2" s="5">
        <v>6</v>
      </c>
      <c r="CF2" s="5">
        <v>6</v>
      </c>
      <c r="CG2" s="5">
        <v>6</v>
      </c>
      <c r="CJ2" s="5">
        <v>7</v>
      </c>
      <c r="CK2" s="5">
        <v>7</v>
      </c>
      <c r="CL2" s="5">
        <v>7</v>
      </c>
      <c r="CM2" s="5">
        <v>7</v>
      </c>
      <c r="CN2" s="5">
        <v>7</v>
      </c>
      <c r="CO2" s="5">
        <v>7</v>
      </c>
      <c r="CP2" s="5">
        <v>7</v>
      </c>
      <c r="CQ2" s="5">
        <v>7</v>
      </c>
      <c r="CR2" s="5">
        <v>7</v>
      </c>
      <c r="CS2" s="5">
        <v>7</v>
      </c>
      <c r="CV2" s="5">
        <v>8</v>
      </c>
      <c r="CW2" s="5">
        <v>8</v>
      </c>
      <c r="CX2" s="5">
        <v>8</v>
      </c>
      <c r="CY2" s="5">
        <v>8</v>
      </c>
      <c r="CZ2" s="5">
        <v>8</v>
      </c>
      <c r="DA2" s="5">
        <v>8</v>
      </c>
      <c r="DB2" s="5">
        <v>8</v>
      </c>
      <c r="DC2" s="5">
        <v>8</v>
      </c>
      <c r="DD2" s="5">
        <v>8</v>
      </c>
      <c r="DE2" s="5">
        <v>8</v>
      </c>
      <c r="DH2" s="5">
        <v>9</v>
      </c>
      <c r="DI2" s="5">
        <v>9</v>
      </c>
      <c r="DJ2" s="5">
        <v>9</v>
      </c>
      <c r="DK2" s="5">
        <v>9</v>
      </c>
      <c r="DL2" s="5">
        <v>9</v>
      </c>
      <c r="DM2" s="5">
        <v>9</v>
      </c>
      <c r="DN2" s="5">
        <v>9</v>
      </c>
      <c r="DO2" s="5">
        <v>9</v>
      </c>
      <c r="DP2" s="5">
        <v>9</v>
      </c>
      <c r="DQ2" s="5">
        <v>9</v>
      </c>
      <c r="DT2" s="5">
        <v>10</v>
      </c>
      <c r="DU2" s="5">
        <v>10</v>
      </c>
      <c r="DV2" s="5">
        <v>10</v>
      </c>
      <c r="DW2" s="5">
        <v>10</v>
      </c>
      <c r="DX2" s="5">
        <v>10</v>
      </c>
      <c r="DY2" s="5">
        <v>10</v>
      </c>
      <c r="DZ2" s="5">
        <v>10</v>
      </c>
      <c r="EA2" s="5">
        <v>10</v>
      </c>
      <c r="EB2" s="5">
        <v>10</v>
      </c>
      <c r="EC2" s="5">
        <v>10</v>
      </c>
      <c r="EF2" s="5">
        <v>11</v>
      </c>
      <c r="EG2" s="5">
        <v>11</v>
      </c>
      <c r="EH2" s="5">
        <v>11</v>
      </c>
      <c r="EI2" s="5">
        <v>11</v>
      </c>
      <c r="EJ2" s="5">
        <v>11</v>
      </c>
      <c r="EK2" s="5">
        <v>11</v>
      </c>
      <c r="EL2" s="5">
        <v>11</v>
      </c>
      <c r="EM2" s="5">
        <v>11</v>
      </c>
      <c r="EN2" s="5">
        <v>11</v>
      </c>
      <c r="EO2" s="5">
        <v>11</v>
      </c>
      <c r="ER2" s="5">
        <v>12</v>
      </c>
      <c r="ES2" s="5">
        <v>12</v>
      </c>
      <c r="ET2" s="5">
        <v>12</v>
      </c>
      <c r="EU2" s="5">
        <v>12</v>
      </c>
      <c r="EV2" s="5">
        <v>12</v>
      </c>
      <c r="EW2" s="5">
        <v>12</v>
      </c>
      <c r="EX2" s="5">
        <v>12</v>
      </c>
      <c r="EY2" s="5">
        <v>12</v>
      </c>
      <c r="EZ2" s="5">
        <v>12</v>
      </c>
      <c r="FA2" s="5">
        <v>12</v>
      </c>
    </row>
    <row r="3" spans="1:158" s="5" customFormat="1" hidden="1" outlineLevel="1" x14ac:dyDescent="0.35">
      <c r="D3" s="5" t="s">
        <v>68</v>
      </c>
      <c r="E3" s="5" t="s">
        <v>69</v>
      </c>
      <c r="F3" s="5" t="s">
        <v>70</v>
      </c>
      <c r="G3" s="5" t="s">
        <v>67</v>
      </c>
      <c r="H3" s="5" t="s">
        <v>71</v>
      </c>
      <c r="I3" s="5" t="s">
        <v>72</v>
      </c>
      <c r="J3" s="5" t="s">
        <v>73</v>
      </c>
      <c r="K3" s="5" t="s">
        <v>74</v>
      </c>
      <c r="L3" s="5" t="s">
        <v>75</v>
      </c>
      <c r="M3" s="5" t="s">
        <v>76</v>
      </c>
      <c r="P3" s="5" t="s">
        <v>68</v>
      </c>
      <c r="Q3" s="5" t="s">
        <v>69</v>
      </c>
      <c r="R3" s="5" t="s">
        <v>70</v>
      </c>
      <c r="S3" s="5" t="s">
        <v>67</v>
      </c>
      <c r="T3" s="5" t="s">
        <v>71</v>
      </c>
      <c r="U3" s="5" t="s">
        <v>72</v>
      </c>
      <c r="V3" s="5" t="s">
        <v>73</v>
      </c>
      <c r="W3" s="5" t="s">
        <v>74</v>
      </c>
      <c r="X3" s="5" t="s">
        <v>75</v>
      </c>
      <c r="Y3" s="5" t="s">
        <v>76</v>
      </c>
      <c r="AB3" s="5" t="s">
        <v>68</v>
      </c>
      <c r="AC3" s="5" t="s">
        <v>69</v>
      </c>
      <c r="AD3" s="5" t="s">
        <v>70</v>
      </c>
      <c r="AE3" s="5" t="s">
        <v>67</v>
      </c>
      <c r="AF3" s="5" t="s">
        <v>71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  <c r="AN3" s="5" t="s">
        <v>68</v>
      </c>
      <c r="AO3" s="5" t="s">
        <v>69</v>
      </c>
      <c r="AP3" s="5" t="s">
        <v>70</v>
      </c>
      <c r="AQ3" s="5" t="s">
        <v>67</v>
      </c>
      <c r="AR3" s="5" t="s">
        <v>71</v>
      </c>
      <c r="AS3" s="5" t="s">
        <v>72</v>
      </c>
      <c r="AT3" s="5" t="s">
        <v>73</v>
      </c>
      <c r="AU3" s="5" t="s">
        <v>74</v>
      </c>
      <c r="AV3" s="5" t="s">
        <v>75</v>
      </c>
      <c r="AW3" s="5" t="s">
        <v>76</v>
      </c>
      <c r="AZ3" s="5" t="s">
        <v>68</v>
      </c>
      <c r="BA3" s="5" t="s">
        <v>69</v>
      </c>
      <c r="BB3" s="5" t="s">
        <v>70</v>
      </c>
      <c r="BC3" s="5" t="s">
        <v>67</v>
      </c>
      <c r="BD3" s="5" t="s">
        <v>71</v>
      </c>
      <c r="BE3" s="5" t="s">
        <v>72</v>
      </c>
      <c r="BF3" s="5" t="s">
        <v>73</v>
      </c>
      <c r="BG3" s="5" t="s">
        <v>74</v>
      </c>
      <c r="BH3" s="5" t="s">
        <v>75</v>
      </c>
      <c r="BI3" s="5" t="s">
        <v>76</v>
      </c>
      <c r="BL3" s="5" t="s">
        <v>68</v>
      </c>
      <c r="BM3" s="5" t="s">
        <v>69</v>
      </c>
      <c r="BN3" s="5" t="s">
        <v>70</v>
      </c>
      <c r="BO3" s="5" t="s">
        <v>67</v>
      </c>
      <c r="BP3" s="5" t="s">
        <v>71</v>
      </c>
      <c r="BQ3" s="5" t="s">
        <v>72</v>
      </c>
      <c r="BR3" s="5" t="s">
        <v>73</v>
      </c>
      <c r="BS3" s="5" t="s">
        <v>74</v>
      </c>
      <c r="BT3" s="5" t="s">
        <v>75</v>
      </c>
      <c r="BU3" s="5" t="s">
        <v>76</v>
      </c>
      <c r="BX3" s="5" t="s">
        <v>68</v>
      </c>
      <c r="BY3" s="5" t="s">
        <v>69</v>
      </c>
      <c r="BZ3" s="5" t="s">
        <v>70</v>
      </c>
      <c r="CA3" s="5" t="s">
        <v>67</v>
      </c>
      <c r="CB3" s="5" t="s">
        <v>71</v>
      </c>
      <c r="CC3" s="5" t="s">
        <v>72</v>
      </c>
      <c r="CD3" s="5" t="s">
        <v>73</v>
      </c>
      <c r="CE3" s="5" t="s">
        <v>74</v>
      </c>
      <c r="CF3" s="5" t="s">
        <v>75</v>
      </c>
      <c r="CG3" s="5" t="s">
        <v>76</v>
      </c>
      <c r="CJ3" s="5" t="s">
        <v>68</v>
      </c>
      <c r="CK3" s="5" t="s">
        <v>69</v>
      </c>
      <c r="CL3" s="5" t="s">
        <v>70</v>
      </c>
      <c r="CM3" s="5" t="s">
        <v>67</v>
      </c>
      <c r="CN3" s="5" t="s">
        <v>71</v>
      </c>
      <c r="CO3" s="5" t="s">
        <v>72</v>
      </c>
      <c r="CP3" s="5" t="s">
        <v>73</v>
      </c>
      <c r="CQ3" s="5" t="s">
        <v>74</v>
      </c>
      <c r="CR3" s="5" t="s">
        <v>75</v>
      </c>
      <c r="CS3" s="5" t="s">
        <v>76</v>
      </c>
      <c r="CV3" s="5" t="s">
        <v>68</v>
      </c>
      <c r="CW3" s="5" t="s">
        <v>69</v>
      </c>
      <c r="CX3" s="5" t="s">
        <v>70</v>
      </c>
      <c r="CY3" s="5" t="s">
        <v>67</v>
      </c>
      <c r="CZ3" s="5" t="s">
        <v>71</v>
      </c>
      <c r="DA3" s="5" t="s">
        <v>72</v>
      </c>
      <c r="DB3" s="5" t="s">
        <v>73</v>
      </c>
      <c r="DC3" s="5" t="s">
        <v>74</v>
      </c>
      <c r="DD3" s="5" t="s">
        <v>75</v>
      </c>
      <c r="DE3" s="5" t="s">
        <v>76</v>
      </c>
      <c r="DH3" s="5" t="s">
        <v>68</v>
      </c>
      <c r="DI3" s="5" t="s">
        <v>69</v>
      </c>
      <c r="DJ3" s="5" t="s">
        <v>70</v>
      </c>
      <c r="DK3" s="5" t="s">
        <v>67</v>
      </c>
      <c r="DL3" s="5" t="s">
        <v>71</v>
      </c>
      <c r="DM3" s="5" t="s">
        <v>72</v>
      </c>
      <c r="DN3" s="5" t="s">
        <v>73</v>
      </c>
      <c r="DO3" s="5" t="s">
        <v>74</v>
      </c>
      <c r="DP3" s="5" t="s">
        <v>75</v>
      </c>
      <c r="DQ3" s="5" t="s">
        <v>76</v>
      </c>
      <c r="DT3" s="5" t="s">
        <v>68</v>
      </c>
      <c r="DU3" s="5" t="s">
        <v>69</v>
      </c>
      <c r="DV3" s="5" t="s">
        <v>70</v>
      </c>
      <c r="DW3" s="5" t="s">
        <v>67</v>
      </c>
      <c r="DX3" s="5" t="s">
        <v>71</v>
      </c>
      <c r="DY3" s="5" t="s">
        <v>72</v>
      </c>
      <c r="DZ3" s="5" t="s">
        <v>73</v>
      </c>
      <c r="EA3" s="5" t="s">
        <v>74</v>
      </c>
      <c r="EB3" s="5" t="s">
        <v>75</v>
      </c>
      <c r="EC3" s="5" t="s">
        <v>76</v>
      </c>
      <c r="EF3" s="5" t="s">
        <v>68</v>
      </c>
      <c r="EG3" s="5" t="s">
        <v>69</v>
      </c>
      <c r="EH3" s="5" t="s">
        <v>70</v>
      </c>
      <c r="EI3" s="5" t="s">
        <v>67</v>
      </c>
      <c r="EJ3" s="5" t="s">
        <v>71</v>
      </c>
      <c r="EK3" s="5" t="s">
        <v>72</v>
      </c>
      <c r="EL3" s="5" t="s">
        <v>73</v>
      </c>
      <c r="EM3" s="5" t="s">
        <v>74</v>
      </c>
      <c r="EN3" s="5" t="s">
        <v>75</v>
      </c>
      <c r="EO3" s="5" t="s">
        <v>76</v>
      </c>
      <c r="ER3" s="5" t="s">
        <v>68</v>
      </c>
      <c r="ES3" s="5" t="s">
        <v>69</v>
      </c>
      <c r="ET3" s="5" t="s">
        <v>70</v>
      </c>
      <c r="EU3" s="5" t="s">
        <v>67</v>
      </c>
      <c r="EV3" s="5" t="s">
        <v>71</v>
      </c>
      <c r="EW3" s="5" t="s">
        <v>72</v>
      </c>
      <c r="EX3" s="5" t="s">
        <v>73</v>
      </c>
      <c r="EY3" s="5" t="s">
        <v>74</v>
      </c>
      <c r="EZ3" s="5" t="s">
        <v>75</v>
      </c>
      <c r="FA3" s="5" t="s">
        <v>76</v>
      </c>
    </row>
    <row r="4" spans="1:158" collapsed="1" x14ac:dyDescent="0.35">
      <c r="B4" s="21" t="s">
        <v>79</v>
      </c>
      <c r="D4" s="10" t="s">
        <v>95</v>
      </c>
      <c r="E4" s="10"/>
      <c r="F4" s="10"/>
      <c r="G4" s="10"/>
      <c r="H4" s="10"/>
      <c r="I4" s="10"/>
      <c r="J4" s="10"/>
      <c r="K4" s="10"/>
      <c r="L4" s="10"/>
      <c r="M4" s="10"/>
      <c r="N4" s="10"/>
      <c r="P4" s="20" t="s">
        <v>82</v>
      </c>
      <c r="Q4" s="20"/>
      <c r="R4" s="20"/>
      <c r="S4" s="20"/>
      <c r="T4" s="20"/>
      <c r="U4" s="20"/>
      <c r="V4" s="20"/>
      <c r="W4" s="20"/>
      <c r="X4" s="20"/>
      <c r="Y4" s="20"/>
      <c r="Z4" s="20"/>
      <c r="AB4" s="20" t="s">
        <v>83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N4" s="20" t="s">
        <v>84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Z4" s="20" t="s">
        <v>85</v>
      </c>
      <c r="BA4" s="20"/>
      <c r="BB4" s="20"/>
      <c r="BC4" s="20"/>
      <c r="BD4" s="20"/>
      <c r="BE4" s="20"/>
      <c r="BF4" s="20"/>
      <c r="BG4" s="20"/>
      <c r="BH4" s="20"/>
      <c r="BI4" s="20"/>
      <c r="BJ4" s="20"/>
      <c r="BL4" s="20" t="s">
        <v>86</v>
      </c>
      <c r="BM4" s="20"/>
      <c r="BN4" s="20"/>
      <c r="BO4" s="20"/>
      <c r="BP4" s="20"/>
      <c r="BQ4" s="20"/>
      <c r="BR4" s="20"/>
      <c r="BS4" s="20"/>
      <c r="BT4" s="20"/>
      <c r="BU4" s="20"/>
      <c r="BV4" s="20"/>
      <c r="BX4" s="20" t="s">
        <v>87</v>
      </c>
      <c r="BY4" s="20"/>
      <c r="BZ4" s="20"/>
      <c r="CA4" s="20"/>
      <c r="CB4" s="20"/>
      <c r="CC4" s="20"/>
      <c r="CD4" s="20"/>
      <c r="CE4" s="20"/>
      <c r="CF4" s="20"/>
      <c r="CG4" s="20"/>
      <c r="CH4" s="20"/>
      <c r="CJ4" s="20" t="s">
        <v>88</v>
      </c>
      <c r="CK4" s="20"/>
      <c r="CL4" s="20"/>
      <c r="CM4" s="20"/>
      <c r="CN4" s="20"/>
      <c r="CO4" s="20"/>
      <c r="CP4" s="20"/>
      <c r="CQ4" s="20"/>
      <c r="CR4" s="20"/>
      <c r="CS4" s="20"/>
      <c r="CT4" s="20"/>
      <c r="CV4" s="20" t="s">
        <v>89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H4" s="20" t="s">
        <v>90</v>
      </c>
      <c r="DI4" s="20"/>
      <c r="DJ4" s="20"/>
      <c r="DK4" s="20"/>
      <c r="DL4" s="20"/>
      <c r="DM4" s="20"/>
      <c r="DN4" s="20"/>
      <c r="DO4" s="20"/>
      <c r="DP4" s="20"/>
      <c r="DQ4" s="20"/>
      <c r="DR4" s="20"/>
      <c r="DT4" s="20" t="s">
        <v>91</v>
      </c>
      <c r="DU4" s="20"/>
      <c r="DV4" s="20"/>
      <c r="DW4" s="20"/>
      <c r="DX4" s="20"/>
      <c r="DY4" s="20"/>
      <c r="DZ4" s="20"/>
      <c r="EA4" s="20"/>
      <c r="EB4" s="20"/>
      <c r="EC4" s="20"/>
      <c r="ED4" s="20"/>
      <c r="EF4" s="20" t="s">
        <v>92</v>
      </c>
      <c r="EG4" s="20"/>
      <c r="EH4" s="20"/>
      <c r="EI4" s="20"/>
      <c r="EJ4" s="20"/>
      <c r="EK4" s="20"/>
      <c r="EL4" s="20"/>
      <c r="EM4" s="20"/>
      <c r="EN4" s="20"/>
      <c r="EO4" s="20"/>
      <c r="EP4" s="20"/>
      <c r="ER4" s="20" t="s">
        <v>93</v>
      </c>
      <c r="ES4" s="20"/>
      <c r="ET4" s="20"/>
      <c r="EU4" s="20"/>
      <c r="EV4" s="20"/>
      <c r="EW4" s="20"/>
      <c r="EX4" s="20"/>
      <c r="EY4" s="20"/>
      <c r="EZ4" s="20"/>
      <c r="FA4" s="20"/>
      <c r="FB4" s="20"/>
    </row>
    <row r="5" spans="1:158" x14ac:dyDescent="0.35">
      <c r="B5" s="22"/>
      <c r="D5" s="11" t="s">
        <v>68</v>
      </c>
      <c r="E5" s="11" t="s">
        <v>69</v>
      </c>
      <c r="F5" s="11" t="s">
        <v>70</v>
      </c>
      <c r="G5" s="11" t="s">
        <v>67</v>
      </c>
      <c r="H5" s="11" t="s">
        <v>71</v>
      </c>
      <c r="I5" s="11" t="s">
        <v>72</v>
      </c>
      <c r="J5" s="11" t="s">
        <v>73</v>
      </c>
      <c r="K5" s="11" t="s">
        <v>74</v>
      </c>
      <c r="L5" s="11" t="s">
        <v>75</v>
      </c>
      <c r="M5" s="11" t="s">
        <v>76</v>
      </c>
      <c r="N5" s="11" t="s">
        <v>78</v>
      </c>
      <c r="P5" s="12" t="s">
        <v>68</v>
      </c>
      <c r="Q5" s="12" t="s">
        <v>69</v>
      </c>
      <c r="R5" s="12" t="s">
        <v>70</v>
      </c>
      <c r="S5" s="12" t="s">
        <v>67</v>
      </c>
      <c r="T5" s="12" t="s">
        <v>71</v>
      </c>
      <c r="U5" s="12" t="s">
        <v>72</v>
      </c>
      <c r="V5" s="12" t="s">
        <v>73</v>
      </c>
      <c r="W5" s="12" t="s">
        <v>74</v>
      </c>
      <c r="X5" s="12" t="s">
        <v>75</v>
      </c>
      <c r="Y5" s="12" t="s">
        <v>76</v>
      </c>
      <c r="Z5" s="12" t="s">
        <v>78</v>
      </c>
      <c r="AB5" s="12" t="s">
        <v>68</v>
      </c>
      <c r="AC5" s="12" t="s">
        <v>69</v>
      </c>
      <c r="AD5" s="12" t="s">
        <v>70</v>
      </c>
      <c r="AE5" s="12" t="s">
        <v>67</v>
      </c>
      <c r="AF5" s="12" t="s">
        <v>71</v>
      </c>
      <c r="AG5" s="12" t="s">
        <v>72</v>
      </c>
      <c r="AH5" s="12" t="s">
        <v>73</v>
      </c>
      <c r="AI5" s="12" t="s">
        <v>74</v>
      </c>
      <c r="AJ5" s="12" t="s">
        <v>75</v>
      </c>
      <c r="AK5" s="12" t="s">
        <v>76</v>
      </c>
      <c r="AL5" s="12" t="s">
        <v>78</v>
      </c>
      <c r="AN5" s="12" t="s">
        <v>68</v>
      </c>
      <c r="AO5" s="12" t="s">
        <v>69</v>
      </c>
      <c r="AP5" s="12" t="s">
        <v>70</v>
      </c>
      <c r="AQ5" s="12" t="s">
        <v>67</v>
      </c>
      <c r="AR5" s="12" t="s">
        <v>71</v>
      </c>
      <c r="AS5" s="12" t="s">
        <v>72</v>
      </c>
      <c r="AT5" s="12" t="s">
        <v>73</v>
      </c>
      <c r="AU5" s="12" t="s">
        <v>74</v>
      </c>
      <c r="AV5" s="12" t="s">
        <v>75</v>
      </c>
      <c r="AW5" s="12" t="s">
        <v>76</v>
      </c>
      <c r="AX5" s="12" t="s">
        <v>78</v>
      </c>
      <c r="AZ5" s="12" t="s">
        <v>68</v>
      </c>
      <c r="BA5" s="12" t="s">
        <v>69</v>
      </c>
      <c r="BB5" s="12" t="s">
        <v>70</v>
      </c>
      <c r="BC5" s="12" t="s">
        <v>67</v>
      </c>
      <c r="BD5" s="12" t="s">
        <v>71</v>
      </c>
      <c r="BE5" s="12" t="s">
        <v>72</v>
      </c>
      <c r="BF5" s="12" t="s">
        <v>73</v>
      </c>
      <c r="BG5" s="12" t="s">
        <v>74</v>
      </c>
      <c r="BH5" s="12" t="s">
        <v>75</v>
      </c>
      <c r="BI5" s="12" t="s">
        <v>76</v>
      </c>
      <c r="BJ5" s="12" t="s">
        <v>78</v>
      </c>
      <c r="BL5" s="12" t="s">
        <v>68</v>
      </c>
      <c r="BM5" s="12" t="s">
        <v>69</v>
      </c>
      <c r="BN5" s="12" t="s">
        <v>70</v>
      </c>
      <c r="BO5" s="12" t="s">
        <v>67</v>
      </c>
      <c r="BP5" s="12" t="s">
        <v>71</v>
      </c>
      <c r="BQ5" s="12" t="s">
        <v>72</v>
      </c>
      <c r="BR5" s="12" t="s">
        <v>73</v>
      </c>
      <c r="BS5" s="12" t="s">
        <v>74</v>
      </c>
      <c r="BT5" s="12" t="s">
        <v>75</v>
      </c>
      <c r="BU5" s="12" t="s">
        <v>76</v>
      </c>
      <c r="BV5" s="12" t="s">
        <v>78</v>
      </c>
      <c r="BX5" s="12" t="s">
        <v>68</v>
      </c>
      <c r="BY5" s="12" t="s">
        <v>69</v>
      </c>
      <c r="BZ5" s="12" t="s">
        <v>70</v>
      </c>
      <c r="CA5" s="12" t="s">
        <v>67</v>
      </c>
      <c r="CB5" s="12" t="s">
        <v>71</v>
      </c>
      <c r="CC5" s="12" t="s">
        <v>72</v>
      </c>
      <c r="CD5" s="12" t="s">
        <v>73</v>
      </c>
      <c r="CE5" s="12" t="s">
        <v>74</v>
      </c>
      <c r="CF5" s="12" t="s">
        <v>75</v>
      </c>
      <c r="CG5" s="12" t="s">
        <v>76</v>
      </c>
      <c r="CH5" s="12" t="s">
        <v>78</v>
      </c>
      <c r="CJ5" s="12" t="s">
        <v>68</v>
      </c>
      <c r="CK5" s="12" t="s">
        <v>69</v>
      </c>
      <c r="CL5" s="12" t="s">
        <v>70</v>
      </c>
      <c r="CM5" s="12" t="s">
        <v>67</v>
      </c>
      <c r="CN5" s="12" t="s">
        <v>71</v>
      </c>
      <c r="CO5" s="12" t="s">
        <v>72</v>
      </c>
      <c r="CP5" s="12" t="s">
        <v>73</v>
      </c>
      <c r="CQ5" s="12" t="s">
        <v>74</v>
      </c>
      <c r="CR5" s="12" t="s">
        <v>75</v>
      </c>
      <c r="CS5" s="12" t="s">
        <v>76</v>
      </c>
      <c r="CT5" s="12" t="s">
        <v>78</v>
      </c>
      <c r="CV5" s="12" t="s">
        <v>68</v>
      </c>
      <c r="CW5" s="12" t="s">
        <v>69</v>
      </c>
      <c r="CX5" s="12" t="s">
        <v>70</v>
      </c>
      <c r="CY5" s="12" t="s">
        <v>67</v>
      </c>
      <c r="CZ5" s="12" t="s">
        <v>71</v>
      </c>
      <c r="DA5" s="12" t="s">
        <v>72</v>
      </c>
      <c r="DB5" s="12" t="s">
        <v>73</v>
      </c>
      <c r="DC5" s="12" t="s">
        <v>74</v>
      </c>
      <c r="DD5" s="12" t="s">
        <v>75</v>
      </c>
      <c r="DE5" s="12" t="s">
        <v>76</v>
      </c>
      <c r="DF5" s="12" t="s">
        <v>78</v>
      </c>
      <c r="DH5" s="12" t="s">
        <v>68</v>
      </c>
      <c r="DI5" s="12" t="s">
        <v>69</v>
      </c>
      <c r="DJ5" s="12" t="s">
        <v>70</v>
      </c>
      <c r="DK5" s="12" t="s">
        <v>67</v>
      </c>
      <c r="DL5" s="12" t="s">
        <v>71</v>
      </c>
      <c r="DM5" s="12" t="s">
        <v>72</v>
      </c>
      <c r="DN5" s="12" t="s">
        <v>73</v>
      </c>
      <c r="DO5" s="12" t="s">
        <v>74</v>
      </c>
      <c r="DP5" s="12" t="s">
        <v>75</v>
      </c>
      <c r="DQ5" s="12" t="s">
        <v>76</v>
      </c>
      <c r="DR5" s="12" t="s">
        <v>78</v>
      </c>
      <c r="DT5" s="12" t="s">
        <v>68</v>
      </c>
      <c r="DU5" s="12" t="s">
        <v>69</v>
      </c>
      <c r="DV5" s="12" t="s">
        <v>70</v>
      </c>
      <c r="DW5" s="12" t="s">
        <v>67</v>
      </c>
      <c r="DX5" s="12" t="s">
        <v>71</v>
      </c>
      <c r="DY5" s="12" t="s">
        <v>72</v>
      </c>
      <c r="DZ5" s="12" t="s">
        <v>73</v>
      </c>
      <c r="EA5" s="12" t="s">
        <v>74</v>
      </c>
      <c r="EB5" s="12" t="s">
        <v>75</v>
      </c>
      <c r="EC5" s="12" t="s">
        <v>76</v>
      </c>
      <c r="ED5" s="12" t="s">
        <v>78</v>
      </c>
      <c r="EF5" s="12" t="s">
        <v>68</v>
      </c>
      <c r="EG5" s="12" t="s">
        <v>69</v>
      </c>
      <c r="EH5" s="12" t="s">
        <v>70</v>
      </c>
      <c r="EI5" s="12" t="s">
        <v>67</v>
      </c>
      <c r="EJ5" s="12" t="s">
        <v>71</v>
      </c>
      <c r="EK5" s="12" t="s">
        <v>72</v>
      </c>
      <c r="EL5" s="12" t="s">
        <v>73</v>
      </c>
      <c r="EM5" s="12" t="s">
        <v>74</v>
      </c>
      <c r="EN5" s="12" t="s">
        <v>75</v>
      </c>
      <c r="EO5" s="12" t="s">
        <v>76</v>
      </c>
      <c r="EP5" s="12" t="s">
        <v>78</v>
      </c>
      <c r="ER5" s="12" t="s">
        <v>68</v>
      </c>
      <c r="ES5" s="12" t="s">
        <v>69</v>
      </c>
      <c r="ET5" s="12" t="s">
        <v>70</v>
      </c>
      <c r="EU5" s="12" t="s">
        <v>67</v>
      </c>
      <c r="EV5" s="12" t="s">
        <v>71</v>
      </c>
      <c r="EW5" s="12" t="s">
        <v>72</v>
      </c>
      <c r="EX5" s="12" t="s">
        <v>73</v>
      </c>
      <c r="EY5" s="12" t="s">
        <v>74</v>
      </c>
      <c r="EZ5" s="12" t="s">
        <v>75</v>
      </c>
      <c r="FA5" s="12" t="s">
        <v>76</v>
      </c>
      <c r="FB5" s="12" t="s">
        <v>78</v>
      </c>
    </row>
    <row r="6" spans="1:158" x14ac:dyDescent="0.35">
      <c r="A6" s="5" t="s">
        <v>68</v>
      </c>
      <c r="B6" t="s">
        <v>68</v>
      </c>
      <c r="D6" s="8" cm="1">
        <f t="array" ref="D6">IF(D$2="FY",SUMPRODUCT(Data[Nhập-SPC+SPP-NX]*(Data[Year]=D$1)*(Data[Main SKU name_GOM]=$A6)*(Data[SKU name_NHẬP_GOM]=D$3)),SUMPRODUCT(Data[Nhập-SPC+SPP-NX]*(Data[Year]=D$1)*(Data[Month]=D$2)*(Data[Main SKU name_GOM]=$A6)*(Data[SKU name_NHẬP_GOM]=D$3)))</f>
        <v>2068000</v>
      </c>
      <c r="E6" s="8" cm="1">
        <f t="array" ref="E6">IF(E$2="FY",SUMPRODUCT(Data[Nhập-SPC+SPP-NX]*(Data[Year]=E$1)*(Data[Main SKU name_GOM]=$A6)*(Data[SKU name_NHẬP_GOM]=E$3)),SUMPRODUCT(Data[Nhập-SPC+SPP-NX]*(Data[Year]=E$1)*(Data[Month]=E$2)*(Data[Main SKU name_GOM]=$A6)*(Data[SKU name_NHẬP_GOM]=E$3)))</f>
        <v>40700</v>
      </c>
      <c r="F6" s="8" cm="1">
        <f t="array" ref="F6">IF(F$2="FY",SUMPRODUCT(Data[Nhập-SPC+SPP-NX]*(Data[Year]=F$1)*(Data[Main SKU name_GOM]=$A6)*(Data[SKU name_NHẬP_GOM]=F$3)),SUMPRODUCT(Data[Nhập-SPC+SPP-NX]*(Data[Year]=F$1)*(Data[Month]=F$2)*(Data[Main SKU name_GOM]=$A6)*(Data[SKU name_NHẬP_GOM]=F$3)))</f>
        <v>47300</v>
      </c>
      <c r="G6" s="8" cm="1">
        <f t="array" ref="G6">IF(G$2="FY",SUMPRODUCT(Data[Nhập-SPC+SPP-NX]*(Data[Year]=G$1)*(Data[Main SKU name_GOM]=$A6)*(Data[SKU name_NHẬP_GOM]=G$3)),SUMPRODUCT(Data[Nhập-SPC+SPP-NX]*(Data[Year]=G$1)*(Data[Month]=G$2)*(Data[Main SKU name_GOM]=$A6)*(Data[SKU name_NHẬP_GOM]=G$3)))</f>
        <v>0</v>
      </c>
      <c r="H6" s="8" cm="1">
        <f t="array" ref="H6">IF(H$2="FY",SUMPRODUCT(Data[Nhập-SPC+SPP-NX]*(Data[Year]=H$1)*(Data[Main SKU name_GOM]=$A6)*(Data[SKU name_NHẬP_GOM]=H$3)),SUMPRODUCT(Data[Nhập-SPC+SPP-NX]*(Data[Year]=H$1)*(Data[Month]=H$2)*(Data[Main SKU name_GOM]=$A6)*(Data[SKU name_NHẬP_GOM]=H$3)))</f>
        <v>72600</v>
      </c>
      <c r="I6" s="8" cm="1">
        <f t="array" ref="I6">IF(I$2="FY",SUMPRODUCT(Data[Nhập-SPC+SPP-NX]*(Data[Year]=I$1)*(Data[Main SKU name_GOM]=$A6)*(Data[SKU name_NHẬP_GOM]=I$3)),SUMPRODUCT(Data[Nhập-SPC+SPP-NX]*(Data[Year]=I$1)*(Data[Month]=I$2)*(Data[Main SKU name_GOM]=$A6)*(Data[SKU name_NHẬP_GOM]=I$3)))</f>
        <v>2200</v>
      </c>
      <c r="J6" s="8" cm="1">
        <f t="array" ref="J6">IF(J$2="FY",SUMPRODUCT(Data[Nhập-SPC+SPP-NX]*(Data[Year]=J$1)*(Data[Main SKU name_GOM]=$A6)*(Data[SKU name_NHẬP_GOM]=J$3)),SUMPRODUCT(Data[Nhập-SPC+SPP-NX]*(Data[Year]=J$1)*(Data[Month]=J$2)*(Data[Main SKU name_GOM]=$A6)*(Data[SKU name_NHẬP_GOM]=J$3)))</f>
        <v>15400</v>
      </c>
      <c r="K6" s="8" cm="1">
        <f t="array" ref="K6">IF(K$2="FY",SUMPRODUCT(Data[Nhập-SPC+SPP-NX]*(Data[Year]=K$1)*(Data[Main SKU name_GOM]=$A6)*(Data[SKU name_NHẬP_GOM]=K$3)),SUMPRODUCT(Data[Nhập-SPC+SPP-NX]*(Data[Year]=K$1)*(Data[Month]=K$2)*(Data[Main SKU name_GOM]=$A6)*(Data[SKU name_NHẬP_GOM]=K$3)))</f>
        <v>0</v>
      </c>
      <c r="L6" s="8" cm="1">
        <f t="array" ref="L6">IF(L$2="FY",SUMPRODUCT(Data[Nhập-SPC+SPP-NX]*(Data[Year]=L$1)*(Data[Main SKU name_GOM]=$A6)*(Data[SKU name_NHẬP_GOM]=L$3)),SUMPRODUCT(Data[Nhập-SPC+SPP-NX]*(Data[Year]=L$1)*(Data[Month]=L$2)*(Data[Main SKU name_GOM]=$A6)*(Data[SKU name_NHẬP_GOM]=L$3)))</f>
        <v>4400</v>
      </c>
      <c r="M6" s="8" cm="1">
        <f t="array" ref="M6">IF(M$2="FY",SUMPRODUCT(Data[Nhập-SPC+SPP-NX]*(Data[Year]=M$1)*(Data[Main SKU name_GOM]=$A6)*(Data[SKU name_NHẬP_GOM]=M$3)),SUMPRODUCT(Data[Nhập-SPC+SPP-NX]*(Data[Year]=M$1)*(Data[Month]=M$2)*(Data[Main SKU name_GOM]=$A6)*(Data[SKU name_NHẬP_GOM]=M$3)))</f>
        <v>0</v>
      </c>
      <c r="N6" s="13">
        <f>SUM(D6:M6)</f>
        <v>2250600</v>
      </c>
      <c r="P6" s="8" cm="1">
        <f t="array" ref="P6">IF(P$2="FY",SUMPRODUCT(Data[Nhập-SPC+SPP-NX]*(Data[Year]=P$1)*(Data[Main SKU name_GOM]=$A6)*(Data[SKU name_NHẬP_GOM]=P$3)),SUMPRODUCT(Data[Nhập-SPC+SPP-NX]*(Data[Year]=P$1)*(Data[Month]=P$2)*(Data[Main SKU name_GOM]=$A6)*(Data[SKU name_NHẬP_GOM]=P$3)))</f>
        <v>301399.99999999994</v>
      </c>
      <c r="Q6" s="8" cm="1">
        <f t="array" ref="Q6">IF(Q$2="FY",SUMPRODUCT(Data[Nhập-SPC+SPP-NX]*(Data[Year]=Q$1)*(Data[Main SKU name_GOM]=$A6)*(Data[SKU name_NHẬP_GOM]=Q$3)),SUMPRODUCT(Data[Nhập-SPC+SPP-NX]*(Data[Year]=Q$1)*(Data[Month]=Q$2)*(Data[Main SKU name_GOM]=$A6)*(Data[SKU name_NHẬP_GOM]=Q$3)))</f>
        <v>1100</v>
      </c>
      <c r="R6" s="8" cm="1">
        <f t="array" ref="R6">IF(R$2="FY",SUMPRODUCT(Data[Nhập-SPC+SPP-NX]*(Data[Year]=R$1)*(Data[Main SKU name_GOM]=$A6)*(Data[SKU name_NHẬP_GOM]=R$3)),SUMPRODUCT(Data[Nhập-SPC+SPP-NX]*(Data[Year]=R$1)*(Data[Month]=R$2)*(Data[Main SKU name_GOM]=$A6)*(Data[SKU name_NHẬP_GOM]=R$3)))</f>
        <v>0</v>
      </c>
      <c r="S6" s="8" cm="1">
        <f t="array" ref="S6">IF(S$2="FY",SUMPRODUCT(Data[Nhập-SPC+SPP-NX]*(Data[Year]=S$1)*(Data[Main SKU name_GOM]=$A6)*(Data[SKU name_NHẬP_GOM]=S$3)),SUMPRODUCT(Data[Nhập-SPC+SPP-NX]*(Data[Year]=S$1)*(Data[Month]=S$2)*(Data[Main SKU name_GOM]=$A6)*(Data[SKU name_NHẬP_GOM]=S$3)))</f>
        <v>0</v>
      </c>
      <c r="T6" s="8" cm="1">
        <f t="array" ref="T6">IF(T$2="FY",SUMPRODUCT(Data[Nhập-SPC+SPP-NX]*(Data[Year]=T$1)*(Data[Main SKU name_GOM]=$A6)*(Data[SKU name_NHẬP_GOM]=T$3)),SUMPRODUCT(Data[Nhập-SPC+SPP-NX]*(Data[Year]=T$1)*(Data[Month]=T$2)*(Data[Main SKU name_GOM]=$A6)*(Data[SKU name_NHẬP_GOM]=T$3)))</f>
        <v>27500</v>
      </c>
      <c r="U6" s="8" cm="1">
        <f t="array" ref="U6">IF(U$2="FY",SUMPRODUCT(Data[Nhập-SPC+SPP-NX]*(Data[Year]=U$1)*(Data[Main SKU name_GOM]=$A6)*(Data[SKU name_NHẬP_GOM]=U$3)),SUMPRODUCT(Data[Nhập-SPC+SPP-NX]*(Data[Year]=U$1)*(Data[Month]=U$2)*(Data[Main SKU name_GOM]=$A6)*(Data[SKU name_NHẬP_GOM]=U$3)))</f>
        <v>0</v>
      </c>
      <c r="V6" s="8" cm="1">
        <f t="array" ref="V6">IF(V$2="FY",SUMPRODUCT(Data[Nhập-SPC+SPP-NX]*(Data[Year]=V$1)*(Data[Main SKU name_GOM]=$A6)*(Data[SKU name_NHẬP_GOM]=V$3)),SUMPRODUCT(Data[Nhập-SPC+SPP-NX]*(Data[Year]=V$1)*(Data[Month]=V$2)*(Data[Main SKU name_GOM]=$A6)*(Data[SKU name_NHẬP_GOM]=V$3)))</f>
        <v>2200</v>
      </c>
      <c r="W6" s="8" cm="1">
        <f t="array" ref="W6">IF(W$2="FY",SUMPRODUCT(Data[Nhập-SPC+SPP-NX]*(Data[Year]=W$1)*(Data[Main SKU name_GOM]=$A6)*(Data[SKU name_NHẬP_GOM]=W$3)),SUMPRODUCT(Data[Nhập-SPC+SPP-NX]*(Data[Year]=W$1)*(Data[Month]=W$2)*(Data[Main SKU name_GOM]=$A6)*(Data[SKU name_NHẬP_GOM]=W$3)))</f>
        <v>0</v>
      </c>
      <c r="X6" s="8" cm="1">
        <f t="array" ref="X6">IF(X$2="FY",SUMPRODUCT(Data[Nhập-SPC+SPP-NX]*(Data[Year]=X$1)*(Data[Main SKU name_GOM]=$A6)*(Data[SKU name_NHẬP_GOM]=X$3)),SUMPRODUCT(Data[Nhập-SPC+SPP-NX]*(Data[Year]=X$1)*(Data[Month]=X$2)*(Data[Main SKU name_GOM]=$A6)*(Data[SKU name_NHẬP_GOM]=X$3)))</f>
        <v>0</v>
      </c>
      <c r="Y6" s="8" cm="1">
        <f t="array" ref="Y6">IF(Y$2="FY",SUMPRODUCT(Data[Nhập-SPC+SPP-NX]*(Data[Year]=Y$1)*(Data[Main SKU name_GOM]=$A6)*(Data[SKU name_NHẬP_GOM]=Y$3)),SUMPRODUCT(Data[Nhập-SPC+SPP-NX]*(Data[Year]=Y$1)*(Data[Month]=Y$2)*(Data[Main SKU name_GOM]=$A6)*(Data[SKU name_NHẬP_GOM]=Y$3)))</f>
        <v>0</v>
      </c>
      <c r="Z6" s="8">
        <f>SUM(P6:Y6)</f>
        <v>332199.99999999994</v>
      </c>
      <c r="AB6" s="8" cm="1">
        <f t="array" ref="AB6">IF(AB$2="FY",SUMPRODUCT(Data[Nhập-SPC+SPP-NX]*(Data[Year]=AB$1)*(Data[Main SKU name_GOM]=$A6)*(Data[SKU name_NHẬP_GOM]=AB$3)),SUMPRODUCT(Data[Nhập-SPC+SPP-NX]*(Data[Year]=AB$1)*(Data[Month]=AB$2)*(Data[Main SKU name_GOM]=$A6)*(Data[SKU name_NHẬP_GOM]=AB$3)))</f>
        <v>300300</v>
      </c>
      <c r="AC6" s="8" cm="1">
        <f t="array" ref="AC6">IF(AC$2="FY",SUMPRODUCT(Data[Nhập-SPC+SPP-NX]*(Data[Year]=AC$1)*(Data[Main SKU name_GOM]=$A6)*(Data[SKU name_NHẬP_GOM]=AC$3)),SUMPRODUCT(Data[Nhập-SPC+SPP-NX]*(Data[Year]=AC$1)*(Data[Month]=AC$2)*(Data[Main SKU name_GOM]=$A6)*(Data[SKU name_NHẬP_GOM]=AC$3)))</f>
        <v>25300</v>
      </c>
      <c r="AD6" s="8" cm="1">
        <f t="array" ref="AD6">IF(AD$2="FY",SUMPRODUCT(Data[Nhập-SPC+SPP-NX]*(Data[Year]=AD$1)*(Data[Main SKU name_GOM]=$A6)*(Data[SKU name_NHẬP_GOM]=AD$3)),SUMPRODUCT(Data[Nhập-SPC+SPP-NX]*(Data[Year]=AD$1)*(Data[Month]=AD$2)*(Data[Main SKU name_GOM]=$A6)*(Data[SKU name_NHẬP_GOM]=AD$3)))</f>
        <v>0</v>
      </c>
      <c r="AE6" s="8" cm="1">
        <f t="array" ref="AE6">IF(AE$2="FY",SUMPRODUCT(Data[Nhập-SPC+SPP-NX]*(Data[Year]=AE$1)*(Data[Main SKU name_GOM]=$A6)*(Data[SKU name_NHẬP_GOM]=AE$3)),SUMPRODUCT(Data[Nhập-SPC+SPP-NX]*(Data[Year]=AE$1)*(Data[Month]=AE$2)*(Data[Main SKU name_GOM]=$A6)*(Data[SKU name_NHẬP_GOM]=AE$3)))</f>
        <v>0</v>
      </c>
      <c r="AF6" s="8" cm="1">
        <f t="array" ref="AF6">IF(AF$2="FY",SUMPRODUCT(Data[Nhập-SPC+SPP-NX]*(Data[Year]=AF$1)*(Data[Main SKU name_GOM]=$A6)*(Data[SKU name_NHẬP_GOM]=AF$3)),SUMPRODUCT(Data[Nhập-SPC+SPP-NX]*(Data[Year]=AF$1)*(Data[Month]=AF$2)*(Data[Main SKU name_GOM]=$A6)*(Data[SKU name_NHẬP_GOM]=AF$3)))</f>
        <v>23100</v>
      </c>
      <c r="AG6" s="8" cm="1">
        <f t="array" ref="AG6">IF(AG$2="FY",SUMPRODUCT(Data[Nhập-SPC+SPP-NX]*(Data[Year]=AG$1)*(Data[Main SKU name_GOM]=$A6)*(Data[SKU name_NHẬP_GOM]=AG$3)),SUMPRODUCT(Data[Nhập-SPC+SPP-NX]*(Data[Year]=AG$1)*(Data[Month]=AG$2)*(Data[Main SKU name_GOM]=$A6)*(Data[SKU name_NHẬP_GOM]=AG$3)))</f>
        <v>0</v>
      </c>
      <c r="AH6" s="8" cm="1">
        <f t="array" ref="AH6">IF(AH$2="FY",SUMPRODUCT(Data[Nhập-SPC+SPP-NX]*(Data[Year]=AH$1)*(Data[Main SKU name_GOM]=$A6)*(Data[SKU name_NHẬP_GOM]=AH$3)),SUMPRODUCT(Data[Nhập-SPC+SPP-NX]*(Data[Year]=AH$1)*(Data[Month]=AH$2)*(Data[Main SKU name_GOM]=$A6)*(Data[SKU name_NHẬP_GOM]=AH$3)))</f>
        <v>4400</v>
      </c>
      <c r="AI6" s="8" cm="1">
        <f t="array" ref="AI6">IF(AI$2="FY",SUMPRODUCT(Data[Nhập-SPC+SPP-NX]*(Data[Year]=AI$1)*(Data[Main SKU name_GOM]=$A6)*(Data[SKU name_NHẬP_GOM]=AI$3)),SUMPRODUCT(Data[Nhập-SPC+SPP-NX]*(Data[Year]=AI$1)*(Data[Month]=AI$2)*(Data[Main SKU name_GOM]=$A6)*(Data[SKU name_NHẬP_GOM]=AI$3)))</f>
        <v>0</v>
      </c>
      <c r="AJ6" s="8" cm="1">
        <f t="array" ref="AJ6">IF(AJ$2="FY",SUMPRODUCT(Data[Nhập-SPC+SPP-NX]*(Data[Year]=AJ$1)*(Data[Main SKU name_GOM]=$A6)*(Data[SKU name_NHẬP_GOM]=AJ$3)),SUMPRODUCT(Data[Nhập-SPC+SPP-NX]*(Data[Year]=AJ$1)*(Data[Month]=AJ$2)*(Data[Main SKU name_GOM]=$A6)*(Data[SKU name_NHẬP_GOM]=AJ$3)))</f>
        <v>2200</v>
      </c>
      <c r="AK6" s="8" cm="1">
        <f t="array" ref="AK6">IF(AK$2="FY",SUMPRODUCT(Data[Nhập-SPC+SPP-NX]*(Data[Year]=AK$1)*(Data[Main SKU name_GOM]=$A6)*(Data[SKU name_NHẬP_GOM]=AK$3)),SUMPRODUCT(Data[Nhập-SPC+SPP-NX]*(Data[Year]=AK$1)*(Data[Month]=AK$2)*(Data[Main SKU name_GOM]=$A6)*(Data[SKU name_NHẬP_GOM]=AK$3)))</f>
        <v>0</v>
      </c>
      <c r="AL6" s="8">
        <f>SUM(AB6:AK6)</f>
        <v>355300</v>
      </c>
      <c r="AN6" s="8" cm="1">
        <f t="array" ref="AN6">IF(AN$2="FY",SUMPRODUCT(Data[Nhập-SPC+SPP-NX]*(Data[Year]=AN$1)*(Data[Main SKU name_GOM]=$A6)*(Data[SKU name_NHẬP_GOM]=AN$3)),SUMPRODUCT(Data[Nhập-SPC+SPP-NX]*(Data[Year]=AN$1)*(Data[Month]=AN$2)*(Data[Main SKU name_GOM]=$A6)*(Data[SKU name_NHẬP_GOM]=AN$3)))</f>
        <v>616000</v>
      </c>
      <c r="AO6" s="8" cm="1">
        <f t="array" ref="AO6">IF(AO$2="FY",SUMPRODUCT(Data[Nhập-SPC+SPP-NX]*(Data[Year]=AO$1)*(Data[Main SKU name_GOM]=$A6)*(Data[SKU name_NHẬP_GOM]=AO$3)),SUMPRODUCT(Data[Nhập-SPC+SPP-NX]*(Data[Year]=AO$1)*(Data[Month]=AO$2)*(Data[Main SKU name_GOM]=$A6)*(Data[SKU name_NHẬP_GOM]=AO$3)))</f>
        <v>1100</v>
      </c>
      <c r="AP6" s="8" cm="1">
        <f t="array" ref="AP6">IF(AP$2="FY",SUMPRODUCT(Data[Nhập-SPC+SPP-NX]*(Data[Year]=AP$1)*(Data[Main SKU name_GOM]=$A6)*(Data[SKU name_NHẬP_GOM]=AP$3)),SUMPRODUCT(Data[Nhập-SPC+SPP-NX]*(Data[Year]=AP$1)*(Data[Month]=AP$2)*(Data[Main SKU name_GOM]=$A6)*(Data[SKU name_NHẬP_GOM]=AP$3)))</f>
        <v>0</v>
      </c>
      <c r="AQ6" s="8" cm="1">
        <f t="array" ref="AQ6">IF(AQ$2="FY",SUMPRODUCT(Data[Nhập-SPC+SPP-NX]*(Data[Year]=AQ$1)*(Data[Main SKU name_GOM]=$A6)*(Data[SKU name_NHẬP_GOM]=AQ$3)),SUMPRODUCT(Data[Nhập-SPC+SPP-NX]*(Data[Year]=AQ$1)*(Data[Month]=AQ$2)*(Data[Main SKU name_GOM]=$A6)*(Data[SKU name_NHẬP_GOM]=AQ$3)))</f>
        <v>0</v>
      </c>
      <c r="AR6" s="8" cm="1">
        <f t="array" ref="AR6">IF(AR$2="FY",SUMPRODUCT(Data[Nhập-SPC+SPP-NX]*(Data[Year]=AR$1)*(Data[Main SKU name_GOM]=$A6)*(Data[SKU name_NHẬP_GOM]=AR$3)),SUMPRODUCT(Data[Nhập-SPC+SPP-NX]*(Data[Year]=AR$1)*(Data[Month]=AR$2)*(Data[Main SKU name_GOM]=$A6)*(Data[SKU name_NHẬP_GOM]=AR$3)))</f>
        <v>8800</v>
      </c>
      <c r="AS6" s="8" cm="1">
        <f t="array" ref="AS6">IF(AS$2="FY",SUMPRODUCT(Data[Nhập-SPC+SPP-NX]*(Data[Year]=AS$1)*(Data[Main SKU name_GOM]=$A6)*(Data[SKU name_NHẬP_GOM]=AS$3)),SUMPRODUCT(Data[Nhập-SPC+SPP-NX]*(Data[Year]=AS$1)*(Data[Month]=AS$2)*(Data[Main SKU name_GOM]=$A6)*(Data[SKU name_NHẬP_GOM]=AS$3)))</f>
        <v>0</v>
      </c>
      <c r="AT6" s="8" cm="1">
        <f t="array" ref="AT6">IF(AT$2="FY",SUMPRODUCT(Data[Nhập-SPC+SPP-NX]*(Data[Year]=AT$1)*(Data[Main SKU name_GOM]=$A6)*(Data[SKU name_NHẬP_GOM]=AT$3)),SUMPRODUCT(Data[Nhập-SPC+SPP-NX]*(Data[Year]=AT$1)*(Data[Month]=AT$2)*(Data[Main SKU name_GOM]=$A6)*(Data[SKU name_NHẬP_GOM]=AT$3)))</f>
        <v>6600.0000000000009</v>
      </c>
      <c r="AU6" s="8" cm="1">
        <f t="array" ref="AU6">IF(AU$2="FY",SUMPRODUCT(Data[Nhập-SPC+SPP-NX]*(Data[Year]=AU$1)*(Data[Main SKU name_GOM]=$A6)*(Data[SKU name_NHẬP_GOM]=AU$3)),SUMPRODUCT(Data[Nhập-SPC+SPP-NX]*(Data[Year]=AU$1)*(Data[Month]=AU$2)*(Data[Main SKU name_GOM]=$A6)*(Data[SKU name_NHẬP_GOM]=AU$3)))</f>
        <v>0</v>
      </c>
      <c r="AV6" s="8" cm="1">
        <f t="array" ref="AV6">IF(AV$2="FY",SUMPRODUCT(Data[Nhập-SPC+SPP-NX]*(Data[Year]=AV$1)*(Data[Main SKU name_GOM]=$A6)*(Data[SKU name_NHẬP_GOM]=AV$3)),SUMPRODUCT(Data[Nhập-SPC+SPP-NX]*(Data[Year]=AV$1)*(Data[Month]=AV$2)*(Data[Main SKU name_GOM]=$A6)*(Data[SKU name_NHẬP_GOM]=AV$3)))</f>
        <v>0</v>
      </c>
      <c r="AW6" s="8" cm="1">
        <f t="array" ref="AW6">IF(AW$2="FY",SUMPRODUCT(Data[Nhập-SPC+SPP-NX]*(Data[Year]=AW$1)*(Data[Main SKU name_GOM]=$A6)*(Data[SKU name_NHẬP_GOM]=AW$3)),SUMPRODUCT(Data[Nhập-SPC+SPP-NX]*(Data[Year]=AW$1)*(Data[Month]=AW$2)*(Data[Main SKU name_GOM]=$A6)*(Data[SKU name_NHẬP_GOM]=AW$3)))</f>
        <v>0</v>
      </c>
      <c r="AX6" s="8">
        <f>SUM(AN6:AW6)</f>
        <v>632500</v>
      </c>
      <c r="AZ6" s="8" cm="1">
        <f t="array" ref="AZ6">IF(AZ$2="FY",SUMPRODUCT(Data[Nhập-SPC+SPP-NX]*(Data[Year]=AZ$1)*(Data[Main SKU name_GOM]=$A6)*(Data[SKU name_NHẬP_GOM]=AZ$3)),SUMPRODUCT(Data[Nhập-SPC+SPP-NX]*(Data[Year]=AZ$1)*(Data[Month]=AZ$2)*(Data[Main SKU name_GOM]=$A6)*(Data[SKU name_NHẬP_GOM]=AZ$3)))</f>
        <v>850300.00000000012</v>
      </c>
      <c r="BA6" s="8" cm="1">
        <f t="array" ref="BA6">IF(BA$2="FY",SUMPRODUCT(Data[Nhập-SPC+SPP-NX]*(Data[Year]=BA$1)*(Data[Main SKU name_GOM]=$A6)*(Data[SKU name_NHẬP_GOM]=BA$3)),SUMPRODUCT(Data[Nhập-SPC+SPP-NX]*(Data[Year]=BA$1)*(Data[Month]=BA$2)*(Data[Main SKU name_GOM]=$A6)*(Data[SKU name_NHẬP_GOM]=BA$3)))</f>
        <v>13199.999999999998</v>
      </c>
      <c r="BB6" s="8" cm="1">
        <f t="array" ref="BB6">IF(BB$2="FY",SUMPRODUCT(Data[Nhập-SPC+SPP-NX]*(Data[Year]=BB$1)*(Data[Main SKU name_GOM]=$A6)*(Data[SKU name_NHẬP_GOM]=BB$3)),SUMPRODUCT(Data[Nhập-SPC+SPP-NX]*(Data[Year]=BB$1)*(Data[Month]=BB$2)*(Data[Main SKU name_GOM]=$A6)*(Data[SKU name_NHẬP_GOM]=BB$3)))</f>
        <v>47300</v>
      </c>
      <c r="BC6" s="8" cm="1">
        <f t="array" ref="BC6">IF(BC$2="FY",SUMPRODUCT(Data[Nhập-SPC+SPP-NX]*(Data[Year]=BC$1)*(Data[Main SKU name_GOM]=$A6)*(Data[SKU name_NHẬP_GOM]=BC$3)),SUMPRODUCT(Data[Nhập-SPC+SPP-NX]*(Data[Year]=BC$1)*(Data[Month]=BC$2)*(Data[Main SKU name_GOM]=$A6)*(Data[SKU name_NHẬP_GOM]=BC$3)))</f>
        <v>0</v>
      </c>
      <c r="BD6" s="8" cm="1">
        <f t="array" ref="BD6">IF(BD$2="FY",SUMPRODUCT(Data[Nhập-SPC+SPP-NX]*(Data[Year]=BD$1)*(Data[Main SKU name_GOM]=$A6)*(Data[SKU name_NHẬP_GOM]=BD$3)),SUMPRODUCT(Data[Nhập-SPC+SPP-NX]*(Data[Year]=BD$1)*(Data[Month]=BD$2)*(Data[Main SKU name_GOM]=$A6)*(Data[SKU name_NHẬP_GOM]=BD$3)))</f>
        <v>13200</v>
      </c>
      <c r="BE6" s="8" cm="1">
        <f t="array" ref="BE6">IF(BE$2="FY",SUMPRODUCT(Data[Nhập-SPC+SPP-NX]*(Data[Year]=BE$1)*(Data[Main SKU name_GOM]=$A6)*(Data[SKU name_NHẬP_GOM]=BE$3)),SUMPRODUCT(Data[Nhập-SPC+SPP-NX]*(Data[Year]=BE$1)*(Data[Month]=BE$2)*(Data[Main SKU name_GOM]=$A6)*(Data[SKU name_NHẬP_GOM]=BE$3)))</f>
        <v>2200</v>
      </c>
      <c r="BF6" s="8" cm="1">
        <f t="array" ref="BF6">IF(BF$2="FY",SUMPRODUCT(Data[Nhập-SPC+SPP-NX]*(Data[Year]=BF$1)*(Data[Main SKU name_GOM]=$A6)*(Data[SKU name_NHẬP_GOM]=BF$3)),SUMPRODUCT(Data[Nhập-SPC+SPP-NX]*(Data[Year]=BF$1)*(Data[Month]=BF$2)*(Data[Main SKU name_GOM]=$A6)*(Data[SKU name_NHẬP_GOM]=BF$3)))</f>
        <v>2200</v>
      </c>
      <c r="BG6" s="8" cm="1">
        <f t="array" ref="BG6">IF(BG$2="FY",SUMPRODUCT(Data[Nhập-SPC+SPP-NX]*(Data[Year]=BG$1)*(Data[Main SKU name_GOM]=$A6)*(Data[SKU name_NHẬP_GOM]=BG$3)),SUMPRODUCT(Data[Nhập-SPC+SPP-NX]*(Data[Year]=BG$1)*(Data[Month]=BG$2)*(Data[Main SKU name_GOM]=$A6)*(Data[SKU name_NHẬP_GOM]=BG$3)))</f>
        <v>0</v>
      </c>
      <c r="BH6" s="8" cm="1">
        <f t="array" ref="BH6">IF(BH$2="FY",SUMPRODUCT(Data[Nhập-SPC+SPP-NX]*(Data[Year]=BH$1)*(Data[Main SKU name_GOM]=$A6)*(Data[SKU name_NHẬP_GOM]=BH$3)),SUMPRODUCT(Data[Nhập-SPC+SPP-NX]*(Data[Year]=BH$1)*(Data[Month]=BH$2)*(Data[Main SKU name_GOM]=$A6)*(Data[SKU name_NHẬP_GOM]=BH$3)))</f>
        <v>2200</v>
      </c>
      <c r="BI6" s="8" cm="1">
        <f t="array" ref="BI6">IF(BI$2="FY",SUMPRODUCT(Data[Nhập-SPC+SPP-NX]*(Data[Year]=BI$1)*(Data[Main SKU name_GOM]=$A6)*(Data[SKU name_NHẬP_GOM]=BI$3)),SUMPRODUCT(Data[Nhập-SPC+SPP-NX]*(Data[Year]=BI$1)*(Data[Month]=BI$2)*(Data[Main SKU name_GOM]=$A6)*(Data[SKU name_NHẬP_GOM]=BI$3)))</f>
        <v>0</v>
      </c>
      <c r="BJ6" s="8">
        <f>SUM(AZ6:BI6)</f>
        <v>930600.00000000012</v>
      </c>
      <c r="BL6" s="8" cm="1">
        <f t="array" ref="BL6">IF(BL$2="FY",SUMPRODUCT(Data[Nhập-SPC+SPP-NX]*(Data[Year]=BL$1)*(Data[Main SKU name_GOM]=$A6)*(Data[SKU name_NHẬP_GOM]=BL$3)),SUMPRODUCT(Data[Nhập-SPC+SPP-NX]*(Data[Year]=BL$1)*(Data[Month]=BL$2)*(Data[Main SKU name_GOM]=$A6)*(Data[SKU name_NHẬP_GOM]=BL$3)))</f>
        <v>0</v>
      </c>
      <c r="BM6" s="8" cm="1">
        <f t="array" ref="BM6">IF(BM$2="FY",SUMPRODUCT(Data[Nhập-SPC+SPP-NX]*(Data[Year]=BM$1)*(Data[Main SKU name_GOM]=$A6)*(Data[SKU name_NHẬP_GOM]=BM$3)),SUMPRODUCT(Data[Nhập-SPC+SPP-NX]*(Data[Year]=BM$1)*(Data[Month]=BM$2)*(Data[Main SKU name_GOM]=$A6)*(Data[SKU name_NHẬP_GOM]=BM$3)))</f>
        <v>0</v>
      </c>
      <c r="BN6" s="8" cm="1">
        <f t="array" ref="BN6">IF(BN$2="FY",SUMPRODUCT(Data[Nhập-SPC+SPP-NX]*(Data[Year]=BN$1)*(Data[Main SKU name_GOM]=$A6)*(Data[SKU name_NHẬP_GOM]=BN$3)),SUMPRODUCT(Data[Nhập-SPC+SPP-NX]*(Data[Year]=BN$1)*(Data[Month]=BN$2)*(Data[Main SKU name_GOM]=$A6)*(Data[SKU name_NHẬP_GOM]=BN$3)))</f>
        <v>0</v>
      </c>
      <c r="BO6" s="8" cm="1">
        <f t="array" ref="BO6">IF(BO$2="FY",SUMPRODUCT(Data[Nhập-SPC+SPP-NX]*(Data[Year]=BO$1)*(Data[Main SKU name_GOM]=$A6)*(Data[SKU name_NHẬP_GOM]=BO$3)),SUMPRODUCT(Data[Nhập-SPC+SPP-NX]*(Data[Year]=BO$1)*(Data[Month]=BO$2)*(Data[Main SKU name_GOM]=$A6)*(Data[SKU name_NHẬP_GOM]=BO$3)))</f>
        <v>0</v>
      </c>
      <c r="BP6" s="8" cm="1">
        <f t="array" ref="BP6">IF(BP$2="FY",SUMPRODUCT(Data[Nhập-SPC+SPP-NX]*(Data[Year]=BP$1)*(Data[Main SKU name_GOM]=$A6)*(Data[SKU name_NHẬP_GOM]=BP$3)),SUMPRODUCT(Data[Nhập-SPC+SPP-NX]*(Data[Year]=BP$1)*(Data[Month]=BP$2)*(Data[Main SKU name_GOM]=$A6)*(Data[SKU name_NHẬP_GOM]=BP$3)))</f>
        <v>0</v>
      </c>
      <c r="BQ6" s="8" cm="1">
        <f t="array" ref="BQ6">IF(BQ$2="FY",SUMPRODUCT(Data[Nhập-SPC+SPP-NX]*(Data[Year]=BQ$1)*(Data[Main SKU name_GOM]=$A6)*(Data[SKU name_NHẬP_GOM]=BQ$3)),SUMPRODUCT(Data[Nhập-SPC+SPP-NX]*(Data[Year]=BQ$1)*(Data[Month]=BQ$2)*(Data[Main SKU name_GOM]=$A6)*(Data[SKU name_NHẬP_GOM]=BQ$3)))</f>
        <v>0</v>
      </c>
      <c r="BR6" s="8" cm="1">
        <f t="array" ref="BR6">IF(BR$2="FY",SUMPRODUCT(Data[Nhập-SPC+SPP-NX]*(Data[Year]=BR$1)*(Data[Main SKU name_GOM]=$A6)*(Data[SKU name_NHẬP_GOM]=BR$3)),SUMPRODUCT(Data[Nhập-SPC+SPP-NX]*(Data[Year]=BR$1)*(Data[Month]=BR$2)*(Data[Main SKU name_GOM]=$A6)*(Data[SKU name_NHẬP_GOM]=BR$3)))</f>
        <v>0</v>
      </c>
      <c r="BS6" s="8" cm="1">
        <f t="array" ref="BS6">IF(BS$2="FY",SUMPRODUCT(Data[Nhập-SPC+SPP-NX]*(Data[Year]=BS$1)*(Data[Main SKU name_GOM]=$A6)*(Data[SKU name_NHẬP_GOM]=BS$3)),SUMPRODUCT(Data[Nhập-SPC+SPP-NX]*(Data[Year]=BS$1)*(Data[Month]=BS$2)*(Data[Main SKU name_GOM]=$A6)*(Data[SKU name_NHẬP_GOM]=BS$3)))</f>
        <v>0</v>
      </c>
      <c r="BT6" s="8" cm="1">
        <f t="array" ref="BT6">IF(BT$2="FY",SUMPRODUCT(Data[Nhập-SPC+SPP-NX]*(Data[Year]=BT$1)*(Data[Main SKU name_GOM]=$A6)*(Data[SKU name_NHẬP_GOM]=BT$3)),SUMPRODUCT(Data[Nhập-SPC+SPP-NX]*(Data[Year]=BT$1)*(Data[Month]=BT$2)*(Data[Main SKU name_GOM]=$A6)*(Data[SKU name_NHẬP_GOM]=BT$3)))</f>
        <v>0</v>
      </c>
      <c r="BU6" s="8" cm="1">
        <f t="array" ref="BU6">IF(BU$2="FY",SUMPRODUCT(Data[Nhập-SPC+SPP-NX]*(Data[Year]=BU$1)*(Data[Main SKU name_GOM]=$A6)*(Data[SKU name_NHẬP_GOM]=BU$3)),SUMPRODUCT(Data[Nhập-SPC+SPP-NX]*(Data[Year]=BU$1)*(Data[Month]=BU$2)*(Data[Main SKU name_GOM]=$A6)*(Data[SKU name_NHẬP_GOM]=BU$3)))</f>
        <v>0</v>
      </c>
      <c r="BV6" s="8">
        <f>SUM(BL6:BU6)</f>
        <v>0</v>
      </c>
      <c r="BX6" s="8" cm="1">
        <f t="array" ref="BX6">IF(BX$2="FY",SUMPRODUCT(Data[Nhập-SPC+SPP-NX]*(Data[Year]=BX$1)*(Data[Main SKU name_GOM]=$A6)*(Data[SKU name_NHẬP_GOM]=BX$3)),SUMPRODUCT(Data[Nhập-SPC+SPP-NX]*(Data[Year]=BX$1)*(Data[Month]=BX$2)*(Data[Main SKU name_GOM]=$A6)*(Data[SKU name_NHẬP_GOM]=BX$3)))</f>
        <v>0</v>
      </c>
      <c r="BY6" s="8" cm="1">
        <f t="array" ref="BY6">IF(BY$2="FY",SUMPRODUCT(Data[Nhập-SPC+SPP-NX]*(Data[Year]=BY$1)*(Data[Main SKU name_GOM]=$A6)*(Data[SKU name_NHẬP_GOM]=BY$3)),SUMPRODUCT(Data[Nhập-SPC+SPP-NX]*(Data[Year]=BY$1)*(Data[Month]=BY$2)*(Data[Main SKU name_GOM]=$A6)*(Data[SKU name_NHẬP_GOM]=BY$3)))</f>
        <v>0</v>
      </c>
      <c r="BZ6" s="8" cm="1">
        <f t="array" ref="BZ6">IF(BZ$2="FY",SUMPRODUCT(Data[Nhập-SPC+SPP-NX]*(Data[Year]=BZ$1)*(Data[Main SKU name_GOM]=$A6)*(Data[SKU name_NHẬP_GOM]=BZ$3)),SUMPRODUCT(Data[Nhập-SPC+SPP-NX]*(Data[Year]=BZ$1)*(Data[Month]=BZ$2)*(Data[Main SKU name_GOM]=$A6)*(Data[SKU name_NHẬP_GOM]=BZ$3)))</f>
        <v>0</v>
      </c>
      <c r="CA6" s="8" cm="1">
        <f t="array" ref="CA6">IF(CA$2="FY",SUMPRODUCT(Data[Nhập-SPC+SPP-NX]*(Data[Year]=CA$1)*(Data[Main SKU name_GOM]=$A6)*(Data[SKU name_NHẬP_GOM]=CA$3)),SUMPRODUCT(Data[Nhập-SPC+SPP-NX]*(Data[Year]=CA$1)*(Data[Month]=CA$2)*(Data[Main SKU name_GOM]=$A6)*(Data[SKU name_NHẬP_GOM]=CA$3)))</f>
        <v>0</v>
      </c>
      <c r="CB6" s="8" cm="1">
        <f t="array" ref="CB6">IF(CB$2="FY",SUMPRODUCT(Data[Nhập-SPC+SPP-NX]*(Data[Year]=CB$1)*(Data[Main SKU name_GOM]=$A6)*(Data[SKU name_NHẬP_GOM]=CB$3)),SUMPRODUCT(Data[Nhập-SPC+SPP-NX]*(Data[Year]=CB$1)*(Data[Month]=CB$2)*(Data[Main SKU name_GOM]=$A6)*(Data[SKU name_NHẬP_GOM]=CB$3)))</f>
        <v>0</v>
      </c>
      <c r="CC6" s="8" cm="1">
        <f t="array" ref="CC6">IF(CC$2="FY",SUMPRODUCT(Data[Nhập-SPC+SPP-NX]*(Data[Year]=CC$1)*(Data[Main SKU name_GOM]=$A6)*(Data[SKU name_NHẬP_GOM]=CC$3)),SUMPRODUCT(Data[Nhập-SPC+SPP-NX]*(Data[Year]=CC$1)*(Data[Month]=CC$2)*(Data[Main SKU name_GOM]=$A6)*(Data[SKU name_NHẬP_GOM]=CC$3)))</f>
        <v>0</v>
      </c>
      <c r="CD6" s="8" cm="1">
        <f t="array" ref="CD6">IF(CD$2="FY",SUMPRODUCT(Data[Nhập-SPC+SPP-NX]*(Data[Year]=CD$1)*(Data[Main SKU name_GOM]=$A6)*(Data[SKU name_NHẬP_GOM]=CD$3)),SUMPRODUCT(Data[Nhập-SPC+SPP-NX]*(Data[Year]=CD$1)*(Data[Month]=CD$2)*(Data[Main SKU name_GOM]=$A6)*(Data[SKU name_NHẬP_GOM]=CD$3)))</f>
        <v>0</v>
      </c>
      <c r="CE6" s="8" cm="1">
        <f t="array" ref="CE6">IF(CE$2="FY",SUMPRODUCT(Data[Nhập-SPC+SPP-NX]*(Data[Year]=CE$1)*(Data[Main SKU name_GOM]=$A6)*(Data[SKU name_NHẬP_GOM]=CE$3)),SUMPRODUCT(Data[Nhập-SPC+SPP-NX]*(Data[Year]=CE$1)*(Data[Month]=CE$2)*(Data[Main SKU name_GOM]=$A6)*(Data[SKU name_NHẬP_GOM]=CE$3)))</f>
        <v>0</v>
      </c>
      <c r="CF6" s="8" cm="1">
        <f t="array" ref="CF6">IF(CF$2="FY",SUMPRODUCT(Data[Nhập-SPC+SPP-NX]*(Data[Year]=CF$1)*(Data[Main SKU name_GOM]=$A6)*(Data[SKU name_NHẬP_GOM]=CF$3)),SUMPRODUCT(Data[Nhập-SPC+SPP-NX]*(Data[Year]=CF$1)*(Data[Month]=CF$2)*(Data[Main SKU name_GOM]=$A6)*(Data[SKU name_NHẬP_GOM]=CF$3)))</f>
        <v>0</v>
      </c>
      <c r="CG6" s="8" cm="1">
        <f t="array" ref="CG6">IF(CG$2="FY",SUMPRODUCT(Data[Nhập-SPC+SPP-NX]*(Data[Year]=CG$1)*(Data[Main SKU name_GOM]=$A6)*(Data[SKU name_NHẬP_GOM]=CG$3)),SUMPRODUCT(Data[Nhập-SPC+SPP-NX]*(Data[Year]=CG$1)*(Data[Month]=CG$2)*(Data[Main SKU name_GOM]=$A6)*(Data[SKU name_NHẬP_GOM]=CG$3)))</f>
        <v>0</v>
      </c>
      <c r="CH6" s="8">
        <f>SUM(BX6:CG6)</f>
        <v>0</v>
      </c>
      <c r="CJ6" s="8" cm="1">
        <f t="array" ref="CJ6">IF(CJ$2="FY",SUMPRODUCT(Data[Nhập-SPC+SPP-NX]*(Data[Year]=CJ$1)*(Data[Main SKU name_GOM]=$A6)*(Data[SKU name_NHẬP_GOM]=CJ$3)),SUMPRODUCT(Data[Nhập-SPC+SPP-NX]*(Data[Year]=CJ$1)*(Data[Month]=CJ$2)*(Data[Main SKU name_GOM]=$A6)*(Data[SKU name_NHẬP_GOM]=CJ$3)))</f>
        <v>0</v>
      </c>
      <c r="CK6" s="8" cm="1">
        <f t="array" ref="CK6">IF(CK$2="FY",SUMPRODUCT(Data[Nhập-SPC+SPP-NX]*(Data[Year]=CK$1)*(Data[Main SKU name_GOM]=$A6)*(Data[SKU name_NHẬP_GOM]=CK$3)),SUMPRODUCT(Data[Nhập-SPC+SPP-NX]*(Data[Year]=CK$1)*(Data[Month]=CK$2)*(Data[Main SKU name_GOM]=$A6)*(Data[SKU name_NHẬP_GOM]=CK$3)))</f>
        <v>0</v>
      </c>
      <c r="CL6" s="8" cm="1">
        <f t="array" ref="CL6">IF(CL$2="FY",SUMPRODUCT(Data[Nhập-SPC+SPP-NX]*(Data[Year]=CL$1)*(Data[Main SKU name_GOM]=$A6)*(Data[SKU name_NHẬP_GOM]=CL$3)),SUMPRODUCT(Data[Nhập-SPC+SPP-NX]*(Data[Year]=CL$1)*(Data[Month]=CL$2)*(Data[Main SKU name_GOM]=$A6)*(Data[SKU name_NHẬP_GOM]=CL$3)))</f>
        <v>0</v>
      </c>
      <c r="CM6" s="8" cm="1">
        <f t="array" ref="CM6">IF(CM$2="FY",SUMPRODUCT(Data[Nhập-SPC+SPP-NX]*(Data[Year]=CM$1)*(Data[Main SKU name_GOM]=$A6)*(Data[SKU name_NHẬP_GOM]=CM$3)),SUMPRODUCT(Data[Nhập-SPC+SPP-NX]*(Data[Year]=CM$1)*(Data[Month]=CM$2)*(Data[Main SKU name_GOM]=$A6)*(Data[SKU name_NHẬP_GOM]=CM$3)))</f>
        <v>0</v>
      </c>
      <c r="CN6" s="8" cm="1">
        <f t="array" ref="CN6">IF(CN$2="FY",SUMPRODUCT(Data[Nhập-SPC+SPP-NX]*(Data[Year]=CN$1)*(Data[Main SKU name_GOM]=$A6)*(Data[SKU name_NHẬP_GOM]=CN$3)),SUMPRODUCT(Data[Nhập-SPC+SPP-NX]*(Data[Year]=CN$1)*(Data[Month]=CN$2)*(Data[Main SKU name_GOM]=$A6)*(Data[SKU name_NHẬP_GOM]=CN$3)))</f>
        <v>0</v>
      </c>
      <c r="CO6" s="8" cm="1">
        <f t="array" ref="CO6">IF(CO$2="FY",SUMPRODUCT(Data[Nhập-SPC+SPP-NX]*(Data[Year]=CO$1)*(Data[Main SKU name_GOM]=$A6)*(Data[SKU name_NHẬP_GOM]=CO$3)),SUMPRODUCT(Data[Nhập-SPC+SPP-NX]*(Data[Year]=CO$1)*(Data[Month]=CO$2)*(Data[Main SKU name_GOM]=$A6)*(Data[SKU name_NHẬP_GOM]=CO$3)))</f>
        <v>0</v>
      </c>
      <c r="CP6" s="8" cm="1">
        <f t="array" ref="CP6">IF(CP$2="FY",SUMPRODUCT(Data[Nhập-SPC+SPP-NX]*(Data[Year]=CP$1)*(Data[Main SKU name_GOM]=$A6)*(Data[SKU name_NHẬP_GOM]=CP$3)),SUMPRODUCT(Data[Nhập-SPC+SPP-NX]*(Data[Year]=CP$1)*(Data[Month]=CP$2)*(Data[Main SKU name_GOM]=$A6)*(Data[SKU name_NHẬP_GOM]=CP$3)))</f>
        <v>0</v>
      </c>
      <c r="CQ6" s="8" cm="1">
        <f t="array" ref="CQ6">IF(CQ$2="FY",SUMPRODUCT(Data[Nhập-SPC+SPP-NX]*(Data[Year]=CQ$1)*(Data[Main SKU name_GOM]=$A6)*(Data[SKU name_NHẬP_GOM]=CQ$3)),SUMPRODUCT(Data[Nhập-SPC+SPP-NX]*(Data[Year]=CQ$1)*(Data[Month]=CQ$2)*(Data[Main SKU name_GOM]=$A6)*(Data[SKU name_NHẬP_GOM]=CQ$3)))</f>
        <v>0</v>
      </c>
      <c r="CR6" s="8" cm="1">
        <f t="array" ref="CR6">IF(CR$2="FY",SUMPRODUCT(Data[Nhập-SPC+SPP-NX]*(Data[Year]=CR$1)*(Data[Main SKU name_GOM]=$A6)*(Data[SKU name_NHẬP_GOM]=CR$3)),SUMPRODUCT(Data[Nhập-SPC+SPP-NX]*(Data[Year]=CR$1)*(Data[Month]=CR$2)*(Data[Main SKU name_GOM]=$A6)*(Data[SKU name_NHẬP_GOM]=CR$3)))</f>
        <v>0</v>
      </c>
      <c r="CS6" s="8" cm="1">
        <f t="array" ref="CS6">IF(CS$2="FY",SUMPRODUCT(Data[Nhập-SPC+SPP-NX]*(Data[Year]=CS$1)*(Data[Main SKU name_GOM]=$A6)*(Data[SKU name_NHẬP_GOM]=CS$3)),SUMPRODUCT(Data[Nhập-SPC+SPP-NX]*(Data[Year]=CS$1)*(Data[Month]=CS$2)*(Data[Main SKU name_GOM]=$A6)*(Data[SKU name_NHẬP_GOM]=CS$3)))</f>
        <v>0</v>
      </c>
      <c r="CT6" s="8">
        <f>SUM(CJ6:CS6)</f>
        <v>0</v>
      </c>
      <c r="CV6" s="8" cm="1">
        <f t="array" ref="CV6">IF(CV$2="FY",SUMPRODUCT(Data[Nhập-SPC+SPP-NX]*(Data[Year]=CV$1)*(Data[Main SKU name_GOM]=$A6)*(Data[SKU name_NHẬP_GOM]=CV$3)),SUMPRODUCT(Data[Nhập-SPC+SPP-NX]*(Data[Year]=CV$1)*(Data[Month]=CV$2)*(Data[Main SKU name_GOM]=$A6)*(Data[SKU name_NHẬP_GOM]=CV$3)))</f>
        <v>0</v>
      </c>
      <c r="CW6" s="8" cm="1">
        <f t="array" ref="CW6">IF(CW$2="FY",SUMPRODUCT(Data[Nhập-SPC+SPP-NX]*(Data[Year]=CW$1)*(Data[Main SKU name_GOM]=$A6)*(Data[SKU name_NHẬP_GOM]=CW$3)),SUMPRODUCT(Data[Nhập-SPC+SPP-NX]*(Data[Year]=CW$1)*(Data[Month]=CW$2)*(Data[Main SKU name_GOM]=$A6)*(Data[SKU name_NHẬP_GOM]=CW$3)))</f>
        <v>0</v>
      </c>
      <c r="CX6" s="8" cm="1">
        <f t="array" ref="CX6">IF(CX$2="FY",SUMPRODUCT(Data[Nhập-SPC+SPP-NX]*(Data[Year]=CX$1)*(Data[Main SKU name_GOM]=$A6)*(Data[SKU name_NHẬP_GOM]=CX$3)),SUMPRODUCT(Data[Nhập-SPC+SPP-NX]*(Data[Year]=CX$1)*(Data[Month]=CX$2)*(Data[Main SKU name_GOM]=$A6)*(Data[SKU name_NHẬP_GOM]=CX$3)))</f>
        <v>0</v>
      </c>
      <c r="CY6" s="8" cm="1">
        <f t="array" ref="CY6">IF(CY$2="FY",SUMPRODUCT(Data[Nhập-SPC+SPP-NX]*(Data[Year]=CY$1)*(Data[Main SKU name_GOM]=$A6)*(Data[SKU name_NHẬP_GOM]=CY$3)),SUMPRODUCT(Data[Nhập-SPC+SPP-NX]*(Data[Year]=CY$1)*(Data[Month]=CY$2)*(Data[Main SKU name_GOM]=$A6)*(Data[SKU name_NHẬP_GOM]=CY$3)))</f>
        <v>0</v>
      </c>
      <c r="CZ6" s="8" cm="1">
        <f t="array" ref="CZ6">IF(CZ$2="FY",SUMPRODUCT(Data[Nhập-SPC+SPP-NX]*(Data[Year]=CZ$1)*(Data[Main SKU name_GOM]=$A6)*(Data[SKU name_NHẬP_GOM]=CZ$3)),SUMPRODUCT(Data[Nhập-SPC+SPP-NX]*(Data[Year]=CZ$1)*(Data[Month]=CZ$2)*(Data[Main SKU name_GOM]=$A6)*(Data[SKU name_NHẬP_GOM]=CZ$3)))</f>
        <v>0</v>
      </c>
      <c r="DA6" s="8" cm="1">
        <f t="array" ref="DA6">IF(DA$2="FY",SUMPRODUCT(Data[Nhập-SPC+SPP-NX]*(Data[Year]=DA$1)*(Data[Main SKU name_GOM]=$A6)*(Data[SKU name_NHẬP_GOM]=DA$3)),SUMPRODUCT(Data[Nhập-SPC+SPP-NX]*(Data[Year]=DA$1)*(Data[Month]=DA$2)*(Data[Main SKU name_GOM]=$A6)*(Data[SKU name_NHẬP_GOM]=DA$3)))</f>
        <v>0</v>
      </c>
      <c r="DB6" s="8" cm="1">
        <f t="array" ref="DB6">IF(DB$2="FY",SUMPRODUCT(Data[Nhập-SPC+SPP-NX]*(Data[Year]=DB$1)*(Data[Main SKU name_GOM]=$A6)*(Data[SKU name_NHẬP_GOM]=DB$3)),SUMPRODUCT(Data[Nhập-SPC+SPP-NX]*(Data[Year]=DB$1)*(Data[Month]=DB$2)*(Data[Main SKU name_GOM]=$A6)*(Data[SKU name_NHẬP_GOM]=DB$3)))</f>
        <v>0</v>
      </c>
      <c r="DC6" s="8" cm="1">
        <f t="array" ref="DC6">IF(DC$2="FY",SUMPRODUCT(Data[Nhập-SPC+SPP-NX]*(Data[Year]=DC$1)*(Data[Main SKU name_GOM]=$A6)*(Data[SKU name_NHẬP_GOM]=DC$3)),SUMPRODUCT(Data[Nhập-SPC+SPP-NX]*(Data[Year]=DC$1)*(Data[Month]=DC$2)*(Data[Main SKU name_GOM]=$A6)*(Data[SKU name_NHẬP_GOM]=DC$3)))</f>
        <v>0</v>
      </c>
      <c r="DD6" s="8" cm="1">
        <f t="array" ref="DD6">IF(DD$2="FY",SUMPRODUCT(Data[Nhập-SPC+SPP-NX]*(Data[Year]=DD$1)*(Data[Main SKU name_GOM]=$A6)*(Data[SKU name_NHẬP_GOM]=DD$3)),SUMPRODUCT(Data[Nhập-SPC+SPP-NX]*(Data[Year]=DD$1)*(Data[Month]=DD$2)*(Data[Main SKU name_GOM]=$A6)*(Data[SKU name_NHẬP_GOM]=DD$3)))</f>
        <v>0</v>
      </c>
      <c r="DE6" s="8" cm="1">
        <f t="array" ref="DE6">IF(DE$2="FY",SUMPRODUCT(Data[Nhập-SPC+SPP-NX]*(Data[Year]=DE$1)*(Data[Main SKU name_GOM]=$A6)*(Data[SKU name_NHẬP_GOM]=DE$3)),SUMPRODUCT(Data[Nhập-SPC+SPP-NX]*(Data[Year]=DE$1)*(Data[Month]=DE$2)*(Data[Main SKU name_GOM]=$A6)*(Data[SKU name_NHẬP_GOM]=DE$3)))</f>
        <v>0</v>
      </c>
      <c r="DF6" s="8">
        <f>SUM(CV6:DE6)</f>
        <v>0</v>
      </c>
      <c r="DH6" s="8" cm="1">
        <f t="array" ref="DH6">IF(DH$2="FY",SUMPRODUCT(Data[Nhập-SPC+SPP-NX]*(Data[Year]=DH$1)*(Data[Main SKU name_GOM]=$A6)*(Data[SKU name_NHẬP_GOM]=DH$3)),SUMPRODUCT(Data[Nhập-SPC+SPP-NX]*(Data[Year]=DH$1)*(Data[Month]=DH$2)*(Data[Main SKU name_GOM]=$A6)*(Data[SKU name_NHẬP_GOM]=DH$3)))</f>
        <v>0</v>
      </c>
      <c r="DI6" s="8" cm="1">
        <f t="array" ref="DI6">IF(DI$2="FY",SUMPRODUCT(Data[Nhập-SPC+SPP-NX]*(Data[Year]=DI$1)*(Data[Main SKU name_GOM]=$A6)*(Data[SKU name_NHẬP_GOM]=DI$3)),SUMPRODUCT(Data[Nhập-SPC+SPP-NX]*(Data[Year]=DI$1)*(Data[Month]=DI$2)*(Data[Main SKU name_GOM]=$A6)*(Data[SKU name_NHẬP_GOM]=DI$3)))</f>
        <v>0</v>
      </c>
      <c r="DJ6" s="8" cm="1">
        <f t="array" ref="DJ6">IF(DJ$2="FY",SUMPRODUCT(Data[Nhập-SPC+SPP-NX]*(Data[Year]=DJ$1)*(Data[Main SKU name_GOM]=$A6)*(Data[SKU name_NHẬP_GOM]=DJ$3)),SUMPRODUCT(Data[Nhập-SPC+SPP-NX]*(Data[Year]=DJ$1)*(Data[Month]=DJ$2)*(Data[Main SKU name_GOM]=$A6)*(Data[SKU name_NHẬP_GOM]=DJ$3)))</f>
        <v>0</v>
      </c>
      <c r="DK6" s="8" cm="1">
        <f t="array" ref="DK6">IF(DK$2="FY",SUMPRODUCT(Data[Nhập-SPC+SPP-NX]*(Data[Year]=DK$1)*(Data[Main SKU name_GOM]=$A6)*(Data[SKU name_NHẬP_GOM]=DK$3)),SUMPRODUCT(Data[Nhập-SPC+SPP-NX]*(Data[Year]=DK$1)*(Data[Month]=DK$2)*(Data[Main SKU name_GOM]=$A6)*(Data[SKU name_NHẬP_GOM]=DK$3)))</f>
        <v>0</v>
      </c>
      <c r="DL6" s="8" cm="1">
        <f t="array" ref="DL6">IF(DL$2="FY",SUMPRODUCT(Data[Nhập-SPC+SPP-NX]*(Data[Year]=DL$1)*(Data[Main SKU name_GOM]=$A6)*(Data[SKU name_NHẬP_GOM]=DL$3)),SUMPRODUCT(Data[Nhập-SPC+SPP-NX]*(Data[Year]=DL$1)*(Data[Month]=DL$2)*(Data[Main SKU name_GOM]=$A6)*(Data[SKU name_NHẬP_GOM]=DL$3)))</f>
        <v>0</v>
      </c>
      <c r="DM6" s="8" cm="1">
        <f t="array" ref="DM6">IF(DM$2="FY",SUMPRODUCT(Data[Nhập-SPC+SPP-NX]*(Data[Year]=DM$1)*(Data[Main SKU name_GOM]=$A6)*(Data[SKU name_NHẬP_GOM]=DM$3)),SUMPRODUCT(Data[Nhập-SPC+SPP-NX]*(Data[Year]=DM$1)*(Data[Month]=DM$2)*(Data[Main SKU name_GOM]=$A6)*(Data[SKU name_NHẬP_GOM]=DM$3)))</f>
        <v>0</v>
      </c>
      <c r="DN6" s="8" cm="1">
        <f t="array" ref="DN6">IF(DN$2="FY",SUMPRODUCT(Data[Nhập-SPC+SPP-NX]*(Data[Year]=DN$1)*(Data[Main SKU name_GOM]=$A6)*(Data[SKU name_NHẬP_GOM]=DN$3)),SUMPRODUCT(Data[Nhập-SPC+SPP-NX]*(Data[Year]=DN$1)*(Data[Month]=DN$2)*(Data[Main SKU name_GOM]=$A6)*(Data[SKU name_NHẬP_GOM]=DN$3)))</f>
        <v>0</v>
      </c>
      <c r="DO6" s="8" cm="1">
        <f t="array" ref="DO6">IF(DO$2="FY",SUMPRODUCT(Data[Nhập-SPC+SPP-NX]*(Data[Year]=DO$1)*(Data[Main SKU name_GOM]=$A6)*(Data[SKU name_NHẬP_GOM]=DO$3)),SUMPRODUCT(Data[Nhập-SPC+SPP-NX]*(Data[Year]=DO$1)*(Data[Month]=DO$2)*(Data[Main SKU name_GOM]=$A6)*(Data[SKU name_NHẬP_GOM]=DO$3)))</f>
        <v>0</v>
      </c>
      <c r="DP6" s="8" cm="1">
        <f t="array" ref="DP6">IF(DP$2="FY",SUMPRODUCT(Data[Nhập-SPC+SPP-NX]*(Data[Year]=DP$1)*(Data[Main SKU name_GOM]=$A6)*(Data[SKU name_NHẬP_GOM]=DP$3)),SUMPRODUCT(Data[Nhập-SPC+SPP-NX]*(Data[Year]=DP$1)*(Data[Month]=DP$2)*(Data[Main SKU name_GOM]=$A6)*(Data[SKU name_NHẬP_GOM]=DP$3)))</f>
        <v>0</v>
      </c>
      <c r="DQ6" s="8" cm="1">
        <f t="array" ref="DQ6">IF(DQ$2="FY",SUMPRODUCT(Data[Nhập-SPC+SPP-NX]*(Data[Year]=DQ$1)*(Data[Main SKU name_GOM]=$A6)*(Data[SKU name_NHẬP_GOM]=DQ$3)),SUMPRODUCT(Data[Nhập-SPC+SPP-NX]*(Data[Year]=DQ$1)*(Data[Month]=DQ$2)*(Data[Main SKU name_GOM]=$A6)*(Data[SKU name_NHẬP_GOM]=DQ$3)))</f>
        <v>0</v>
      </c>
      <c r="DR6" s="8">
        <f>SUM(DH6:DQ6)</f>
        <v>0</v>
      </c>
      <c r="DT6" s="8" cm="1">
        <f t="array" ref="DT6">IF(DT$2="FY",SUMPRODUCT(Data[Nhập-SPC+SPP-NX]*(Data[Year]=DT$1)*(Data[Main SKU name_GOM]=$A6)*(Data[SKU name_NHẬP_GOM]=DT$3)),SUMPRODUCT(Data[Nhập-SPC+SPP-NX]*(Data[Year]=DT$1)*(Data[Month]=DT$2)*(Data[Main SKU name_GOM]=$A6)*(Data[SKU name_NHẬP_GOM]=DT$3)))</f>
        <v>0</v>
      </c>
      <c r="DU6" s="8" cm="1">
        <f t="array" ref="DU6">IF(DU$2="FY",SUMPRODUCT(Data[Nhập-SPC+SPP-NX]*(Data[Year]=DU$1)*(Data[Main SKU name_GOM]=$A6)*(Data[SKU name_NHẬP_GOM]=DU$3)),SUMPRODUCT(Data[Nhập-SPC+SPP-NX]*(Data[Year]=DU$1)*(Data[Month]=DU$2)*(Data[Main SKU name_GOM]=$A6)*(Data[SKU name_NHẬP_GOM]=DU$3)))</f>
        <v>0</v>
      </c>
      <c r="DV6" s="8" cm="1">
        <f t="array" ref="DV6">IF(DV$2="FY",SUMPRODUCT(Data[Nhập-SPC+SPP-NX]*(Data[Year]=DV$1)*(Data[Main SKU name_GOM]=$A6)*(Data[SKU name_NHẬP_GOM]=DV$3)),SUMPRODUCT(Data[Nhập-SPC+SPP-NX]*(Data[Year]=DV$1)*(Data[Month]=DV$2)*(Data[Main SKU name_GOM]=$A6)*(Data[SKU name_NHẬP_GOM]=DV$3)))</f>
        <v>0</v>
      </c>
      <c r="DW6" s="8" cm="1">
        <f t="array" ref="DW6">IF(DW$2="FY",SUMPRODUCT(Data[Nhập-SPC+SPP-NX]*(Data[Year]=DW$1)*(Data[Main SKU name_GOM]=$A6)*(Data[SKU name_NHẬP_GOM]=DW$3)),SUMPRODUCT(Data[Nhập-SPC+SPP-NX]*(Data[Year]=DW$1)*(Data[Month]=DW$2)*(Data[Main SKU name_GOM]=$A6)*(Data[SKU name_NHẬP_GOM]=DW$3)))</f>
        <v>0</v>
      </c>
      <c r="DX6" s="8" cm="1">
        <f t="array" ref="DX6">IF(DX$2="FY",SUMPRODUCT(Data[Nhập-SPC+SPP-NX]*(Data[Year]=DX$1)*(Data[Main SKU name_GOM]=$A6)*(Data[SKU name_NHẬP_GOM]=DX$3)),SUMPRODUCT(Data[Nhập-SPC+SPP-NX]*(Data[Year]=DX$1)*(Data[Month]=DX$2)*(Data[Main SKU name_GOM]=$A6)*(Data[SKU name_NHẬP_GOM]=DX$3)))</f>
        <v>0</v>
      </c>
      <c r="DY6" s="8" cm="1">
        <f t="array" ref="DY6">IF(DY$2="FY",SUMPRODUCT(Data[Nhập-SPC+SPP-NX]*(Data[Year]=DY$1)*(Data[Main SKU name_GOM]=$A6)*(Data[SKU name_NHẬP_GOM]=DY$3)),SUMPRODUCT(Data[Nhập-SPC+SPP-NX]*(Data[Year]=DY$1)*(Data[Month]=DY$2)*(Data[Main SKU name_GOM]=$A6)*(Data[SKU name_NHẬP_GOM]=DY$3)))</f>
        <v>0</v>
      </c>
      <c r="DZ6" s="8" cm="1">
        <f t="array" ref="DZ6">IF(DZ$2="FY",SUMPRODUCT(Data[Nhập-SPC+SPP-NX]*(Data[Year]=DZ$1)*(Data[Main SKU name_GOM]=$A6)*(Data[SKU name_NHẬP_GOM]=DZ$3)),SUMPRODUCT(Data[Nhập-SPC+SPP-NX]*(Data[Year]=DZ$1)*(Data[Month]=DZ$2)*(Data[Main SKU name_GOM]=$A6)*(Data[SKU name_NHẬP_GOM]=DZ$3)))</f>
        <v>0</v>
      </c>
      <c r="EA6" s="8" cm="1">
        <f t="array" ref="EA6">IF(EA$2="FY",SUMPRODUCT(Data[Nhập-SPC+SPP-NX]*(Data[Year]=EA$1)*(Data[Main SKU name_GOM]=$A6)*(Data[SKU name_NHẬP_GOM]=EA$3)),SUMPRODUCT(Data[Nhập-SPC+SPP-NX]*(Data[Year]=EA$1)*(Data[Month]=EA$2)*(Data[Main SKU name_GOM]=$A6)*(Data[SKU name_NHẬP_GOM]=EA$3)))</f>
        <v>0</v>
      </c>
      <c r="EB6" s="8" cm="1">
        <f t="array" ref="EB6">IF(EB$2="FY",SUMPRODUCT(Data[Nhập-SPC+SPP-NX]*(Data[Year]=EB$1)*(Data[Main SKU name_GOM]=$A6)*(Data[SKU name_NHẬP_GOM]=EB$3)),SUMPRODUCT(Data[Nhập-SPC+SPP-NX]*(Data[Year]=EB$1)*(Data[Month]=EB$2)*(Data[Main SKU name_GOM]=$A6)*(Data[SKU name_NHẬP_GOM]=EB$3)))</f>
        <v>0</v>
      </c>
      <c r="EC6" s="8" cm="1">
        <f t="array" ref="EC6">IF(EC$2="FY",SUMPRODUCT(Data[Nhập-SPC+SPP-NX]*(Data[Year]=EC$1)*(Data[Main SKU name_GOM]=$A6)*(Data[SKU name_NHẬP_GOM]=EC$3)),SUMPRODUCT(Data[Nhập-SPC+SPP-NX]*(Data[Year]=EC$1)*(Data[Month]=EC$2)*(Data[Main SKU name_GOM]=$A6)*(Data[SKU name_NHẬP_GOM]=EC$3)))</f>
        <v>0</v>
      </c>
      <c r="ED6" s="8">
        <f>SUM(DT6:EC6)</f>
        <v>0</v>
      </c>
      <c r="EF6" s="8" cm="1">
        <f t="array" ref="EF6">IF(EF$2="FY",SUMPRODUCT(Data[Nhập-SPC+SPP-NX]*(Data[Year]=EF$1)*(Data[Main SKU name_GOM]=$A6)*(Data[SKU name_NHẬP_GOM]=EF$3)),SUMPRODUCT(Data[Nhập-SPC+SPP-NX]*(Data[Year]=EF$1)*(Data[Month]=EF$2)*(Data[Main SKU name_GOM]=$A6)*(Data[SKU name_NHẬP_GOM]=EF$3)))</f>
        <v>0</v>
      </c>
      <c r="EG6" s="8" cm="1">
        <f t="array" ref="EG6">IF(EG$2="FY",SUMPRODUCT(Data[Nhập-SPC+SPP-NX]*(Data[Year]=EG$1)*(Data[Main SKU name_GOM]=$A6)*(Data[SKU name_NHẬP_GOM]=EG$3)),SUMPRODUCT(Data[Nhập-SPC+SPP-NX]*(Data[Year]=EG$1)*(Data[Month]=EG$2)*(Data[Main SKU name_GOM]=$A6)*(Data[SKU name_NHẬP_GOM]=EG$3)))</f>
        <v>0</v>
      </c>
      <c r="EH6" s="8" cm="1">
        <f t="array" ref="EH6">IF(EH$2="FY",SUMPRODUCT(Data[Nhập-SPC+SPP-NX]*(Data[Year]=EH$1)*(Data[Main SKU name_GOM]=$A6)*(Data[SKU name_NHẬP_GOM]=EH$3)),SUMPRODUCT(Data[Nhập-SPC+SPP-NX]*(Data[Year]=EH$1)*(Data[Month]=EH$2)*(Data[Main SKU name_GOM]=$A6)*(Data[SKU name_NHẬP_GOM]=EH$3)))</f>
        <v>0</v>
      </c>
      <c r="EI6" s="8" cm="1">
        <f t="array" ref="EI6">IF(EI$2="FY",SUMPRODUCT(Data[Nhập-SPC+SPP-NX]*(Data[Year]=EI$1)*(Data[Main SKU name_GOM]=$A6)*(Data[SKU name_NHẬP_GOM]=EI$3)),SUMPRODUCT(Data[Nhập-SPC+SPP-NX]*(Data[Year]=EI$1)*(Data[Month]=EI$2)*(Data[Main SKU name_GOM]=$A6)*(Data[SKU name_NHẬP_GOM]=EI$3)))</f>
        <v>0</v>
      </c>
      <c r="EJ6" s="8" cm="1">
        <f t="array" ref="EJ6">IF(EJ$2="FY",SUMPRODUCT(Data[Nhập-SPC+SPP-NX]*(Data[Year]=EJ$1)*(Data[Main SKU name_GOM]=$A6)*(Data[SKU name_NHẬP_GOM]=EJ$3)),SUMPRODUCT(Data[Nhập-SPC+SPP-NX]*(Data[Year]=EJ$1)*(Data[Month]=EJ$2)*(Data[Main SKU name_GOM]=$A6)*(Data[SKU name_NHẬP_GOM]=EJ$3)))</f>
        <v>0</v>
      </c>
      <c r="EK6" s="8" cm="1">
        <f t="array" ref="EK6">IF(EK$2="FY",SUMPRODUCT(Data[Nhập-SPC+SPP-NX]*(Data[Year]=EK$1)*(Data[Main SKU name_GOM]=$A6)*(Data[SKU name_NHẬP_GOM]=EK$3)),SUMPRODUCT(Data[Nhập-SPC+SPP-NX]*(Data[Year]=EK$1)*(Data[Month]=EK$2)*(Data[Main SKU name_GOM]=$A6)*(Data[SKU name_NHẬP_GOM]=EK$3)))</f>
        <v>0</v>
      </c>
      <c r="EL6" s="8" cm="1">
        <f t="array" ref="EL6">IF(EL$2="FY",SUMPRODUCT(Data[Nhập-SPC+SPP-NX]*(Data[Year]=EL$1)*(Data[Main SKU name_GOM]=$A6)*(Data[SKU name_NHẬP_GOM]=EL$3)),SUMPRODUCT(Data[Nhập-SPC+SPP-NX]*(Data[Year]=EL$1)*(Data[Month]=EL$2)*(Data[Main SKU name_GOM]=$A6)*(Data[SKU name_NHẬP_GOM]=EL$3)))</f>
        <v>0</v>
      </c>
      <c r="EM6" s="8" cm="1">
        <f t="array" ref="EM6">IF(EM$2="FY",SUMPRODUCT(Data[Nhập-SPC+SPP-NX]*(Data[Year]=EM$1)*(Data[Main SKU name_GOM]=$A6)*(Data[SKU name_NHẬP_GOM]=EM$3)),SUMPRODUCT(Data[Nhập-SPC+SPP-NX]*(Data[Year]=EM$1)*(Data[Month]=EM$2)*(Data[Main SKU name_GOM]=$A6)*(Data[SKU name_NHẬP_GOM]=EM$3)))</f>
        <v>0</v>
      </c>
      <c r="EN6" s="8" cm="1">
        <f t="array" ref="EN6">IF(EN$2="FY",SUMPRODUCT(Data[Nhập-SPC+SPP-NX]*(Data[Year]=EN$1)*(Data[Main SKU name_GOM]=$A6)*(Data[SKU name_NHẬP_GOM]=EN$3)),SUMPRODUCT(Data[Nhập-SPC+SPP-NX]*(Data[Year]=EN$1)*(Data[Month]=EN$2)*(Data[Main SKU name_GOM]=$A6)*(Data[SKU name_NHẬP_GOM]=EN$3)))</f>
        <v>0</v>
      </c>
      <c r="EO6" s="8" cm="1">
        <f t="array" ref="EO6">IF(EO$2="FY",SUMPRODUCT(Data[Nhập-SPC+SPP-NX]*(Data[Year]=EO$1)*(Data[Main SKU name_GOM]=$A6)*(Data[SKU name_NHẬP_GOM]=EO$3)),SUMPRODUCT(Data[Nhập-SPC+SPP-NX]*(Data[Year]=EO$1)*(Data[Month]=EO$2)*(Data[Main SKU name_GOM]=$A6)*(Data[SKU name_NHẬP_GOM]=EO$3)))</f>
        <v>0</v>
      </c>
      <c r="EP6" s="8">
        <f>SUM(EF6:EO6)</f>
        <v>0</v>
      </c>
      <c r="ER6" s="8" cm="1">
        <f t="array" ref="ER6">IF(ER$2="FY",SUMPRODUCT(Data[Nhập-SPC+SPP-NX]*(Data[Year]=ER$1)*(Data[Main SKU name_GOM]=$A6)*(Data[SKU name_NHẬP_GOM]=ER$3)),SUMPRODUCT(Data[Nhập-SPC+SPP-NX]*(Data[Year]=ER$1)*(Data[Month]=ER$2)*(Data[Main SKU name_GOM]=$A6)*(Data[SKU name_NHẬP_GOM]=ER$3)))</f>
        <v>0</v>
      </c>
      <c r="ES6" s="8" cm="1">
        <f t="array" ref="ES6">IF(ES$2="FY",SUMPRODUCT(Data[Nhập-SPC+SPP-NX]*(Data[Year]=ES$1)*(Data[Main SKU name_GOM]=$A6)*(Data[SKU name_NHẬP_GOM]=ES$3)),SUMPRODUCT(Data[Nhập-SPC+SPP-NX]*(Data[Year]=ES$1)*(Data[Month]=ES$2)*(Data[Main SKU name_GOM]=$A6)*(Data[SKU name_NHẬP_GOM]=ES$3)))</f>
        <v>0</v>
      </c>
      <c r="ET6" s="8" cm="1">
        <f t="array" ref="ET6">IF(ET$2="FY",SUMPRODUCT(Data[Nhập-SPC+SPP-NX]*(Data[Year]=ET$1)*(Data[Main SKU name_GOM]=$A6)*(Data[SKU name_NHẬP_GOM]=ET$3)),SUMPRODUCT(Data[Nhập-SPC+SPP-NX]*(Data[Year]=ET$1)*(Data[Month]=ET$2)*(Data[Main SKU name_GOM]=$A6)*(Data[SKU name_NHẬP_GOM]=ET$3)))</f>
        <v>0</v>
      </c>
      <c r="EU6" s="8" cm="1">
        <f t="array" ref="EU6">IF(EU$2="FY",SUMPRODUCT(Data[Nhập-SPC+SPP-NX]*(Data[Year]=EU$1)*(Data[Main SKU name_GOM]=$A6)*(Data[SKU name_NHẬP_GOM]=EU$3)),SUMPRODUCT(Data[Nhập-SPC+SPP-NX]*(Data[Year]=EU$1)*(Data[Month]=EU$2)*(Data[Main SKU name_GOM]=$A6)*(Data[SKU name_NHẬP_GOM]=EU$3)))</f>
        <v>0</v>
      </c>
      <c r="EV6" s="8" cm="1">
        <f t="array" ref="EV6">IF(EV$2="FY",SUMPRODUCT(Data[Nhập-SPC+SPP-NX]*(Data[Year]=EV$1)*(Data[Main SKU name_GOM]=$A6)*(Data[SKU name_NHẬP_GOM]=EV$3)),SUMPRODUCT(Data[Nhập-SPC+SPP-NX]*(Data[Year]=EV$1)*(Data[Month]=EV$2)*(Data[Main SKU name_GOM]=$A6)*(Data[SKU name_NHẬP_GOM]=EV$3)))</f>
        <v>0</v>
      </c>
      <c r="EW6" s="8" cm="1">
        <f t="array" ref="EW6">IF(EW$2="FY",SUMPRODUCT(Data[Nhập-SPC+SPP-NX]*(Data[Year]=EW$1)*(Data[Main SKU name_GOM]=$A6)*(Data[SKU name_NHẬP_GOM]=EW$3)),SUMPRODUCT(Data[Nhập-SPC+SPP-NX]*(Data[Year]=EW$1)*(Data[Month]=EW$2)*(Data[Main SKU name_GOM]=$A6)*(Data[SKU name_NHẬP_GOM]=EW$3)))</f>
        <v>0</v>
      </c>
      <c r="EX6" s="8" cm="1">
        <f t="array" ref="EX6">IF(EX$2="FY",SUMPRODUCT(Data[Nhập-SPC+SPP-NX]*(Data[Year]=EX$1)*(Data[Main SKU name_GOM]=$A6)*(Data[SKU name_NHẬP_GOM]=EX$3)),SUMPRODUCT(Data[Nhập-SPC+SPP-NX]*(Data[Year]=EX$1)*(Data[Month]=EX$2)*(Data[Main SKU name_GOM]=$A6)*(Data[SKU name_NHẬP_GOM]=EX$3)))</f>
        <v>0</v>
      </c>
      <c r="EY6" s="8" cm="1">
        <f t="array" ref="EY6">IF(EY$2="FY",SUMPRODUCT(Data[Nhập-SPC+SPP-NX]*(Data[Year]=EY$1)*(Data[Main SKU name_GOM]=$A6)*(Data[SKU name_NHẬP_GOM]=EY$3)),SUMPRODUCT(Data[Nhập-SPC+SPP-NX]*(Data[Year]=EY$1)*(Data[Month]=EY$2)*(Data[Main SKU name_GOM]=$A6)*(Data[SKU name_NHẬP_GOM]=EY$3)))</f>
        <v>0</v>
      </c>
      <c r="EZ6" s="8" cm="1">
        <f t="array" ref="EZ6">IF(EZ$2="FY",SUMPRODUCT(Data[Nhập-SPC+SPP-NX]*(Data[Year]=EZ$1)*(Data[Main SKU name_GOM]=$A6)*(Data[SKU name_NHẬP_GOM]=EZ$3)),SUMPRODUCT(Data[Nhập-SPC+SPP-NX]*(Data[Year]=EZ$1)*(Data[Month]=EZ$2)*(Data[Main SKU name_GOM]=$A6)*(Data[SKU name_NHẬP_GOM]=EZ$3)))</f>
        <v>0</v>
      </c>
      <c r="FA6" s="8" cm="1">
        <f t="array" ref="FA6">IF(FA$2="FY",SUMPRODUCT(Data[Nhập-SPC+SPP-NX]*(Data[Year]=FA$1)*(Data[Main SKU name_GOM]=$A6)*(Data[SKU name_NHẬP_GOM]=FA$3)),SUMPRODUCT(Data[Nhập-SPC+SPP-NX]*(Data[Year]=FA$1)*(Data[Month]=FA$2)*(Data[Main SKU name_GOM]=$A6)*(Data[SKU name_NHẬP_GOM]=FA$3)))</f>
        <v>0</v>
      </c>
      <c r="FB6" s="8">
        <f>SUM(ER6:FA6)</f>
        <v>0</v>
      </c>
    </row>
    <row r="7" spans="1:158" x14ac:dyDescent="0.35">
      <c r="A7" s="5" t="s">
        <v>69</v>
      </c>
      <c r="B7" t="s">
        <v>69</v>
      </c>
      <c r="D7" s="8" cm="1">
        <f t="array" ref="D7">IF(D$2="FY",SUMPRODUCT(Data[Nhập-SPC+SPP-NX]*(Data[Year]=D$1)*(Data[Main SKU name_GOM]=$A7)*(Data[SKU name_NHẬP_GOM]=D$3)),SUMPRODUCT(Data[Nhập-SPC+SPP-NX]*(Data[Year]=D$1)*(Data[Month]=D$2)*(Data[Main SKU name_GOM]=$A7)*(Data[SKU name_NHẬP_GOM]=D$3)))</f>
        <v>0</v>
      </c>
      <c r="E7" s="8" cm="1">
        <f t="array" ref="E7">IF(E$2="FY",SUMPRODUCT(Data[Nhập-SPC+SPP-NX]*(Data[Year]=E$1)*(Data[Main SKU name_GOM]=$A7)*(Data[SKU name_NHẬP_GOM]=E$3)),SUMPRODUCT(Data[Nhập-SPC+SPP-NX]*(Data[Year]=E$1)*(Data[Month]=E$2)*(Data[Main SKU name_GOM]=$A7)*(Data[SKU name_NHẬP_GOM]=E$3)))</f>
        <v>711700</v>
      </c>
      <c r="F7" s="8" cm="1">
        <f t="array" ref="F7">IF(F$2="FY",SUMPRODUCT(Data[Nhập-SPC+SPP-NX]*(Data[Year]=F$1)*(Data[Main SKU name_GOM]=$A7)*(Data[SKU name_NHẬP_GOM]=F$3)),SUMPRODUCT(Data[Nhập-SPC+SPP-NX]*(Data[Year]=F$1)*(Data[Month]=F$2)*(Data[Main SKU name_GOM]=$A7)*(Data[SKU name_NHẬP_GOM]=F$3)))</f>
        <v>37400</v>
      </c>
      <c r="G7" s="8" cm="1">
        <f t="array" ref="G7">IF(G$2="FY",SUMPRODUCT(Data[Nhập-SPC+SPP-NX]*(Data[Year]=G$1)*(Data[Main SKU name_GOM]=$A7)*(Data[SKU name_NHẬP_GOM]=G$3)),SUMPRODUCT(Data[Nhập-SPC+SPP-NX]*(Data[Year]=G$1)*(Data[Month]=G$2)*(Data[Main SKU name_GOM]=$A7)*(Data[SKU name_NHẬP_GOM]=G$3)))</f>
        <v>0</v>
      </c>
      <c r="H7" s="8" cm="1">
        <f t="array" ref="H7">IF(H$2="FY",SUMPRODUCT(Data[Nhập-SPC+SPP-NX]*(Data[Year]=H$1)*(Data[Main SKU name_GOM]=$A7)*(Data[SKU name_NHẬP_GOM]=H$3)),SUMPRODUCT(Data[Nhập-SPC+SPP-NX]*(Data[Year]=H$1)*(Data[Month]=H$2)*(Data[Main SKU name_GOM]=$A7)*(Data[SKU name_NHẬP_GOM]=H$3)))</f>
        <v>5499.9999999999991</v>
      </c>
      <c r="I7" s="8" cm="1">
        <f t="array" ref="I7">IF(I$2="FY",SUMPRODUCT(Data[Nhập-SPC+SPP-NX]*(Data[Year]=I$1)*(Data[Main SKU name_GOM]=$A7)*(Data[SKU name_NHẬP_GOM]=I$3)),SUMPRODUCT(Data[Nhập-SPC+SPP-NX]*(Data[Year]=I$1)*(Data[Month]=I$2)*(Data[Main SKU name_GOM]=$A7)*(Data[SKU name_NHẬP_GOM]=I$3)))</f>
        <v>0</v>
      </c>
      <c r="J7" s="8" cm="1">
        <f t="array" ref="J7">IF(J$2="FY",SUMPRODUCT(Data[Nhập-SPC+SPP-NX]*(Data[Year]=J$1)*(Data[Main SKU name_GOM]=$A7)*(Data[SKU name_NHẬP_GOM]=J$3)),SUMPRODUCT(Data[Nhập-SPC+SPP-NX]*(Data[Year]=J$1)*(Data[Month]=J$2)*(Data[Main SKU name_GOM]=$A7)*(Data[SKU name_NHẬP_GOM]=J$3)))</f>
        <v>13200</v>
      </c>
      <c r="K7" s="8" cm="1">
        <f t="array" ref="K7">IF(K$2="FY",SUMPRODUCT(Data[Nhập-SPC+SPP-NX]*(Data[Year]=K$1)*(Data[Main SKU name_GOM]=$A7)*(Data[SKU name_NHẬP_GOM]=K$3)),SUMPRODUCT(Data[Nhập-SPC+SPP-NX]*(Data[Year]=K$1)*(Data[Month]=K$2)*(Data[Main SKU name_GOM]=$A7)*(Data[SKU name_NHẬP_GOM]=K$3)))</f>
        <v>0</v>
      </c>
      <c r="L7" s="8" cm="1">
        <f t="array" ref="L7">IF(L$2="FY",SUMPRODUCT(Data[Nhập-SPC+SPP-NX]*(Data[Year]=L$1)*(Data[Main SKU name_GOM]=$A7)*(Data[SKU name_NHẬP_GOM]=L$3)),SUMPRODUCT(Data[Nhập-SPC+SPP-NX]*(Data[Year]=L$1)*(Data[Month]=L$2)*(Data[Main SKU name_GOM]=$A7)*(Data[SKU name_NHẬP_GOM]=L$3)))</f>
        <v>0</v>
      </c>
      <c r="M7" s="8" cm="1">
        <f t="array" ref="M7">IF(M$2="FY",SUMPRODUCT(Data[Nhập-SPC+SPP-NX]*(Data[Year]=M$1)*(Data[Main SKU name_GOM]=$A7)*(Data[SKU name_NHẬP_GOM]=M$3)),SUMPRODUCT(Data[Nhập-SPC+SPP-NX]*(Data[Year]=M$1)*(Data[Month]=M$2)*(Data[Main SKU name_GOM]=$A7)*(Data[SKU name_NHẬP_GOM]=M$3)))</f>
        <v>0</v>
      </c>
      <c r="N7" s="13">
        <f t="shared" ref="N7:N9" si="0">SUM(D7:M7)</f>
        <v>767800</v>
      </c>
      <c r="P7" s="8" cm="1">
        <f t="array" ref="P7">IF(P$2="FY",SUMPRODUCT(Data[Nhập-SPC+SPP-NX]*(Data[Year]=P$1)*(Data[Main SKU name_GOM]=$A7)*(Data[SKU name_NHẬP_GOM]=P$3)),SUMPRODUCT(Data[Nhập-SPC+SPP-NX]*(Data[Year]=P$1)*(Data[Month]=P$2)*(Data[Main SKU name_GOM]=$A7)*(Data[SKU name_NHẬP_GOM]=P$3)))</f>
        <v>0</v>
      </c>
      <c r="Q7" s="8" cm="1">
        <f t="array" ref="Q7">IF(Q$2="FY",SUMPRODUCT(Data[Nhập-SPC+SPP-NX]*(Data[Year]=Q$1)*(Data[Main SKU name_GOM]=$A7)*(Data[SKU name_NHẬP_GOM]=Q$3)),SUMPRODUCT(Data[Nhập-SPC+SPP-NX]*(Data[Year]=Q$1)*(Data[Month]=Q$2)*(Data[Main SKU name_GOM]=$A7)*(Data[SKU name_NHẬP_GOM]=Q$3)))</f>
        <v>0</v>
      </c>
      <c r="R7" s="8" cm="1">
        <f t="array" ref="R7">IF(R$2="FY",SUMPRODUCT(Data[Nhập-SPC+SPP-NX]*(Data[Year]=R$1)*(Data[Main SKU name_GOM]=$A7)*(Data[SKU name_NHẬP_GOM]=R$3)),SUMPRODUCT(Data[Nhập-SPC+SPP-NX]*(Data[Year]=R$1)*(Data[Month]=R$2)*(Data[Main SKU name_GOM]=$A7)*(Data[SKU name_NHẬP_GOM]=R$3)))</f>
        <v>0</v>
      </c>
      <c r="S7" s="8" cm="1">
        <f t="array" ref="S7">IF(S$2="FY",SUMPRODUCT(Data[Nhập-SPC+SPP-NX]*(Data[Year]=S$1)*(Data[Main SKU name_GOM]=$A7)*(Data[SKU name_NHẬP_GOM]=S$3)),SUMPRODUCT(Data[Nhập-SPC+SPP-NX]*(Data[Year]=S$1)*(Data[Month]=S$2)*(Data[Main SKU name_GOM]=$A7)*(Data[SKU name_NHẬP_GOM]=S$3)))</f>
        <v>0</v>
      </c>
      <c r="T7" s="8" cm="1">
        <f t="array" ref="T7">IF(T$2="FY",SUMPRODUCT(Data[Nhập-SPC+SPP-NX]*(Data[Year]=T$1)*(Data[Main SKU name_GOM]=$A7)*(Data[SKU name_NHẬP_GOM]=T$3)),SUMPRODUCT(Data[Nhập-SPC+SPP-NX]*(Data[Year]=T$1)*(Data[Month]=T$2)*(Data[Main SKU name_GOM]=$A7)*(Data[SKU name_NHẬP_GOM]=T$3)))</f>
        <v>0</v>
      </c>
      <c r="U7" s="8" cm="1">
        <f t="array" ref="U7">IF(U$2="FY",SUMPRODUCT(Data[Nhập-SPC+SPP-NX]*(Data[Year]=U$1)*(Data[Main SKU name_GOM]=$A7)*(Data[SKU name_NHẬP_GOM]=U$3)),SUMPRODUCT(Data[Nhập-SPC+SPP-NX]*(Data[Year]=U$1)*(Data[Month]=U$2)*(Data[Main SKU name_GOM]=$A7)*(Data[SKU name_NHẬP_GOM]=U$3)))</f>
        <v>0</v>
      </c>
      <c r="V7" s="8" cm="1">
        <f t="array" ref="V7">IF(V$2="FY",SUMPRODUCT(Data[Nhập-SPC+SPP-NX]*(Data[Year]=V$1)*(Data[Main SKU name_GOM]=$A7)*(Data[SKU name_NHẬP_GOM]=V$3)),SUMPRODUCT(Data[Nhập-SPC+SPP-NX]*(Data[Year]=V$1)*(Data[Month]=V$2)*(Data[Main SKU name_GOM]=$A7)*(Data[SKU name_NHẬP_GOM]=V$3)))</f>
        <v>0</v>
      </c>
      <c r="W7" s="8" cm="1">
        <f t="array" ref="W7">IF(W$2="FY",SUMPRODUCT(Data[Nhập-SPC+SPP-NX]*(Data[Year]=W$1)*(Data[Main SKU name_GOM]=$A7)*(Data[SKU name_NHẬP_GOM]=W$3)),SUMPRODUCT(Data[Nhập-SPC+SPP-NX]*(Data[Year]=W$1)*(Data[Month]=W$2)*(Data[Main SKU name_GOM]=$A7)*(Data[SKU name_NHẬP_GOM]=W$3)))</f>
        <v>0</v>
      </c>
      <c r="X7" s="8" cm="1">
        <f t="array" ref="X7">IF(X$2="FY",SUMPRODUCT(Data[Nhập-SPC+SPP-NX]*(Data[Year]=X$1)*(Data[Main SKU name_GOM]=$A7)*(Data[SKU name_NHẬP_GOM]=X$3)),SUMPRODUCT(Data[Nhập-SPC+SPP-NX]*(Data[Year]=X$1)*(Data[Month]=X$2)*(Data[Main SKU name_GOM]=$A7)*(Data[SKU name_NHẬP_GOM]=X$3)))</f>
        <v>0</v>
      </c>
      <c r="Y7" s="8" cm="1">
        <f t="array" ref="Y7">IF(Y$2="FY",SUMPRODUCT(Data[Nhập-SPC+SPP-NX]*(Data[Year]=Y$1)*(Data[Main SKU name_GOM]=$A7)*(Data[SKU name_NHẬP_GOM]=Y$3)),SUMPRODUCT(Data[Nhập-SPC+SPP-NX]*(Data[Year]=Y$1)*(Data[Month]=Y$2)*(Data[Main SKU name_GOM]=$A7)*(Data[SKU name_NHẬP_GOM]=Y$3)))</f>
        <v>0</v>
      </c>
      <c r="Z7" s="8">
        <f t="shared" ref="Z7:Z9" si="1">SUM(P7:Y7)</f>
        <v>0</v>
      </c>
      <c r="AB7" s="8" cm="1">
        <f t="array" ref="AB7">IF(AB$2="FY",SUMPRODUCT(Data[Nhập-SPC+SPP-NX]*(Data[Year]=AB$1)*(Data[Main SKU name_GOM]=$A7)*(Data[SKU name_NHẬP_GOM]=AB$3)),SUMPRODUCT(Data[Nhập-SPC+SPP-NX]*(Data[Year]=AB$1)*(Data[Month]=AB$2)*(Data[Main SKU name_GOM]=$A7)*(Data[SKU name_NHẬP_GOM]=AB$3)))</f>
        <v>0</v>
      </c>
      <c r="AC7" s="8" cm="1">
        <f t="array" ref="AC7">IF(AC$2="FY",SUMPRODUCT(Data[Nhập-SPC+SPP-NX]*(Data[Year]=AC$1)*(Data[Main SKU name_GOM]=$A7)*(Data[SKU name_NHẬP_GOM]=AC$3)),SUMPRODUCT(Data[Nhập-SPC+SPP-NX]*(Data[Year]=AC$1)*(Data[Month]=AC$2)*(Data[Main SKU name_GOM]=$A7)*(Data[SKU name_NHẬP_GOM]=AC$3)))</f>
        <v>0</v>
      </c>
      <c r="AD7" s="8" cm="1">
        <f t="array" ref="AD7">IF(AD$2="FY",SUMPRODUCT(Data[Nhập-SPC+SPP-NX]*(Data[Year]=AD$1)*(Data[Main SKU name_GOM]=$A7)*(Data[SKU name_NHẬP_GOM]=AD$3)),SUMPRODUCT(Data[Nhập-SPC+SPP-NX]*(Data[Year]=AD$1)*(Data[Month]=AD$2)*(Data[Main SKU name_GOM]=$A7)*(Data[SKU name_NHẬP_GOM]=AD$3)))</f>
        <v>0</v>
      </c>
      <c r="AE7" s="8" cm="1">
        <f t="array" ref="AE7">IF(AE$2="FY",SUMPRODUCT(Data[Nhập-SPC+SPP-NX]*(Data[Year]=AE$1)*(Data[Main SKU name_GOM]=$A7)*(Data[SKU name_NHẬP_GOM]=AE$3)),SUMPRODUCT(Data[Nhập-SPC+SPP-NX]*(Data[Year]=AE$1)*(Data[Month]=AE$2)*(Data[Main SKU name_GOM]=$A7)*(Data[SKU name_NHẬP_GOM]=AE$3)))</f>
        <v>0</v>
      </c>
      <c r="AF7" s="8" cm="1">
        <f t="array" ref="AF7">IF(AF$2="FY",SUMPRODUCT(Data[Nhập-SPC+SPP-NX]*(Data[Year]=AF$1)*(Data[Main SKU name_GOM]=$A7)*(Data[SKU name_NHẬP_GOM]=AF$3)),SUMPRODUCT(Data[Nhập-SPC+SPP-NX]*(Data[Year]=AF$1)*(Data[Month]=AF$2)*(Data[Main SKU name_GOM]=$A7)*(Data[SKU name_NHẬP_GOM]=AF$3)))</f>
        <v>0</v>
      </c>
      <c r="AG7" s="8" cm="1">
        <f t="array" ref="AG7">IF(AG$2="FY",SUMPRODUCT(Data[Nhập-SPC+SPP-NX]*(Data[Year]=AG$1)*(Data[Main SKU name_GOM]=$A7)*(Data[SKU name_NHẬP_GOM]=AG$3)),SUMPRODUCT(Data[Nhập-SPC+SPP-NX]*(Data[Year]=AG$1)*(Data[Month]=AG$2)*(Data[Main SKU name_GOM]=$A7)*(Data[SKU name_NHẬP_GOM]=AG$3)))</f>
        <v>0</v>
      </c>
      <c r="AH7" s="8" cm="1">
        <f t="array" ref="AH7">IF(AH$2="FY",SUMPRODUCT(Data[Nhập-SPC+SPP-NX]*(Data[Year]=AH$1)*(Data[Main SKU name_GOM]=$A7)*(Data[SKU name_NHẬP_GOM]=AH$3)),SUMPRODUCT(Data[Nhập-SPC+SPP-NX]*(Data[Year]=AH$1)*(Data[Month]=AH$2)*(Data[Main SKU name_GOM]=$A7)*(Data[SKU name_NHẬP_GOM]=AH$3)))</f>
        <v>0</v>
      </c>
      <c r="AI7" s="8" cm="1">
        <f t="array" ref="AI7">IF(AI$2="FY",SUMPRODUCT(Data[Nhập-SPC+SPP-NX]*(Data[Year]=AI$1)*(Data[Main SKU name_GOM]=$A7)*(Data[SKU name_NHẬP_GOM]=AI$3)),SUMPRODUCT(Data[Nhập-SPC+SPP-NX]*(Data[Year]=AI$1)*(Data[Month]=AI$2)*(Data[Main SKU name_GOM]=$A7)*(Data[SKU name_NHẬP_GOM]=AI$3)))</f>
        <v>0</v>
      </c>
      <c r="AJ7" s="8" cm="1">
        <f t="array" ref="AJ7">IF(AJ$2="FY",SUMPRODUCT(Data[Nhập-SPC+SPP-NX]*(Data[Year]=AJ$1)*(Data[Main SKU name_GOM]=$A7)*(Data[SKU name_NHẬP_GOM]=AJ$3)),SUMPRODUCT(Data[Nhập-SPC+SPP-NX]*(Data[Year]=AJ$1)*(Data[Month]=AJ$2)*(Data[Main SKU name_GOM]=$A7)*(Data[SKU name_NHẬP_GOM]=AJ$3)))</f>
        <v>0</v>
      </c>
      <c r="AK7" s="8" cm="1">
        <f t="array" ref="AK7">IF(AK$2="FY",SUMPRODUCT(Data[Nhập-SPC+SPP-NX]*(Data[Year]=AK$1)*(Data[Main SKU name_GOM]=$A7)*(Data[SKU name_NHẬP_GOM]=AK$3)),SUMPRODUCT(Data[Nhập-SPC+SPP-NX]*(Data[Year]=AK$1)*(Data[Month]=AK$2)*(Data[Main SKU name_GOM]=$A7)*(Data[SKU name_NHẬP_GOM]=AK$3)))</f>
        <v>0</v>
      </c>
      <c r="AL7" s="8">
        <f t="shared" ref="AL7:AL9" si="2">SUM(AB7:AK7)</f>
        <v>0</v>
      </c>
      <c r="AN7" s="8" cm="1">
        <f t="array" ref="AN7">IF(AN$2="FY",SUMPRODUCT(Data[Nhập-SPC+SPP-NX]*(Data[Year]=AN$1)*(Data[Main SKU name_GOM]=$A7)*(Data[SKU name_NHẬP_GOM]=AN$3)),SUMPRODUCT(Data[Nhập-SPC+SPP-NX]*(Data[Year]=AN$1)*(Data[Month]=AN$2)*(Data[Main SKU name_GOM]=$A7)*(Data[SKU name_NHẬP_GOM]=AN$3)))</f>
        <v>0</v>
      </c>
      <c r="AO7" s="8" cm="1">
        <f t="array" ref="AO7">IF(AO$2="FY",SUMPRODUCT(Data[Nhập-SPC+SPP-NX]*(Data[Year]=AO$1)*(Data[Main SKU name_GOM]=$A7)*(Data[SKU name_NHẬP_GOM]=AO$3)),SUMPRODUCT(Data[Nhập-SPC+SPP-NX]*(Data[Year]=AO$1)*(Data[Month]=AO$2)*(Data[Main SKU name_GOM]=$A7)*(Data[SKU name_NHẬP_GOM]=AO$3)))</f>
        <v>711700</v>
      </c>
      <c r="AP7" s="8" cm="1">
        <f t="array" ref="AP7">IF(AP$2="FY",SUMPRODUCT(Data[Nhập-SPC+SPP-NX]*(Data[Year]=AP$1)*(Data[Main SKU name_GOM]=$A7)*(Data[SKU name_NHẬP_GOM]=AP$3)),SUMPRODUCT(Data[Nhập-SPC+SPP-NX]*(Data[Year]=AP$1)*(Data[Month]=AP$2)*(Data[Main SKU name_GOM]=$A7)*(Data[SKU name_NHẬP_GOM]=AP$3)))</f>
        <v>37400</v>
      </c>
      <c r="AQ7" s="8" cm="1">
        <f t="array" ref="AQ7">IF(AQ$2="FY",SUMPRODUCT(Data[Nhập-SPC+SPP-NX]*(Data[Year]=AQ$1)*(Data[Main SKU name_GOM]=$A7)*(Data[SKU name_NHẬP_GOM]=AQ$3)),SUMPRODUCT(Data[Nhập-SPC+SPP-NX]*(Data[Year]=AQ$1)*(Data[Month]=AQ$2)*(Data[Main SKU name_GOM]=$A7)*(Data[SKU name_NHẬP_GOM]=AQ$3)))</f>
        <v>0</v>
      </c>
      <c r="AR7" s="8" cm="1">
        <f t="array" ref="AR7">IF(AR$2="FY",SUMPRODUCT(Data[Nhập-SPC+SPP-NX]*(Data[Year]=AR$1)*(Data[Main SKU name_GOM]=$A7)*(Data[SKU name_NHẬP_GOM]=AR$3)),SUMPRODUCT(Data[Nhập-SPC+SPP-NX]*(Data[Year]=AR$1)*(Data[Month]=AR$2)*(Data[Main SKU name_GOM]=$A7)*(Data[SKU name_NHẬP_GOM]=AR$3)))</f>
        <v>5499.9999999999991</v>
      </c>
      <c r="AS7" s="8" cm="1">
        <f t="array" ref="AS7">IF(AS$2="FY",SUMPRODUCT(Data[Nhập-SPC+SPP-NX]*(Data[Year]=AS$1)*(Data[Main SKU name_GOM]=$A7)*(Data[SKU name_NHẬP_GOM]=AS$3)),SUMPRODUCT(Data[Nhập-SPC+SPP-NX]*(Data[Year]=AS$1)*(Data[Month]=AS$2)*(Data[Main SKU name_GOM]=$A7)*(Data[SKU name_NHẬP_GOM]=AS$3)))</f>
        <v>0</v>
      </c>
      <c r="AT7" s="8" cm="1">
        <f t="array" ref="AT7">IF(AT$2="FY",SUMPRODUCT(Data[Nhập-SPC+SPP-NX]*(Data[Year]=AT$1)*(Data[Main SKU name_GOM]=$A7)*(Data[SKU name_NHẬP_GOM]=AT$3)),SUMPRODUCT(Data[Nhập-SPC+SPP-NX]*(Data[Year]=AT$1)*(Data[Month]=AT$2)*(Data[Main SKU name_GOM]=$A7)*(Data[SKU name_NHẬP_GOM]=AT$3)))</f>
        <v>13200</v>
      </c>
      <c r="AU7" s="8" cm="1">
        <f t="array" ref="AU7">IF(AU$2="FY",SUMPRODUCT(Data[Nhập-SPC+SPP-NX]*(Data[Year]=AU$1)*(Data[Main SKU name_GOM]=$A7)*(Data[SKU name_NHẬP_GOM]=AU$3)),SUMPRODUCT(Data[Nhập-SPC+SPP-NX]*(Data[Year]=AU$1)*(Data[Month]=AU$2)*(Data[Main SKU name_GOM]=$A7)*(Data[SKU name_NHẬP_GOM]=AU$3)))</f>
        <v>0</v>
      </c>
      <c r="AV7" s="8" cm="1">
        <f t="array" ref="AV7">IF(AV$2="FY",SUMPRODUCT(Data[Nhập-SPC+SPP-NX]*(Data[Year]=AV$1)*(Data[Main SKU name_GOM]=$A7)*(Data[SKU name_NHẬP_GOM]=AV$3)),SUMPRODUCT(Data[Nhập-SPC+SPP-NX]*(Data[Year]=AV$1)*(Data[Month]=AV$2)*(Data[Main SKU name_GOM]=$A7)*(Data[SKU name_NHẬP_GOM]=AV$3)))</f>
        <v>0</v>
      </c>
      <c r="AW7" s="8" cm="1">
        <f t="array" ref="AW7">IF(AW$2="FY",SUMPRODUCT(Data[Nhập-SPC+SPP-NX]*(Data[Year]=AW$1)*(Data[Main SKU name_GOM]=$A7)*(Data[SKU name_NHẬP_GOM]=AW$3)),SUMPRODUCT(Data[Nhập-SPC+SPP-NX]*(Data[Year]=AW$1)*(Data[Month]=AW$2)*(Data[Main SKU name_GOM]=$A7)*(Data[SKU name_NHẬP_GOM]=AW$3)))</f>
        <v>0</v>
      </c>
      <c r="AX7" s="8">
        <f t="shared" ref="AX7:AX9" si="3">SUM(AN7:AW7)</f>
        <v>767800</v>
      </c>
      <c r="AZ7" s="8" cm="1">
        <f t="array" ref="AZ7">IF(AZ$2="FY",SUMPRODUCT(Data[Nhập-SPC+SPP-NX]*(Data[Year]=AZ$1)*(Data[Main SKU name_GOM]=$A7)*(Data[SKU name_NHẬP_GOM]=AZ$3)),SUMPRODUCT(Data[Nhập-SPC+SPP-NX]*(Data[Year]=AZ$1)*(Data[Month]=AZ$2)*(Data[Main SKU name_GOM]=$A7)*(Data[SKU name_NHẬP_GOM]=AZ$3)))</f>
        <v>0</v>
      </c>
      <c r="BA7" s="8" cm="1">
        <f t="array" ref="BA7">IF(BA$2="FY",SUMPRODUCT(Data[Nhập-SPC+SPP-NX]*(Data[Year]=BA$1)*(Data[Main SKU name_GOM]=$A7)*(Data[SKU name_NHẬP_GOM]=BA$3)),SUMPRODUCT(Data[Nhập-SPC+SPP-NX]*(Data[Year]=BA$1)*(Data[Month]=BA$2)*(Data[Main SKU name_GOM]=$A7)*(Data[SKU name_NHẬP_GOM]=BA$3)))</f>
        <v>0</v>
      </c>
      <c r="BB7" s="8" cm="1">
        <f t="array" ref="BB7">IF(BB$2="FY",SUMPRODUCT(Data[Nhập-SPC+SPP-NX]*(Data[Year]=BB$1)*(Data[Main SKU name_GOM]=$A7)*(Data[SKU name_NHẬP_GOM]=BB$3)),SUMPRODUCT(Data[Nhập-SPC+SPP-NX]*(Data[Year]=BB$1)*(Data[Month]=BB$2)*(Data[Main SKU name_GOM]=$A7)*(Data[SKU name_NHẬP_GOM]=BB$3)))</f>
        <v>0</v>
      </c>
      <c r="BC7" s="8" cm="1">
        <f t="array" ref="BC7">IF(BC$2="FY",SUMPRODUCT(Data[Nhập-SPC+SPP-NX]*(Data[Year]=BC$1)*(Data[Main SKU name_GOM]=$A7)*(Data[SKU name_NHẬP_GOM]=BC$3)),SUMPRODUCT(Data[Nhập-SPC+SPP-NX]*(Data[Year]=BC$1)*(Data[Month]=BC$2)*(Data[Main SKU name_GOM]=$A7)*(Data[SKU name_NHẬP_GOM]=BC$3)))</f>
        <v>0</v>
      </c>
      <c r="BD7" s="8" cm="1">
        <f t="array" ref="BD7">IF(BD$2="FY",SUMPRODUCT(Data[Nhập-SPC+SPP-NX]*(Data[Year]=BD$1)*(Data[Main SKU name_GOM]=$A7)*(Data[SKU name_NHẬP_GOM]=BD$3)),SUMPRODUCT(Data[Nhập-SPC+SPP-NX]*(Data[Year]=BD$1)*(Data[Month]=BD$2)*(Data[Main SKU name_GOM]=$A7)*(Data[SKU name_NHẬP_GOM]=BD$3)))</f>
        <v>0</v>
      </c>
      <c r="BE7" s="8" cm="1">
        <f t="array" ref="BE7">IF(BE$2="FY",SUMPRODUCT(Data[Nhập-SPC+SPP-NX]*(Data[Year]=BE$1)*(Data[Main SKU name_GOM]=$A7)*(Data[SKU name_NHẬP_GOM]=BE$3)),SUMPRODUCT(Data[Nhập-SPC+SPP-NX]*(Data[Year]=BE$1)*(Data[Month]=BE$2)*(Data[Main SKU name_GOM]=$A7)*(Data[SKU name_NHẬP_GOM]=BE$3)))</f>
        <v>0</v>
      </c>
      <c r="BF7" s="8" cm="1">
        <f t="array" ref="BF7">IF(BF$2="FY",SUMPRODUCT(Data[Nhập-SPC+SPP-NX]*(Data[Year]=BF$1)*(Data[Main SKU name_GOM]=$A7)*(Data[SKU name_NHẬP_GOM]=BF$3)),SUMPRODUCT(Data[Nhập-SPC+SPP-NX]*(Data[Year]=BF$1)*(Data[Month]=BF$2)*(Data[Main SKU name_GOM]=$A7)*(Data[SKU name_NHẬP_GOM]=BF$3)))</f>
        <v>0</v>
      </c>
      <c r="BG7" s="8" cm="1">
        <f t="array" ref="BG7">IF(BG$2="FY",SUMPRODUCT(Data[Nhập-SPC+SPP-NX]*(Data[Year]=BG$1)*(Data[Main SKU name_GOM]=$A7)*(Data[SKU name_NHẬP_GOM]=BG$3)),SUMPRODUCT(Data[Nhập-SPC+SPP-NX]*(Data[Year]=BG$1)*(Data[Month]=BG$2)*(Data[Main SKU name_GOM]=$A7)*(Data[SKU name_NHẬP_GOM]=BG$3)))</f>
        <v>0</v>
      </c>
      <c r="BH7" s="8" cm="1">
        <f t="array" ref="BH7">IF(BH$2="FY",SUMPRODUCT(Data[Nhập-SPC+SPP-NX]*(Data[Year]=BH$1)*(Data[Main SKU name_GOM]=$A7)*(Data[SKU name_NHẬP_GOM]=BH$3)),SUMPRODUCT(Data[Nhập-SPC+SPP-NX]*(Data[Year]=BH$1)*(Data[Month]=BH$2)*(Data[Main SKU name_GOM]=$A7)*(Data[SKU name_NHẬP_GOM]=BH$3)))</f>
        <v>0</v>
      </c>
      <c r="BI7" s="8" cm="1">
        <f t="array" ref="BI7">IF(BI$2="FY",SUMPRODUCT(Data[Nhập-SPC+SPP-NX]*(Data[Year]=BI$1)*(Data[Main SKU name_GOM]=$A7)*(Data[SKU name_NHẬP_GOM]=BI$3)),SUMPRODUCT(Data[Nhập-SPC+SPP-NX]*(Data[Year]=BI$1)*(Data[Month]=BI$2)*(Data[Main SKU name_GOM]=$A7)*(Data[SKU name_NHẬP_GOM]=BI$3)))</f>
        <v>0</v>
      </c>
      <c r="BJ7" s="8">
        <f t="shared" ref="BJ7:BJ9" si="4">SUM(AZ7:BI7)</f>
        <v>0</v>
      </c>
      <c r="BL7" s="8" cm="1">
        <f t="array" ref="BL7">IF(BL$2="FY",SUMPRODUCT(Data[Nhập-SPC+SPP-NX]*(Data[Year]=BL$1)*(Data[Main SKU name_GOM]=$A7)*(Data[SKU name_NHẬP_GOM]=BL$3)),SUMPRODUCT(Data[Nhập-SPC+SPP-NX]*(Data[Year]=BL$1)*(Data[Month]=BL$2)*(Data[Main SKU name_GOM]=$A7)*(Data[SKU name_NHẬP_GOM]=BL$3)))</f>
        <v>0</v>
      </c>
      <c r="BM7" s="8" cm="1">
        <f t="array" ref="BM7">IF(BM$2="FY",SUMPRODUCT(Data[Nhập-SPC+SPP-NX]*(Data[Year]=BM$1)*(Data[Main SKU name_GOM]=$A7)*(Data[SKU name_NHẬP_GOM]=BM$3)),SUMPRODUCT(Data[Nhập-SPC+SPP-NX]*(Data[Year]=BM$1)*(Data[Month]=BM$2)*(Data[Main SKU name_GOM]=$A7)*(Data[SKU name_NHẬP_GOM]=BM$3)))</f>
        <v>0</v>
      </c>
      <c r="BN7" s="8" cm="1">
        <f t="array" ref="BN7">IF(BN$2="FY",SUMPRODUCT(Data[Nhập-SPC+SPP-NX]*(Data[Year]=BN$1)*(Data[Main SKU name_GOM]=$A7)*(Data[SKU name_NHẬP_GOM]=BN$3)),SUMPRODUCT(Data[Nhập-SPC+SPP-NX]*(Data[Year]=BN$1)*(Data[Month]=BN$2)*(Data[Main SKU name_GOM]=$A7)*(Data[SKU name_NHẬP_GOM]=BN$3)))</f>
        <v>0</v>
      </c>
      <c r="BO7" s="8" cm="1">
        <f t="array" ref="BO7">IF(BO$2="FY",SUMPRODUCT(Data[Nhập-SPC+SPP-NX]*(Data[Year]=BO$1)*(Data[Main SKU name_GOM]=$A7)*(Data[SKU name_NHẬP_GOM]=BO$3)),SUMPRODUCT(Data[Nhập-SPC+SPP-NX]*(Data[Year]=BO$1)*(Data[Month]=BO$2)*(Data[Main SKU name_GOM]=$A7)*(Data[SKU name_NHẬP_GOM]=BO$3)))</f>
        <v>0</v>
      </c>
      <c r="BP7" s="8" cm="1">
        <f t="array" ref="BP7">IF(BP$2="FY",SUMPRODUCT(Data[Nhập-SPC+SPP-NX]*(Data[Year]=BP$1)*(Data[Main SKU name_GOM]=$A7)*(Data[SKU name_NHẬP_GOM]=BP$3)),SUMPRODUCT(Data[Nhập-SPC+SPP-NX]*(Data[Year]=BP$1)*(Data[Month]=BP$2)*(Data[Main SKU name_GOM]=$A7)*(Data[SKU name_NHẬP_GOM]=BP$3)))</f>
        <v>0</v>
      </c>
      <c r="BQ7" s="8" cm="1">
        <f t="array" ref="BQ7">IF(BQ$2="FY",SUMPRODUCT(Data[Nhập-SPC+SPP-NX]*(Data[Year]=BQ$1)*(Data[Main SKU name_GOM]=$A7)*(Data[SKU name_NHẬP_GOM]=BQ$3)),SUMPRODUCT(Data[Nhập-SPC+SPP-NX]*(Data[Year]=BQ$1)*(Data[Month]=BQ$2)*(Data[Main SKU name_GOM]=$A7)*(Data[SKU name_NHẬP_GOM]=BQ$3)))</f>
        <v>0</v>
      </c>
      <c r="BR7" s="8" cm="1">
        <f t="array" ref="BR7">IF(BR$2="FY",SUMPRODUCT(Data[Nhập-SPC+SPP-NX]*(Data[Year]=BR$1)*(Data[Main SKU name_GOM]=$A7)*(Data[SKU name_NHẬP_GOM]=BR$3)),SUMPRODUCT(Data[Nhập-SPC+SPP-NX]*(Data[Year]=BR$1)*(Data[Month]=BR$2)*(Data[Main SKU name_GOM]=$A7)*(Data[SKU name_NHẬP_GOM]=BR$3)))</f>
        <v>0</v>
      </c>
      <c r="BS7" s="8" cm="1">
        <f t="array" ref="BS7">IF(BS$2="FY",SUMPRODUCT(Data[Nhập-SPC+SPP-NX]*(Data[Year]=BS$1)*(Data[Main SKU name_GOM]=$A7)*(Data[SKU name_NHẬP_GOM]=BS$3)),SUMPRODUCT(Data[Nhập-SPC+SPP-NX]*(Data[Year]=BS$1)*(Data[Month]=BS$2)*(Data[Main SKU name_GOM]=$A7)*(Data[SKU name_NHẬP_GOM]=BS$3)))</f>
        <v>0</v>
      </c>
      <c r="BT7" s="8" cm="1">
        <f t="array" ref="BT7">IF(BT$2="FY",SUMPRODUCT(Data[Nhập-SPC+SPP-NX]*(Data[Year]=BT$1)*(Data[Main SKU name_GOM]=$A7)*(Data[SKU name_NHẬP_GOM]=BT$3)),SUMPRODUCT(Data[Nhập-SPC+SPP-NX]*(Data[Year]=BT$1)*(Data[Month]=BT$2)*(Data[Main SKU name_GOM]=$A7)*(Data[SKU name_NHẬP_GOM]=BT$3)))</f>
        <v>0</v>
      </c>
      <c r="BU7" s="8" cm="1">
        <f t="array" ref="BU7">IF(BU$2="FY",SUMPRODUCT(Data[Nhập-SPC+SPP-NX]*(Data[Year]=BU$1)*(Data[Main SKU name_GOM]=$A7)*(Data[SKU name_NHẬP_GOM]=BU$3)),SUMPRODUCT(Data[Nhập-SPC+SPP-NX]*(Data[Year]=BU$1)*(Data[Month]=BU$2)*(Data[Main SKU name_GOM]=$A7)*(Data[SKU name_NHẬP_GOM]=BU$3)))</f>
        <v>0</v>
      </c>
      <c r="BV7" s="8">
        <f t="shared" ref="BV7:BV9" si="5">SUM(BL7:BU7)</f>
        <v>0</v>
      </c>
      <c r="BX7" s="8" cm="1">
        <f t="array" ref="BX7">IF(BX$2="FY",SUMPRODUCT(Data[Nhập-SPC+SPP-NX]*(Data[Year]=BX$1)*(Data[Main SKU name_GOM]=$A7)*(Data[SKU name_NHẬP_GOM]=BX$3)),SUMPRODUCT(Data[Nhập-SPC+SPP-NX]*(Data[Year]=BX$1)*(Data[Month]=BX$2)*(Data[Main SKU name_GOM]=$A7)*(Data[SKU name_NHẬP_GOM]=BX$3)))</f>
        <v>0</v>
      </c>
      <c r="BY7" s="8" cm="1">
        <f t="array" ref="BY7">IF(BY$2="FY",SUMPRODUCT(Data[Nhập-SPC+SPP-NX]*(Data[Year]=BY$1)*(Data[Main SKU name_GOM]=$A7)*(Data[SKU name_NHẬP_GOM]=BY$3)),SUMPRODUCT(Data[Nhập-SPC+SPP-NX]*(Data[Year]=BY$1)*(Data[Month]=BY$2)*(Data[Main SKU name_GOM]=$A7)*(Data[SKU name_NHẬP_GOM]=BY$3)))</f>
        <v>0</v>
      </c>
      <c r="BZ7" s="8" cm="1">
        <f t="array" ref="BZ7">IF(BZ$2="FY",SUMPRODUCT(Data[Nhập-SPC+SPP-NX]*(Data[Year]=BZ$1)*(Data[Main SKU name_GOM]=$A7)*(Data[SKU name_NHẬP_GOM]=BZ$3)),SUMPRODUCT(Data[Nhập-SPC+SPP-NX]*(Data[Year]=BZ$1)*(Data[Month]=BZ$2)*(Data[Main SKU name_GOM]=$A7)*(Data[SKU name_NHẬP_GOM]=BZ$3)))</f>
        <v>0</v>
      </c>
      <c r="CA7" s="8" cm="1">
        <f t="array" ref="CA7">IF(CA$2="FY",SUMPRODUCT(Data[Nhập-SPC+SPP-NX]*(Data[Year]=CA$1)*(Data[Main SKU name_GOM]=$A7)*(Data[SKU name_NHẬP_GOM]=CA$3)),SUMPRODUCT(Data[Nhập-SPC+SPP-NX]*(Data[Year]=CA$1)*(Data[Month]=CA$2)*(Data[Main SKU name_GOM]=$A7)*(Data[SKU name_NHẬP_GOM]=CA$3)))</f>
        <v>0</v>
      </c>
      <c r="CB7" s="8" cm="1">
        <f t="array" ref="CB7">IF(CB$2="FY",SUMPRODUCT(Data[Nhập-SPC+SPP-NX]*(Data[Year]=CB$1)*(Data[Main SKU name_GOM]=$A7)*(Data[SKU name_NHẬP_GOM]=CB$3)),SUMPRODUCT(Data[Nhập-SPC+SPP-NX]*(Data[Year]=CB$1)*(Data[Month]=CB$2)*(Data[Main SKU name_GOM]=$A7)*(Data[SKU name_NHẬP_GOM]=CB$3)))</f>
        <v>0</v>
      </c>
      <c r="CC7" s="8" cm="1">
        <f t="array" ref="CC7">IF(CC$2="FY",SUMPRODUCT(Data[Nhập-SPC+SPP-NX]*(Data[Year]=CC$1)*(Data[Main SKU name_GOM]=$A7)*(Data[SKU name_NHẬP_GOM]=CC$3)),SUMPRODUCT(Data[Nhập-SPC+SPP-NX]*(Data[Year]=CC$1)*(Data[Month]=CC$2)*(Data[Main SKU name_GOM]=$A7)*(Data[SKU name_NHẬP_GOM]=CC$3)))</f>
        <v>0</v>
      </c>
      <c r="CD7" s="8" cm="1">
        <f t="array" ref="CD7">IF(CD$2="FY",SUMPRODUCT(Data[Nhập-SPC+SPP-NX]*(Data[Year]=CD$1)*(Data[Main SKU name_GOM]=$A7)*(Data[SKU name_NHẬP_GOM]=CD$3)),SUMPRODUCT(Data[Nhập-SPC+SPP-NX]*(Data[Year]=CD$1)*(Data[Month]=CD$2)*(Data[Main SKU name_GOM]=$A7)*(Data[SKU name_NHẬP_GOM]=CD$3)))</f>
        <v>0</v>
      </c>
      <c r="CE7" s="8" cm="1">
        <f t="array" ref="CE7">IF(CE$2="FY",SUMPRODUCT(Data[Nhập-SPC+SPP-NX]*(Data[Year]=CE$1)*(Data[Main SKU name_GOM]=$A7)*(Data[SKU name_NHẬP_GOM]=CE$3)),SUMPRODUCT(Data[Nhập-SPC+SPP-NX]*(Data[Year]=CE$1)*(Data[Month]=CE$2)*(Data[Main SKU name_GOM]=$A7)*(Data[SKU name_NHẬP_GOM]=CE$3)))</f>
        <v>0</v>
      </c>
      <c r="CF7" s="8" cm="1">
        <f t="array" ref="CF7">IF(CF$2="FY",SUMPRODUCT(Data[Nhập-SPC+SPP-NX]*(Data[Year]=CF$1)*(Data[Main SKU name_GOM]=$A7)*(Data[SKU name_NHẬP_GOM]=CF$3)),SUMPRODUCT(Data[Nhập-SPC+SPP-NX]*(Data[Year]=CF$1)*(Data[Month]=CF$2)*(Data[Main SKU name_GOM]=$A7)*(Data[SKU name_NHẬP_GOM]=CF$3)))</f>
        <v>0</v>
      </c>
      <c r="CG7" s="8" cm="1">
        <f t="array" ref="CG7">IF(CG$2="FY",SUMPRODUCT(Data[Nhập-SPC+SPP-NX]*(Data[Year]=CG$1)*(Data[Main SKU name_GOM]=$A7)*(Data[SKU name_NHẬP_GOM]=CG$3)),SUMPRODUCT(Data[Nhập-SPC+SPP-NX]*(Data[Year]=CG$1)*(Data[Month]=CG$2)*(Data[Main SKU name_GOM]=$A7)*(Data[SKU name_NHẬP_GOM]=CG$3)))</f>
        <v>0</v>
      </c>
      <c r="CH7" s="8">
        <f t="shared" ref="CH7:CH9" si="6">SUM(BX7:CG7)</f>
        <v>0</v>
      </c>
      <c r="CJ7" s="8" cm="1">
        <f t="array" ref="CJ7">IF(CJ$2="FY",SUMPRODUCT(Data[Nhập-SPC+SPP-NX]*(Data[Year]=CJ$1)*(Data[Main SKU name_GOM]=$A7)*(Data[SKU name_NHẬP_GOM]=CJ$3)),SUMPRODUCT(Data[Nhập-SPC+SPP-NX]*(Data[Year]=CJ$1)*(Data[Month]=CJ$2)*(Data[Main SKU name_GOM]=$A7)*(Data[SKU name_NHẬP_GOM]=CJ$3)))</f>
        <v>0</v>
      </c>
      <c r="CK7" s="8" cm="1">
        <f t="array" ref="CK7">IF(CK$2="FY",SUMPRODUCT(Data[Nhập-SPC+SPP-NX]*(Data[Year]=CK$1)*(Data[Main SKU name_GOM]=$A7)*(Data[SKU name_NHẬP_GOM]=CK$3)),SUMPRODUCT(Data[Nhập-SPC+SPP-NX]*(Data[Year]=CK$1)*(Data[Month]=CK$2)*(Data[Main SKU name_GOM]=$A7)*(Data[SKU name_NHẬP_GOM]=CK$3)))</f>
        <v>0</v>
      </c>
      <c r="CL7" s="8" cm="1">
        <f t="array" ref="CL7">IF(CL$2="FY",SUMPRODUCT(Data[Nhập-SPC+SPP-NX]*(Data[Year]=CL$1)*(Data[Main SKU name_GOM]=$A7)*(Data[SKU name_NHẬP_GOM]=CL$3)),SUMPRODUCT(Data[Nhập-SPC+SPP-NX]*(Data[Year]=CL$1)*(Data[Month]=CL$2)*(Data[Main SKU name_GOM]=$A7)*(Data[SKU name_NHẬP_GOM]=CL$3)))</f>
        <v>0</v>
      </c>
      <c r="CM7" s="8" cm="1">
        <f t="array" ref="CM7">IF(CM$2="FY",SUMPRODUCT(Data[Nhập-SPC+SPP-NX]*(Data[Year]=CM$1)*(Data[Main SKU name_GOM]=$A7)*(Data[SKU name_NHẬP_GOM]=CM$3)),SUMPRODUCT(Data[Nhập-SPC+SPP-NX]*(Data[Year]=CM$1)*(Data[Month]=CM$2)*(Data[Main SKU name_GOM]=$A7)*(Data[SKU name_NHẬP_GOM]=CM$3)))</f>
        <v>0</v>
      </c>
      <c r="CN7" s="8" cm="1">
        <f t="array" ref="CN7">IF(CN$2="FY",SUMPRODUCT(Data[Nhập-SPC+SPP-NX]*(Data[Year]=CN$1)*(Data[Main SKU name_GOM]=$A7)*(Data[SKU name_NHẬP_GOM]=CN$3)),SUMPRODUCT(Data[Nhập-SPC+SPP-NX]*(Data[Year]=CN$1)*(Data[Month]=CN$2)*(Data[Main SKU name_GOM]=$A7)*(Data[SKU name_NHẬP_GOM]=CN$3)))</f>
        <v>0</v>
      </c>
      <c r="CO7" s="8" cm="1">
        <f t="array" ref="CO7">IF(CO$2="FY",SUMPRODUCT(Data[Nhập-SPC+SPP-NX]*(Data[Year]=CO$1)*(Data[Main SKU name_GOM]=$A7)*(Data[SKU name_NHẬP_GOM]=CO$3)),SUMPRODUCT(Data[Nhập-SPC+SPP-NX]*(Data[Year]=CO$1)*(Data[Month]=CO$2)*(Data[Main SKU name_GOM]=$A7)*(Data[SKU name_NHẬP_GOM]=CO$3)))</f>
        <v>0</v>
      </c>
      <c r="CP7" s="8" cm="1">
        <f t="array" ref="CP7">IF(CP$2="FY",SUMPRODUCT(Data[Nhập-SPC+SPP-NX]*(Data[Year]=CP$1)*(Data[Main SKU name_GOM]=$A7)*(Data[SKU name_NHẬP_GOM]=CP$3)),SUMPRODUCT(Data[Nhập-SPC+SPP-NX]*(Data[Year]=CP$1)*(Data[Month]=CP$2)*(Data[Main SKU name_GOM]=$A7)*(Data[SKU name_NHẬP_GOM]=CP$3)))</f>
        <v>0</v>
      </c>
      <c r="CQ7" s="8" cm="1">
        <f t="array" ref="CQ7">IF(CQ$2="FY",SUMPRODUCT(Data[Nhập-SPC+SPP-NX]*(Data[Year]=CQ$1)*(Data[Main SKU name_GOM]=$A7)*(Data[SKU name_NHẬP_GOM]=CQ$3)),SUMPRODUCT(Data[Nhập-SPC+SPP-NX]*(Data[Year]=CQ$1)*(Data[Month]=CQ$2)*(Data[Main SKU name_GOM]=$A7)*(Data[SKU name_NHẬP_GOM]=CQ$3)))</f>
        <v>0</v>
      </c>
      <c r="CR7" s="8" cm="1">
        <f t="array" ref="CR7">IF(CR$2="FY",SUMPRODUCT(Data[Nhập-SPC+SPP-NX]*(Data[Year]=CR$1)*(Data[Main SKU name_GOM]=$A7)*(Data[SKU name_NHẬP_GOM]=CR$3)),SUMPRODUCT(Data[Nhập-SPC+SPP-NX]*(Data[Year]=CR$1)*(Data[Month]=CR$2)*(Data[Main SKU name_GOM]=$A7)*(Data[SKU name_NHẬP_GOM]=CR$3)))</f>
        <v>0</v>
      </c>
      <c r="CS7" s="8" cm="1">
        <f t="array" ref="CS7">IF(CS$2="FY",SUMPRODUCT(Data[Nhập-SPC+SPP-NX]*(Data[Year]=CS$1)*(Data[Main SKU name_GOM]=$A7)*(Data[SKU name_NHẬP_GOM]=CS$3)),SUMPRODUCT(Data[Nhập-SPC+SPP-NX]*(Data[Year]=CS$1)*(Data[Month]=CS$2)*(Data[Main SKU name_GOM]=$A7)*(Data[SKU name_NHẬP_GOM]=CS$3)))</f>
        <v>0</v>
      </c>
      <c r="CT7" s="8">
        <f t="shared" ref="CT7:CT9" si="7">SUM(CJ7:CS7)</f>
        <v>0</v>
      </c>
      <c r="CV7" s="8" cm="1">
        <f t="array" ref="CV7">IF(CV$2="FY",SUMPRODUCT(Data[Nhập-SPC+SPP-NX]*(Data[Year]=CV$1)*(Data[Main SKU name_GOM]=$A7)*(Data[SKU name_NHẬP_GOM]=CV$3)),SUMPRODUCT(Data[Nhập-SPC+SPP-NX]*(Data[Year]=CV$1)*(Data[Month]=CV$2)*(Data[Main SKU name_GOM]=$A7)*(Data[SKU name_NHẬP_GOM]=CV$3)))</f>
        <v>0</v>
      </c>
      <c r="CW7" s="8" cm="1">
        <f t="array" ref="CW7">IF(CW$2="FY",SUMPRODUCT(Data[Nhập-SPC+SPP-NX]*(Data[Year]=CW$1)*(Data[Main SKU name_GOM]=$A7)*(Data[SKU name_NHẬP_GOM]=CW$3)),SUMPRODUCT(Data[Nhập-SPC+SPP-NX]*(Data[Year]=CW$1)*(Data[Month]=CW$2)*(Data[Main SKU name_GOM]=$A7)*(Data[SKU name_NHẬP_GOM]=CW$3)))</f>
        <v>0</v>
      </c>
      <c r="CX7" s="8" cm="1">
        <f t="array" ref="CX7">IF(CX$2="FY",SUMPRODUCT(Data[Nhập-SPC+SPP-NX]*(Data[Year]=CX$1)*(Data[Main SKU name_GOM]=$A7)*(Data[SKU name_NHẬP_GOM]=CX$3)),SUMPRODUCT(Data[Nhập-SPC+SPP-NX]*(Data[Year]=CX$1)*(Data[Month]=CX$2)*(Data[Main SKU name_GOM]=$A7)*(Data[SKU name_NHẬP_GOM]=CX$3)))</f>
        <v>0</v>
      </c>
      <c r="CY7" s="8" cm="1">
        <f t="array" ref="CY7">IF(CY$2="FY",SUMPRODUCT(Data[Nhập-SPC+SPP-NX]*(Data[Year]=CY$1)*(Data[Main SKU name_GOM]=$A7)*(Data[SKU name_NHẬP_GOM]=CY$3)),SUMPRODUCT(Data[Nhập-SPC+SPP-NX]*(Data[Year]=CY$1)*(Data[Month]=CY$2)*(Data[Main SKU name_GOM]=$A7)*(Data[SKU name_NHẬP_GOM]=CY$3)))</f>
        <v>0</v>
      </c>
      <c r="CZ7" s="8" cm="1">
        <f t="array" ref="CZ7">IF(CZ$2="FY",SUMPRODUCT(Data[Nhập-SPC+SPP-NX]*(Data[Year]=CZ$1)*(Data[Main SKU name_GOM]=$A7)*(Data[SKU name_NHẬP_GOM]=CZ$3)),SUMPRODUCT(Data[Nhập-SPC+SPP-NX]*(Data[Year]=CZ$1)*(Data[Month]=CZ$2)*(Data[Main SKU name_GOM]=$A7)*(Data[SKU name_NHẬP_GOM]=CZ$3)))</f>
        <v>0</v>
      </c>
      <c r="DA7" s="8" cm="1">
        <f t="array" ref="DA7">IF(DA$2="FY",SUMPRODUCT(Data[Nhập-SPC+SPP-NX]*(Data[Year]=DA$1)*(Data[Main SKU name_GOM]=$A7)*(Data[SKU name_NHẬP_GOM]=DA$3)),SUMPRODUCT(Data[Nhập-SPC+SPP-NX]*(Data[Year]=DA$1)*(Data[Month]=DA$2)*(Data[Main SKU name_GOM]=$A7)*(Data[SKU name_NHẬP_GOM]=DA$3)))</f>
        <v>0</v>
      </c>
      <c r="DB7" s="8" cm="1">
        <f t="array" ref="DB7">IF(DB$2="FY",SUMPRODUCT(Data[Nhập-SPC+SPP-NX]*(Data[Year]=DB$1)*(Data[Main SKU name_GOM]=$A7)*(Data[SKU name_NHẬP_GOM]=DB$3)),SUMPRODUCT(Data[Nhập-SPC+SPP-NX]*(Data[Year]=DB$1)*(Data[Month]=DB$2)*(Data[Main SKU name_GOM]=$A7)*(Data[SKU name_NHẬP_GOM]=DB$3)))</f>
        <v>0</v>
      </c>
      <c r="DC7" s="8" cm="1">
        <f t="array" ref="DC7">IF(DC$2="FY",SUMPRODUCT(Data[Nhập-SPC+SPP-NX]*(Data[Year]=DC$1)*(Data[Main SKU name_GOM]=$A7)*(Data[SKU name_NHẬP_GOM]=DC$3)),SUMPRODUCT(Data[Nhập-SPC+SPP-NX]*(Data[Year]=DC$1)*(Data[Month]=DC$2)*(Data[Main SKU name_GOM]=$A7)*(Data[SKU name_NHẬP_GOM]=DC$3)))</f>
        <v>0</v>
      </c>
      <c r="DD7" s="8" cm="1">
        <f t="array" ref="DD7">IF(DD$2="FY",SUMPRODUCT(Data[Nhập-SPC+SPP-NX]*(Data[Year]=DD$1)*(Data[Main SKU name_GOM]=$A7)*(Data[SKU name_NHẬP_GOM]=DD$3)),SUMPRODUCT(Data[Nhập-SPC+SPP-NX]*(Data[Year]=DD$1)*(Data[Month]=DD$2)*(Data[Main SKU name_GOM]=$A7)*(Data[SKU name_NHẬP_GOM]=DD$3)))</f>
        <v>0</v>
      </c>
      <c r="DE7" s="8" cm="1">
        <f t="array" ref="DE7">IF(DE$2="FY",SUMPRODUCT(Data[Nhập-SPC+SPP-NX]*(Data[Year]=DE$1)*(Data[Main SKU name_GOM]=$A7)*(Data[SKU name_NHẬP_GOM]=DE$3)),SUMPRODUCT(Data[Nhập-SPC+SPP-NX]*(Data[Year]=DE$1)*(Data[Month]=DE$2)*(Data[Main SKU name_GOM]=$A7)*(Data[SKU name_NHẬP_GOM]=DE$3)))</f>
        <v>0</v>
      </c>
      <c r="DF7" s="8">
        <f t="shared" ref="DF7:DF9" si="8">SUM(CV7:DE7)</f>
        <v>0</v>
      </c>
      <c r="DH7" s="8" cm="1">
        <f t="array" ref="DH7">IF(DH$2="FY",SUMPRODUCT(Data[Nhập-SPC+SPP-NX]*(Data[Year]=DH$1)*(Data[Main SKU name_GOM]=$A7)*(Data[SKU name_NHẬP_GOM]=DH$3)),SUMPRODUCT(Data[Nhập-SPC+SPP-NX]*(Data[Year]=DH$1)*(Data[Month]=DH$2)*(Data[Main SKU name_GOM]=$A7)*(Data[SKU name_NHẬP_GOM]=DH$3)))</f>
        <v>0</v>
      </c>
      <c r="DI7" s="8" cm="1">
        <f t="array" ref="DI7">IF(DI$2="FY",SUMPRODUCT(Data[Nhập-SPC+SPP-NX]*(Data[Year]=DI$1)*(Data[Main SKU name_GOM]=$A7)*(Data[SKU name_NHẬP_GOM]=DI$3)),SUMPRODUCT(Data[Nhập-SPC+SPP-NX]*(Data[Year]=DI$1)*(Data[Month]=DI$2)*(Data[Main SKU name_GOM]=$A7)*(Data[SKU name_NHẬP_GOM]=DI$3)))</f>
        <v>0</v>
      </c>
      <c r="DJ7" s="8" cm="1">
        <f t="array" ref="DJ7">IF(DJ$2="FY",SUMPRODUCT(Data[Nhập-SPC+SPP-NX]*(Data[Year]=DJ$1)*(Data[Main SKU name_GOM]=$A7)*(Data[SKU name_NHẬP_GOM]=DJ$3)),SUMPRODUCT(Data[Nhập-SPC+SPP-NX]*(Data[Year]=DJ$1)*(Data[Month]=DJ$2)*(Data[Main SKU name_GOM]=$A7)*(Data[SKU name_NHẬP_GOM]=DJ$3)))</f>
        <v>0</v>
      </c>
      <c r="DK7" s="8" cm="1">
        <f t="array" ref="DK7">IF(DK$2="FY",SUMPRODUCT(Data[Nhập-SPC+SPP-NX]*(Data[Year]=DK$1)*(Data[Main SKU name_GOM]=$A7)*(Data[SKU name_NHẬP_GOM]=DK$3)),SUMPRODUCT(Data[Nhập-SPC+SPP-NX]*(Data[Year]=DK$1)*(Data[Month]=DK$2)*(Data[Main SKU name_GOM]=$A7)*(Data[SKU name_NHẬP_GOM]=DK$3)))</f>
        <v>0</v>
      </c>
      <c r="DL7" s="8" cm="1">
        <f t="array" ref="DL7">IF(DL$2="FY",SUMPRODUCT(Data[Nhập-SPC+SPP-NX]*(Data[Year]=DL$1)*(Data[Main SKU name_GOM]=$A7)*(Data[SKU name_NHẬP_GOM]=DL$3)),SUMPRODUCT(Data[Nhập-SPC+SPP-NX]*(Data[Year]=DL$1)*(Data[Month]=DL$2)*(Data[Main SKU name_GOM]=$A7)*(Data[SKU name_NHẬP_GOM]=DL$3)))</f>
        <v>0</v>
      </c>
      <c r="DM7" s="8" cm="1">
        <f t="array" ref="DM7">IF(DM$2="FY",SUMPRODUCT(Data[Nhập-SPC+SPP-NX]*(Data[Year]=DM$1)*(Data[Main SKU name_GOM]=$A7)*(Data[SKU name_NHẬP_GOM]=DM$3)),SUMPRODUCT(Data[Nhập-SPC+SPP-NX]*(Data[Year]=DM$1)*(Data[Month]=DM$2)*(Data[Main SKU name_GOM]=$A7)*(Data[SKU name_NHẬP_GOM]=DM$3)))</f>
        <v>0</v>
      </c>
      <c r="DN7" s="8" cm="1">
        <f t="array" ref="DN7">IF(DN$2="FY",SUMPRODUCT(Data[Nhập-SPC+SPP-NX]*(Data[Year]=DN$1)*(Data[Main SKU name_GOM]=$A7)*(Data[SKU name_NHẬP_GOM]=DN$3)),SUMPRODUCT(Data[Nhập-SPC+SPP-NX]*(Data[Year]=DN$1)*(Data[Month]=DN$2)*(Data[Main SKU name_GOM]=$A7)*(Data[SKU name_NHẬP_GOM]=DN$3)))</f>
        <v>0</v>
      </c>
      <c r="DO7" s="8" cm="1">
        <f t="array" ref="DO7">IF(DO$2="FY",SUMPRODUCT(Data[Nhập-SPC+SPP-NX]*(Data[Year]=DO$1)*(Data[Main SKU name_GOM]=$A7)*(Data[SKU name_NHẬP_GOM]=DO$3)),SUMPRODUCT(Data[Nhập-SPC+SPP-NX]*(Data[Year]=DO$1)*(Data[Month]=DO$2)*(Data[Main SKU name_GOM]=$A7)*(Data[SKU name_NHẬP_GOM]=DO$3)))</f>
        <v>0</v>
      </c>
      <c r="DP7" s="8" cm="1">
        <f t="array" ref="DP7">IF(DP$2="FY",SUMPRODUCT(Data[Nhập-SPC+SPP-NX]*(Data[Year]=DP$1)*(Data[Main SKU name_GOM]=$A7)*(Data[SKU name_NHẬP_GOM]=DP$3)),SUMPRODUCT(Data[Nhập-SPC+SPP-NX]*(Data[Year]=DP$1)*(Data[Month]=DP$2)*(Data[Main SKU name_GOM]=$A7)*(Data[SKU name_NHẬP_GOM]=DP$3)))</f>
        <v>0</v>
      </c>
      <c r="DQ7" s="8" cm="1">
        <f t="array" ref="DQ7">IF(DQ$2="FY",SUMPRODUCT(Data[Nhập-SPC+SPP-NX]*(Data[Year]=DQ$1)*(Data[Main SKU name_GOM]=$A7)*(Data[SKU name_NHẬP_GOM]=DQ$3)),SUMPRODUCT(Data[Nhập-SPC+SPP-NX]*(Data[Year]=DQ$1)*(Data[Month]=DQ$2)*(Data[Main SKU name_GOM]=$A7)*(Data[SKU name_NHẬP_GOM]=DQ$3)))</f>
        <v>0</v>
      </c>
      <c r="DR7" s="8">
        <f t="shared" ref="DR7:DR9" si="9">SUM(DH7:DQ7)</f>
        <v>0</v>
      </c>
      <c r="DT7" s="8" cm="1">
        <f t="array" ref="DT7">IF(DT$2="FY",SUMPRODUCT(Data[Nhập-SPC+SPP-NX]*(Data[Year]=DT$1)*(Data[Main SKU name_GOM]=$A7)*(Data[SKU name_NHẬP_GOM]=DT$3)),SUMPRODUCT(Data[Nhập-SPC+SPP-NX]*(Data[Year]=DT$1)*(Data[Month]=DT$2)*(Data[Main SKU name_GOM]=$A7)*(Data[SKU name_NHẬP_GOM]=DT$3)))</f>
        <v>0</v>
      </c>
      <c r="DU7" s="8" cm="1">
        <f t="array" ref="DU7">IF(DU$2="FY",SUMPRODUCT(Data[Nhập-SPC+SPP-NX]*(Data[Year]=DU$1)*(Data[Main SKU name_GOM]=$A7)*(Data[SKU name_NHẬP_GOM]=DU$3)),SUMPRODUCT(Data[Nhập-SPC+SPP-NX]*(Data[Year]=DU$1)*(Data[Month]=DU$2)*(Data[Main SKU name_GOM]=$A7)*(Data[SKU name_NHẬP_GOM]=DU$3)))</f>
        <v>0</v>
      </c>
      <c r="DV7" s="8" cm="1">
        <f t="array" ref="DV7">IF(DV$2="FY",SUMPRODUCT(Data[Nhập-SPC+SPP-NX]*(Data[Year]=DV$1)*(Data[Main SKU name_GOM]=$A7)*(Data[SKU name_NHẬP_GOM]=DV$3)),SUMPRODUCT(Data[Nhập-SPC+SPP-NX]*(Data[Year]=DV$1)*(Data[Month]=DV$2)*(Data[Main SKU name_GOM]=$A7)*(Data[SKU name_NHẬP_GOM]=DV$3)))</f>
        <v>0</v>
      </c>
      <c r="DW7" s="8" cm="1">
        <f t="array" ref="DW7">IF(DW$2="FY",SUMPRODUCT(Data[Nhập-SPC+SPP-NX]*(Data[Year]=DW$1)*(Data[Main SKU name_GOM]=$A7)*(Data[SKU name_NHẬP_GOM]=DW$3)),SUMPRODUCT(Data[Nhập-SPC+SPP-NX]*(Data[Year]=DW$1)*(Data[Month]=DW$2)*(Data[Main SKU name_GOM]=$A7)*(Data[SKU name_NHẬP_GOM]=DW$3)))</f>
        <v>0</v>
      </c>
      <c r="DX7" s="8" cm="1">
        <f t="array" ref="DX7">IF(DX$2="FY",SUMPRODUCT(Data[Nhập-SPC+SPP-NX]*(Data[Year]=DX$1)*(Data[Main SKU name_GOM]=$A7)*(Data[SKU name_NHẬP_GOM]=DX$3)),SUMPRODUCT(Data[Nhập-SPC+SPP-NX]*(Data[Year]=DX$1)*(Data[Month]=DX$2)*(Data[Main SKU name_GOM]=$A7)*(Data[SKU name_NHẬP_GOM]=DX$3)))</f>
        <v>0</v>
      </c>
      <c r="DY7" s="8" cm="1">
        <f t="array" ref="DY7">IF(DY$2="FY",SUMPRODUCT(Data[Nhập-SPC+SPP-NX]*(Data[Year]=DY$1)*(Data[Main SKU name_GOM]=$A7)*(Data[SKU name_NHẬP_GOM]=DY$3)),SUMPRODUCT(Data[Nhập-SPC+SPP-NX]*(Data[Year]=DY$1)*(Data[Month]=DY$2)*(Data[Main SKU name_GOM]=$A7)*(Data[SKU name_NHẬP_GOM]=DY$3)))</f>
        <v>0</v>
      </c>
      <c r="DZ7" s="8" cm="1">
        <f t="array" ref="DZ7">IF(DZ$2="FY",SUMPRODUCT(Data[Nhập-SPC+SPP-NX]*(Data[Year]=DZ$1)*(Data[Main SKU name_GOM]=$A7)*(Data[SKU name_NHẬP_GOM]=DZ$3)),SUMPRODUCT(Data[Nhập-SPC+SPP-NX]*(Data[Year]=DZ$1)*(Data[Month]=DZ$2)*(Data[Main SKU name_GOM]=$A7)*(Data[SKU name_NHẬP_GOM]=DZ$3)))</f>
        <v>0</v>
      </c>
      <c r="EA7" s="8" cm="1">
        <f t="array" ref="EA7">IF(EA$2="FY",SUMPRODUCT(Data[Nhập-SPC+SPP-NX]*(Data[Year]=EA$1)*(Data[Main SKU name_GOM]=$A7)*(Data[SKU name_NHẬP_GOM]=EA$3)),SUMPRODUCT(Data[Nhập-SPC+SPP-NX]*(Data[Year]=EA$1)*(Data[Month]=EA$2)*(Data[Main SKU name_GOM]=$A7)*(Data[SKU name_NHẬP_GOM]=EA$3)))</f>
        <v>0</v>
      </c>
      <c r="EB7" s="8" cm="1">
        <f t="array" ref="EB7">IF(EB$2="FY",SUMPRODUCT(Data[Nhập-SPC+SPP-NX]*(Data[Year]=EB$1)*(Data[Main SKU name_GOM]=$A7)*(Data[SKU name_NHẬP_GOM]=EB$3)),SUMPRODUCT(Data[Nhập-SPC+SPP-NX]*(Data[Year]=EB$1)*(Data[Month]=EB$2)*(Data[Main SKU name_GOM]=$A7)*(Data[SKU name_NHẬP_GOM]=EB$3)))</f>
        <v>0</v>
      </c>
      <c r="EC7" s="8" cm="1">
        <f t="array" ref="EC7">IF(EC$2="FY",SUMPRODUCT(Data[Nhập-SPC+SPP-NX]*(Data[Year]=EC$1)*(Data[Main SKU name_GOM]=$A7)*(Data[SKU name_NHẬP_GOM]=EC$3)),SUMPRODUCT(Data[Nhập-SPC+SPP-NX]*(Data[Year]=EC$1)*(Data[Month]=EC$2)*(Data[Main SKU name_GOM]=$A7)*(Data[SKU name_NHẬP_GOM]=EC$3)))</f>
        <v>0</v>
      </c>
      <c r="ED7" s="8">
        <f t="shared" ref="ED7:ED9" si="10">SUM(DT7:EC7)</f>
        <v>0</v>
      </c>
      <c r="EF7" s="8" cm="1">
        <f t="array" ref="EF7">IF(EF$2="FY",SUMPRODUCT(Data[Nhập-SPC+SPP-NX]*(Data[Year]=EF$1)*(Data[Main SKU name_GOM]=$A7)*(Data[SKU name_NHẬP_GOM]=EF$3)),SUMPRODUCT(Data[Nhập-SPC+SPP-NX]*(Data[Year]=EF$1)*(Data[Month]=EF$2)*(Data[Main SKU name_GOM]=$A7)*(Data[SKU name_NHẬP_GOM]=EF$3)))</f>
        <v>0</v>
      </c>
      <c r="EG7" s="8" cm="1">
        <f t="array" ref="EG7">IF(EG$2="FY",SUMPRODUCT(Data[Nhập-SPC+SPP-NX]*(Data[Year]=EG$1)*(Data[Main SKU name_GOM]=$A7)*(Data[SKU name_NHẬP_GOM]=EG$3)),SUMPRODUCT(Data[Nhập-SPC+SPP-NX]*(Data[Year]=EG$1)*(Data[Month]=EG$2)*(Data[Main SKU name_GOM]=$A7)*(Data[SKU name_NHẬP_GOM]=EG$3)))</f>
        <v>0</v>
      </c>
      <c r="EH7" s="8" cm="1">
        <f t="array" ref="EH7">IF(EH$2="FY",SUMPRODUCT(Data[Nhập-SPC+SPP-NX]*(Data[Year]=EH$1)*(Data[Main SKU name_GOM]=$A7)*(Data[SKU name_NHẬP_GOM]=EH$3)),SUMPRODUCT(Data[Nhập-SPC+SPP-NX]*(Data[Year]=EH$1)*(Data[Month]=EH$2)*(Data[Main SKU name_GOM]=$A7)*(Data[SKU name_NHẬP_GOM]=EH$3)))</f>
        <v>0</v>
      </c>
      <c r="EI7" s="8" cm="1">
        <f t="array" ref="EI7">IF(EI$2="FY",SUMPRODUCT(Data[Nhập-SPC+SPP-NX]*(Data[Year]=EI$1)*(Data[Main SKU name_GOM]=$A7)*(Data[SKU name_NHẬP_GOM]=EI$3)),SUMPRODUCT(Data[Nhập-SPC+SPP-NX]*(Data[Year]=EI$1)*(Data[Month]=EI$2)*(Data[Main SKU name_GOM]=$A7)*(Data[SKU name_NHẬP_GOM]=EI$3)))</f>
        <v>0</v>
      </c>
      <c r="EJ7" s="8" cm="1">
        <f t="array" ref="EJ7">IF(EJ$2="FY",SUMPRODUCT(Data[Nhập-SPC+SPP-NX]*(Data[Year]=EJ$1)*(Data[Main SKU name_GOM]=$A7)*(Data[SKU name_NHẬP_GOM]=EJ$3)),SUMPRODUCT(Data[Nhập-SPC+SPP-NX]*(Data[Year]=EJ$1)*(Data[Month]=EJ$2)*(Data[Main SKU name_GOM]=$A7)*(Data[SKU name_NHẬP_GOM]=EJ$3)))</f>
        <v>0</v>
      </c>
      <c r="EK7" s="8" cm="1">
        <f t="array" ref="EK7">IF(EK$2="FY",SUMPRODUCT(Data[Nhập-SPC+SPP-NX]*(Data[Year]=EK$1)*(Data[Main SKU name_GOM]=$A7)*(Data[SKU name_NHẬP_GOM]=EK$3)),SUMPRODUCT(Data[Nhập-SPC+SPP-NX]*(Data[Year]=EK$1)*(Data[Month]=EK$2)*(Data[Main SKU name_GOM]=$A7)*(Data[SKU name_NHẬP_GOM]=EK$3)))</f>
        <v>0</v>
      </c>
      <c r="EL7" s="8" cm="1">
        <f t="array" ref="EL7">IF(EL$2="FY",SUMPRODUCT(Data[Nhập-SPC+SPP-NX]*(Data[Year]=EL$1)*(Data[Main SKU name_GOM]=$A7)*(Data[SKU name_NHẬP_GOM]=EL$3)),SUMPRODUCT(Data[Nhập-SPC+SPP-NX]*(Data[Year]=EL$1)*(Data[Month]=EL$2)*(Data[Main SKU name_GOM]=$A7)*(Data[SKU name_NHẬP_GOM]=EL$3)))</f>
        <v>0</v>
      </c>
      <c r="EM7" s="8" cm="1">
        <f t="array" ref="EM7">IF(EM$2="FY",SUMPRODUCT(Data[Nhập-SPC+SPP-NX]*(Data[Year]=EM$1)*(Data[Main SKU name_GOM]=$A7)*(Data[SKU name_NHẬP_GOM]=EM$3)),SUMPRODUCT(Data[Nhập-SPC+SPP-NX]*(Data[Year]=EM$1)*(Data[Month]=EM$2)*(Data[Main SKU name_GOM]=$A7)*(Data[SKU name_NHẬP_GOM]=EM$3)))</f>
        <v>0</v>
      </c>
      <c r="EN7" s="8" cm="1">
        <f t="array" ref="EN7">IF(EN$2="FY",SUMPRODUCT(Data[Nhập-SPC+SPP-NX]*(Data[Year]=EN$1)*(Data[Main SKU name_GOM]=$A7)*(Data[SKU name_NHẬP_GOM]=EN$3)),SUMPRODUCT(Data[Nhập-SPC+SPP-NX]*(Data[Year]=EN$1)*(Data[Month]=EN$2)*(Data[Main SKU name_GOM]=$A7)*(Data[SKU name_NHẬP_GOM]=EN$3)))</f>
        <v>0</v>
      </c>
      <c r="EO7" s="8" cm="1">
        <f t="array" ref="EO7">IF(EO$2="FY",SUMPRODUCT(Data[Nhập-SPC+SPP-NX]*(Data[Year]=EO$1)*(Data[Main SKU name_GOM]=$A7)*(Data[SKU name_NHẬP_GOM]=EO$3)),SUMPRODUCT(Data[Nhập-SPC+SPP-NX]*(Data[Year]=EO$1)*(Data[Month]=EO$2)*(Data[Main SKU name_GOM]=$A7)*(Data[SKU name_NHẬP_GOM]=EO$3)))</f>
        <v>0</v>
      </c>
      <c r="EP7" s="8">
        <f t="shared" ref="EP7:EP9" si="11">SUM(EF7:EO7)</f>
        <v>0</v>
      </c>
      <c r="ER7" s="8" cm="1">
        <f t="array" ref="ER7">IF(ER$2="FY",SUMPRODUCT(Data[Nhập-SPC+SPP-NX]*(Data[Year]=ER$1)*(Data[Main SKU name_GOM]=$A7)*(Data[SKU name_NHẬP_GOM]=ER$3)),SUMPRODUCT(Data[Nhập-SPC+SPP-NX]*(Data[Year]=ER$1)*(Data[Month]=ER$2)*(Data[Main SKU name_GOM]=$A7)*(Data[SKU name_NHẬP_GOM]=ER$3)))</f>
        <v>0</v>
      </c>
      <c r="ES7" s="8" cm="1">
        <f t="array" ref="ES7">IF(ES$2="FY",SUMPRODUCT(Data[Nhập-SPC+SPP-NX]*(Data[Year]=ES$1)*(Data[Main SKU name_GOM]=$A7)*(Data[SKU name_NHẬP_GOM]=ES$3)),SUMPRODUCT(Data[Nhập-SPC+SPP-NX]*(Data[Year]=ES$1)*(Data[Month]=ES$2)*(Data[Main SKU name_GOM]=$A7)*(Data[SKU name_NHẬP_GOM]=ES$3)))</f>
        <v>0</v>
      </c>
      <c r="ET7" s="8" cm="1">
        <f t="array" ref="ET7">IF(ET$2="FY",SUMPRODUCT(Data[Nhập-SPC+SPP-NX]*(Data[Year]=ET$1)*(Data[Main SKU name_GOM]=$A7)*(Data[SKU name_NHẬP_GOM]=ET$3)),SUMPRODUCT(Data[Nhập-SPC+SPP-NX]*(Data[Year]=ET$1)*(Data[Month]=ET$2)*(Data[Main SKU name_GOM]=$A7)*(Data[SKU name_NHẬP_GOM]=ET$3)))</f>
        <v>0</v>
      </c>
      <c r="EU7" s="8" cm="1">
        <f t="array" ref="EU7">IF(EU$2="FY",SUMPRODUCT(Data[Nhập-SPC+SPP-NX]*(Data[Year]=EU$1)*(Data[Main SKU name_GOM]=$A7)*(Data[SKU name_NHẬP_GOM]=EU$3)),SUMPRODUCT(Data[Nhập-SPC+SPP-NX]*(Data[Year]=EU$1)*(Data[Month]=EU$2)*(Data[Main SKU name_GOM]=$A7)*(Data[SKU name_NHẬP_GOM]=EU$3)))</f>
        <v>0</v>
      </c>
      <c r="EV7" s="8" cm="1">
        <f t="array" ref="EV7">IF(EV$2="FY",SUMPRODUCT(Data[Nhập-SPC+SPP-NX]*(Data[Year]=EV$1)*(Data[Main SKU name_GOM]=$A7)*(Data[SKU name_NHẬP_GOM]=EV$3)),SUMPRODUCT(Data[Nhập-SPC+SPP-NX]*(Data[Year]=EV$1)*(Data[Month]=EV$2)*(Data[Main SKU name_GOM]=$A7)*(Data[SKU name_NHẬP_GOM]=EV$3)))</f>
        <v>0</v>
      </c>
      <c r="EW7" s="8" cm="1">
        <f t="array" ref="EW7">IF(EW$2="FY",SUMPRODUCT(Data[Nhập-SPC+SPP-NX]*(Data[Year]=EW$1)*(Data[Main SKU name_GOM]=$A7)*(Data[SKU name_NHẬP_GOM]=EW$3)),SUMPRODUCT(Data[Nhập-SPC+SPP-NX]*(Data[Year]=EW$1)*(Data[Month]=EW$2)*(Data[Main SKU name_GOM]=$A7)*(Data[SKU name_NHẬP_GOM]=EW$3)))</f>
        <v>0</v>
      </c>
      <c r="EX7" s="8" cm="1">
        <f t="array" ref="EX7">IF(EX$2="FY",SUMPRODUCT(Data[Nhập-SPC+SPP-NX]*(Data[Year]=EX$1)*(Data[Main SKU name_GOM]=$A7)*(Data[SKU name_NHẬP_GOM]=EX$3)),SUMPRODUCT(Data[Nhập-SPC+SPP-NX]*(Data[Year]=EX$1)*(Data[Month]=EX$2)*(Data[Main SKU name_GOM]=$A7)*(Data[SKU name_NHẬP_GOM]=EX$3)))</f>
        <v>0</v>
      </c>
      <c r="EY7" s="8" cm="1">
        <f t="array" ref="EY7">IF(EY$2="FY",SUMPRODUCT(Data[Nhập-SPC+SPP-NX]*(Data[Year]=EY$1)*(Data[Main SKU name_GOM]=$A7)*(Data[SKU name_NHẬP_GOM]=EY$3)),SUMPRODUCT(Data[Nhập-SPC+SPP-NX]*(Data[Year]=EY$1)*(Data[Month]=EY$2)*(Data[Main SKU name_GOM]=$A7)*(Data[SKU name_NHẬP_GOM]=EY$3)))</f>
        <v>0</v>
      </c>
      <c r="EZ7" s="8" cm="1">
        <f t="array" ref="EZ7">IF(EZ$2="FY",SUMPRODUCT(Data[Nhập-SPC+SPP-NX]*(Data[Year]=EZ$1)*(Data[Main SKU name_GOM]=$A7)*(Data[SKU name_NHẬP_GOM]=EZ$3)),SUMPRODUCT(Data[Nhập-SPC+SPP-NX]*(Data[Year]=EZ$1)*(Data[Month]=EZ$2)*(Data[Main SKU name_GOM]=$A7)*(Data[SKU name_NHẬP_GOM]=EZ$3)))</f>
        <v>0</v>
      </c>
      <c r="FA7" s="8" cm="1">
        <f t="array" ref="FA7">IF(FA$2="FY",SUMPRODUCT(Data[Nhập-SPC+SPP-NX]*(Data[Year]=FA$1)*(Data[Main SKU name_GOM]=$A7)*(Data[SKU name_NHẬP_GOM]=FA$3)),SUMPRODUCT(Data[Nhập-SPC+SPP-NX]*(Data[Year]=FA$1)*(Data[Month]=FA$2)*(Data[Main SKU name_GOM]=$A7)*(Data[SKU name_NHẬP_GOM]=FA$3)))</f>
        <v>0</v>
      </c>
      <c r="FB7" s="8">
        <f t="shared" ref="FB7:FB9" si="12">SUM(ER7:FA7)</f>
        <v>0</v>
      </c>
    </row>
    <row r="8" spans="1:158" x14ac:dyDescent="0.35">
      <c r="A8" s="5" t="s">
        <v>70</v>
      </c>
      <c r="B8" t="s">
        <v>70</v>
      </c>
      <c r="D8" s="8" cm="1">
        <f t="array" ref="D8">IF(D$2="FY",SUMPRODUCT(Data[Nhập-SPC+SPP-NX]*(Data[Year]=D$1)*(Data[Main SKU name_GOM]=$A8)*(Data[SKU name_NHẬP_GOM]=D$3)),SUMPRODUCT(Data[Nhập-SPC+SPP-NX]*(Data[Year]=D$1)*(Data[Month]=D$2)*(Data[Main SKU name_GOM]=$A8)*(Data[SKU name_NHẬP_GOM]=D$3)))</f>
        <v>0</v>
      </c>
      <c r="E8" s="8" cm="1">
        <f t="array" ref="E8">IF(E$2="FY",SUMPRODUCT(Data[Nhập-SPC+SPP-NX]*(Data[Year]=E$1)*(Data[Main SKU name_GOM]=$A8)*(Data[SKU name_NHẬP_GOM]=E$3)),SUMPRODUCT(Data[Nhập-SPC+SPP-NX]*(Data[Year]=E$1)*(Data[Month]=E$2)*(Data[Main SKU name_GOM]=$A8)*(Data[SKU name_NHẬP_GOM]=E$3)))</f>
        <v>144100</v>
      </c>
      <c r="F8" s="8" cm="1">
        <f t="array" ref="F8">IF(F$2="FY",SUMPRODUCT(Data[Nhập-SPC+SPP-NX]*(Data[Year]=F$1)*(Data[Main SKU name_GOM]=$A8)*(Data[SKU name_NHẬP_GOM]=F$3)),SUMPRODUCT(Data[Nhập-SPC+SPP-NX]*(Data[Year]=F$1)*(Data[Month]=F$2)*(Data[Main SKU name_GOM]=$A8)*(Data[SKU name_NHẬP_GOM]=F$3)))</f>
        <v>6842000</v>
      </c>
      <c r="G8" s="8" cm="1">
        <f t="array" ref="G8">IF(G$2="FY",SUMPRODUCT(Data[Nhập-SPC+SPP-NX]*(Data[Year]=G$1)*(Data[Main SKU name_GOM]=$A8)*(Data[SKU name_NHẬP_GOM]=G$3)),SUMPRODUCT(Data[Nhập-SPC+SPP-NX]*(Data[Year]=G$1)*(Data[Month]=G$2)*(Data[Main SKU name_GOM]=$A8)*(Data[SKU name_NHẬP_GOM]=G$3)))</f>
        <v>0</v>
      </c>
      <c r="H8" s="8" cm="1">
        <f t="array" ref="H8">IF(H$2="FY",SUMPRODUCT(Data[Nhập-SPC+SPP-NX]*(Data[Year]=H$1)*(Data[Main SKU name_GOM]=$A8)*(Data[SKU name_NHẬP_GOM]=H$3)),SUMPRODUCT(Data[Nhập-SPC+SPP-NX]*(Data[Year]=H$1)*(Data[Month]=H$2)*(Data[Main SKU name_GOM]=$A8)*(Data[SKU name_NHẬP_GOM]=H$3)))</f>
        <v>104500</v>
      </c>
      <c r="I8" s="8" cm="1">
        <f t="array" ref="I8">IF(I$2="FY",SUMPRODUCT(Data[Nhập-SPC+SPP-NX]*(Data[Year]=I$1)*(Data[Main SKU name_GOM]=$A8)*(Data[SKU name_NHẬP_GOM]=I$3)),SUMPRODUCT(Data[Nhập-SPC+SPP-NX]*(Data[Year]=I$1)*(Data[Month]=I$2)*(Data[Main SKU name_GOM]=$A8)*(Data[SKU name_NHẬP_GOM]=I$3)))</f>
        <v>0</v>
      </c>
      <c r="J8" s="8" cm="1">
        <f t="array" ref="J8">IF(J$2="FY",SUMPRODUCT(Data[Nhập-SPC+SPP-NX]*(Data[Year]=J$1)*(Data[Main SKU name_GOM]=$A8)*(Data[SKU name_NHẬP_GOM]=J$3)),SUMPRODUCT(Data[Nhập-SPC+SPP-NX]*(Data[Year]=J$1)*(Data[Month]=J$2)*(Data[Main SKU name_GOM]=$A8)*(Data[SKU name_NHẬP_GOM]=J$3)))</f>
        <v>6600</v>
      </c>
      <c r="K8" s="8" cm="1">
        <f t="array" ref="K8">IF(K$2="FY",SUMPRODUCT(Data[Nhập-SPC+SPP-NX]*(Data[Year]=K$1)*(Data[Main SKU name_GOM]=$A8)*(Data[SKU name_NHẬP_GOM]=K$3)),SUMPRODUCT(Data[Nhập-SPC+SPP-NX]*(Data[Year]=K$1)*(Data[Month]=K$2)*(Data[Main SKU name_GOM]=$A8)*(Data[SKU name_NHẬP_GOM]=K$3)))</f>
        <v>57200</v>
      </c>
      <c r="L8" s="8" cm="1">
        <f t="array" ref="L8">IF(L$2="FY",SUMPRODUCT(Data[Nhập-SPC+SPP-NX]*(Data[Year]=L$1)*(Data[Main SKU name_GOM]=$A8)*(Data[SKU name_NHẬP_GOM]=L$3)),SUMPRODUCT(Data[Nhập-SPC+SPP-NX]*(Data[Year]=L$1)*(Data[Month]=L$2)*(Data[Main SKU name_GOM]=$A8)*(Data[SKU name_NHẬP_GOM]=L$3)))</f>
        <v>18672.25</v>
      </c>
      <c r="M8" s="8" cm="1">
        <f t="array" ref="M8">IF(M$2="FY",SUMPRODUCT(Data[Nhập-SPC+SPP-NX]*(Data[Year]=M$1)*(Data[Main SKU name_GOM]=$A8)*(Data[SKU name_NHẬP_GOM]=M$3)),SUMPRODUCT(Data[Nhập-SPC+SPP-NX]*(Data[Year]=M$1)*(Data[Month]=M$2)*(Data[Main SKU name_GOM]=$A8)*(Data[SKU name_NHẬP_GOM]=M$3)))</f>
        <v>0</v>
      </c>
      <c r="N8" s="13">
        <f t="shared" si="0"/>
        <v>7173072.25</v>
      </c>
      <c r="P8" s="8" cm="1">
        <f t="array" ref="P8">IF(P$2="FY",SUMPRODUCT(Data[Nhập-SPC+SPP-NX]*(Data[Year]=P$1)*(Data[Main SKU name_GOM]=$A8)*(Data[SKU name_NHẬP_GOM]=P$3)),SUMPRODUCT(Data[Nhập-SPC+SPP-NX]*(Data[Year]=P$1)*(Data[Month]=P$2)*(Data[Main SKU name_GOM]=$A8)*(Data[SKU name_NHẬP_GOM]=P$3)))</f>
        <v>0</v>
      </c>
      <c r="Q8" s="8" cm="1">
        <f t="array" ref="Q8">IF(Q$2="FY",SUMPRODUCT(Data[Nhập-SPC+SPP-NX]*(Data[Year]=Q$1)*(Data[Main SKU name_GOM]=$A8)*(Data[SKU name_NHẬP_GOM]=Q$3)),SUMPRODUCT(Data[Nhập-SPC+SPP-NX]*(Data[Year]=Q$1)*(Data[Month]=Q$2)*(Data[Main SKU name_GOM]=$A8)*(Data[SKU name_NHẬP_GOM]=Q$3)))</f>
        <v>0</v>
      </c>
      <c r="R8" s="8" cm="1">
        <f t="array" ref="R8">IF(R$2="FY",SUMPRODUCT(Data[Nhập-SPC+SPP-NX]*(Data[Year]=R$1)*(Data[Main SKU name_GOM]=$A8)*(Data[SKU name_NHẬP_GOM]=R$3)),SUMPRODUCT(Data[Nhập-SPC+SPP-NX]*(Data[Year]=R$1)*(Data[Month]=R$2)*(Data[Main SKU name_GOM]=$A8)*(Data[SKU name_NHẬP_GOM]=R$3)))</f>
        <v>1846899.9999999995</v>
      </c>
      <c r="S8" s="8" cm="1">
        <f t="array" ref="S8">IF(S$2="FY",SUMPRODUCT(Data[Nhập-SPC+SPP-NX]*(Data[Year]=S$1)*(Data[Main SKU name_GOM]=$A8)*(Data[SKU name_NHẬP_GOM]=S$3)),SUMPRODUCT(Data[Nhập-SPC+SPP-NX]*(Data[Year]=S$1)*(Data[Month]=S$2)*(Data[Main SKU name_GOM]=$A8)*(Data[SKU name_NHẬP_GOM]=S$3)))</f>
        <v>0</v>
      </c>
      <c r="T8" s="8" cm="1">
        <f t="array" ref="T8">IF(T$2="FY",SUMPRODUCT(Data[Nhập-SPC+SPP-NX]*(Data[Year]=T$1)*(Data[Main SKU name_GOM]=$A8)*(Data[SKU name_NHẬP_GOM]=T$3)),SUMPRODUCT(Data[Nhập-SPC+SPP-NX]*(Data[Year]=T$1)*(Data[Month]=T$2)*(Data[Main SKU name_GOM]=$A8)*(Data[SKU name_NHẬP_GOM]=T$3)))</f>
        <v>15400.000000000004</v>
      </c>
      <c r="U8" s="8" cm="1">
        <f t="array" ref="U8">IF(U$2="FY",SUMPRODUCT(Data[Nhập-SPC+SPP-NX]*(Data[Year]=U$1)*(Data[Main SKU name_GOM]=$A8)*(Data[SKU name_NHẬP_GOM]=U$3)),SUMPRODUCT(Data[Nhập-SPC+SPP-NX]*(Data[Year]=U$1)*(Data[Month]=U$2)*(Data[Main SKU name_GOM]=$A8)*(Data[SKU name_NHẬP_GOM]=U$3)))</f>
        <v>0</v>
      </c>
      <c r="V8" s="8" cm="1">
        <f t="array" ref="V8">IF(V$2="FY",SUMPRODUCT(Data[Nhập-SPC+SPP-NX]*(Data[Year]=V$1)*(Data[Main SKU name_GOM]=$A8)*(Data[SKU name_NHẬP_GOM]=V$3)),SUMPRODUCT(Data[Nhập-SPC+SPP-NX]*(Data[Year]=V$1)*(Data[Month]=V$2)*(Data[Main SKU name_GOM]=$A8)*(Data[SKU name_NHẬP_GOM]=V$3)))</f>
        <v>2200</v>
      </c>
      <c r="W8" s="8" cm="1">
        <f t="array" ref="W8">IF(W$2="FY",SUMPRODUCT(Data[Nhập-SPC+SPP-NX]*(Data[Year]=W$1)*(Data[Main SKU name_GOM]=$A8)*(Data[SKU name_NHẬP_GOM]=W$3)),SUMPRODUCT(Data[Nhập-SPC+SPP-NX]*(Data[Year]=W$1)*(Data[Month]=W$2)*(Data[Main SKU name_GOM]=$A8)*(Data[SKU name_NHẬP_GOM]=W$3)))</f>
        <v>13200</v>
      </c>
      <c r="X8" s="8" cm="1">
        <f t="array" ref="X8">IF(X$2="FY",SUMPRODUCT(Data[Nhập-SPC+SPP-NX]*(Data[Year]=X$1)*(Data[Main SKU name_GOM]=$A8)*(Data[SKU name_NHẬP_GOM]=X$3)),SUMPRODUCT(Data[Nhập-SPC+SPP-NX]*(Data[Year]=X$1)*(Data[Month]=X$2)*(Data[Main SKU name_GOM]=$A8)*(Data[SKU name_NHẬP_GOM]=X$3)))</f>
        <v>7672.2500000000009</v>
      </c>
      <c r="Y8" s="8" cm="1">
        <f t="array" ref="Y8">IF(Y$2="FY",SUMPRODUCT(Data[Nhập-SPC+SPP-NX]*(Data[Year]=Y$1)*(Data[Main SKU name_GOM]=$A8)*(Data[SKU name_NHẬP_GOM]=Y$3)),SUMPRODUCT(Data[Nhập-SPC+SPP-NX]*(Data[Year]=Y$1)*(Data[Month]=Y$2)*(Data[Main SKU name_GOM]=$A8)*(Data[SKU name_NHẬP_GOM]=Y$3)))</f>
        <v>0</v>
      </c>
      <c r="Z8" s="8">
        <f t="shared" si="1"/>
        <v>1885372.2499999995</v>
      </c>
      <c r="AB8" s="8" cm="1">
        <f t="array" ref="AB8">IF(AB$2="FY",SUMPRODUCT(Data[Nhập-SPC+SPP-NX]*(Data[Year]=AB$1)*(Data[Main SKU name_GOM]=$A8)*(Data[SKU name_NHẬP_GOM]=AB$3)),SUMPRODUCT(Data[Nhập-SPC+SPP-NX]*(Data[Year]=AB$1)*(Data[Month]=AB$2)*(Data[Main SKU name_GOM]=$A8)*(Data[SKU name_NHẬP_GOM]=AB$3)))</f>
        <v>0</v>
      </c>
      <c r="AC8" s="8" cm="1">
        <f t="array" ref="AC8">IF(AC$2="FY",SUMPRODUCT(Data[Nhập-SPC+SPP-NX]*(Data[Year]=AC$1)*(Data[Main SKU name_GOM]=$A8)*(Data[SKU name_NHẬP_GOM]=AC$3)),SUMPRODUCT(Data[Nhập-SPC+SPP-NX]*(Data[Year]=AC$1)*(Data[Month]=AC$2)*(Data[Main SKU name_GOM]=$A8)*(Data[SKU name_NHẬP_GOM]=AC$3)))</f>
        <v>90200</v>
      </c>
      <c r="AD8" s="8" cm="1">
        <f t="array" ref="AD8">IF(AD$2="FY",SUMPRODUCT(Data[Nhập-SPC+SPP-NX]*(Data[Year]=AD$1)*(Data[Main SKU name_GOM]=$A8)*(Data[SKU name_NHẬP_GOM]=AD$3)),SUMPRODUCT(Data[Nhập-SPC+SPP-NX]*(Data[Year]=AD$1)*(Data[Month]=AD$2)*(Data[Main SKU name_GOM]=$A8)*(Data[SKU name_NHẬP_GOM]=AD$3)))</f>
        <v>717200.00000000012</v>
      </c>
      <c r="AE8" s="8" cm="1">
        <f t="array" ref="AE8">IF(AE$2="FY",SUMPRODUCT(Data[Nhập-SPC+SPP-NX]*(Data[Year]=AE$1)*(Data[Main SKU name_GOM]=$A8)*(Data[SKU name_NHẬP_GOM]=AE$3)),SUMPRODUCT(Data[Nhập-SPC+SPP-NX]*(Data[Year]=AE$1)*(Data[Month]=AE$2)*(Data[Main SKU name_GOM]=$A8)*(Data[SKU name_NHẬP_GOM]=AE$3)))</f>
        <v>0</v>
      </c>
      <c r="AF8" s="8" cm="1">
        <f t="array" ref="AF8">IF(AF$2="FY",SUMPRODUCT(Data[Nhập-SPC+SPP-NX]*(Data[Year]=AF$1)*(Data[Main SKU name_GOM]=$A8)*(Data[SKU name_NHẬP_GOM]=AF$3)),SUMPRODUCT(Data[Nhập-SPC+SPP-NX]*(Data[Year]=AF$1)*(Data[Month]=AF$2)*(Data[Main SKU name_GOM]=$A8)*(Data[SKU name_NHẬP_GOM]=AF$3)))</f>
        <v>11000</v>
      </c>
      <c r="AG8" s="8" cm="1">
        <f t="array" ref="AG8">IF(AG$2="FY",SUMPRODUCT(Data[Nhập-SPC+SPP-NX]*(Data[Year]=AG$1)*(Data[Main SKU name_GOM]=$A8)*(Data[SKU name_NHẬP_GOM]=AG$3)),SUMPRODUCT(Data[Nhập-SPC+SPP-NX]*(Data[Year]=AG$1)*(Data[Month]=AG$2)*(Data[Main SKU name_GOM]=$A8)*(Data[SKU name_NHẬP_GOM]=AG$3)))</f>
        <v>0</v>
      </c>
      <c r="AH8" s="8" cm="1">
        <f t="array" ref="AH8">IF(AH$2="FY",SUMPRODUCT(Data[Nhập-SPC+SPP-NX]*(Data[Year]=AH$1)*(Data[Main SKU name_GOM]=$A8)*(Data[SKU name_NHẬP_GOM]=AH$3)),SUMPRODUCT(Data[Nhập-SPC+SPP-NX]*(Data[Year]=AH$1)*(Data[Month]=AH$2)*(Data[Main SKU name_GOM]=$A8)*(Data[SKU name_NHẬP_GOM]=AH$3)))</f>
        <v>1100</v>
      </c>
      <c r="AI8" s="8" cm="1">
        <f t="array" ref="AI8">IF(AI$2="FY",SUMPRODUCT(Data[Nhập-SPC+SPP-NX]*(Data[Year]=AI$1)*(Data[Main SKU name_GOM]=$A8)*(Data[SKU name_NHẬP_GOM]=AI$3)),SUMPRODUCT(Data[Nhập-SPC+SPP-NX]*(Data[Year]=AI$1)*(Data[Month]=AI$2)*(Data[Main SKU name_GOM]=$A8)*(Data[SKU name_NHẬP_GOM]=AI$3)))</f>
        <v>31900</v>
      </c>
      <c r="AJ8" s="8" cm="1">
        <f t="array" ref="AJ8">IF(AJ$2="FY",SUMPRODUCT(Data[Nhập-SPC+SPP-NX]*(Data[Year]=AJ$1)*(Data[Main SKU name_GOM]=$A8)*(Data[SKU name_NHẬP_GOM]=AJ$3)),SUMPRODUCT(Data[Nhập-SPC+SPP-NX]*(Data[Year]=AJ$1)*(Data[Month]=AJ$2)*(Data[Main SKU name_GOM]=$A8)*(Data[SKU name_NHẬP_GOM]=AJ$3)))</f>
        <v>7699.9999999999991</v>
      </c>
      <c r="AK8" s="8" cm="1">
        <f t="array" ref="AK8">IF(AK$2="FY",SUMPRODUCT(Data[Nhập-SPC+SPP-NX]*(Data[Year]=AK$1)*(Data[Main SKU name_GOM]=$A8)*(Data[SKU name_NHẬP_GOM]=AK$3)),SUMPRODUCT(Data[Nhập-SPC+SPP-NX]*(Data[Year]=AK$1)*(Data[Month]=AK$2)*(Data[Main SKU name_GOM]=$A8)*(Data[SKU name_NHẬP_GOM]=AK$3)))</f>
        <v>0</v>
      </c>
      <c r="AL8" s="8">
        <f t="shared" si="2"/>
        <v>859100.00000000012</v>
      </c>
      <c r="AN8" s="8" cm="1">
        <f t="array" ref="AN8">IF(AN$2="FY",SUMPRODUCT(Data[Nhập-SPC+SPP-NX]*(Data[Year]=AN$1)*(Data[Main SKU name_GOM]=$A8)*(Data[SKU name_NHẬP_GOM]=AN$3)),SUMPRODUCT(Data[Nhập-SPC+SPP-NX]*(Data[Year]=AN$1)*(Data[Month]=AN$2)*(Data[Main SKU name_GOM]=$A8)*(Data[SKU name_NHẬP_GOM]=AN$3)))</f>
        <v>0</v>
      </c>
      <c r="AO8" s="8" cm="1">
        <f t="array" ref="AO8">IF(AO$2="FY",SUMPRODUCT(Data[Nhập-SPC+SPP-NX]*(Data[Year]=AO$1)*(Data[Main SKU name_GOM]=$A8)*(Data[SKU name_NHẬP_GOM]=AO$3)),SUMPRODUCT(Data[Nhập-SPC+SPP-NX]*(Data[Year]=AO$1)*(Data[Month]=AO$2)*(Data[Main SKU name_GOM]=$A8)*(Data[SKU name_NHẬP_GOM]=AO$3)))</f>
        <v>20900</v>
      </c>
      <c r="AP8" s="8" cm="1">
        <f t="array" ref="AP8">IF(AP$2="FY",SUMPRODUCT(Data[Nhập-SPC+SPP-NX]*(Data[Year]=AP$1)*(Data[Main SKU name_GOM]=$A8)*(Data[SKU name_NHẬP_GOM]=AP$3)),SUMPRODUCT(Data[Nhập-SPC+SPP-NX]*(Data[Year]=AP$1)*(Data[Month]=AP$2)*(Data[Main SKU name_GOM]=$A8)*(Data[SKU name_NHẬP_GOM]=AP$3)))</f>
        <v>2295700</v>
      </c>
      <c r="AQ8" s="8" cm="1">
        <f t="array" ref="AQ8">IF(AQ$2="FY",SUMPRODUCT(Data[Nhập-SPC+SPP-NX]*(Data[Year]=AQ$1)*(Data[Main SKU name_GOM]=$A8)*(Data[SKU name_NHẬP_GOM]=AQ$3)),SUMPRODUCT(Data[Nhập-SPC+SPP-NX]*(Data[Year]=AQ$1)*(Data[Month]=AQ$2)*(Data[Main SKU name_GOM]=$A8)*(Data[SKU name_NHẬP_GOM]=AQ$3)))</f>
        <v>0</v>
      </c>
      <c r="AR8" s="8" cm="1">
        <f t="array" ref="AR8">IF(AR$2="FY",SUMPRODUCT(Data[Nhập-SPC+SPP-NX]*(Data[Year]=AR$1)*(Data[Main SKU name_GOM]=$A8)*(Data[SKU name_NHẬP_GOM]=AR$3)),SUMPRODUCT(Data[Nhập-SPC+SPP-NX]*(Data[Year]=AR$1)*(Data[Month]=AR$2)*(Data[Main SKU name_GOM]=$A8)*(Data[SKU name_NHẬP_GOM]=AR$3)))</f>
        <v>38499.999999999993</v>
      </c>
      <c r="AS8" s="8" cm="1">
        <f t="array" ref="AS8">IF(AS$2="FY",SUMPRODUCT(Data[Nhập-SPC+SPP-NX]*(Data[Year]=AS$1)*(Data[Main SKU name_GOM]=$A8)*(Data[SKU name_NHẬP_GOM]=AS$3)),SUMPRODUCT(Data[Nhập-SPC+SPP-NX]*(Data[Year]=AS$1)*(Data[Month]=AS$2)*(Data[Main SKU name_GOM]=$A8)*(Data[SKU name_NHẬP_GOM]=AS$3)))</f>
        <v>0</v>
      </c>
      <c r="AT8" s="8" cm="1">
        <f t="array" ref="AT8">IF(AT$2="FY",SUMPRODUCT(Data[Nhập-SPC+SPP-NX]*(Data[Year]=AT$1)*(Data[Main SKU name_GOM]=$A8)*(Data[SKU name_NHẬP_GOM]=AT$3)),SUMPRODUCT(Data[Nhập-SPC+SPP-NX]*(Data[Year]=AT$1)*(Data[Month]=AT$2)*(Data[Main SKU name_GOM]=$A8)*(Data[SKU name_NHẬP_GOM]=AT$3)))</f>
        <v>3300</v>
      </c>
      <c r="AU8" s="8" cm="1">
        <f t="array" ref="AU8">IF(AU$2="FY",SUMPRODUCT(Data[Nhập-SPC+SPP-NX]*(Data[Year]=AU$1)*(Data[Main SKU name_GOM]=$A8)*(Data[SKU name_NHẬP_GOM]=AU$3)),SUMPRODUCT(Data[Nhập-SPC+SPP-NX]*(Data[Year]=AU$1)*(Data[Month]=AU$2)*(Data[Main SKU name_GOM]=$A8)*(Data[SKU name_NHẬP_GOM]=AU$3)))</f>
        <v>6600</v>
      </c>
      <c r="AV8" s="8" cm="1">
        <f t="array" ref="AV8">IF(AV$2="FY",SUMPRODUCT(Data[Nhập-SPC+SPP-NX]*(Data[Year]=AV$1)*(Data[Main SKU name_GOM]=$A8)*(Data[SKU name_NHẬP_GOM]=AV$3)),SUMPRODUCT(Data[Nhập-SPC+SPP-NX]*(Data[Year]=AV$1)*(Data[Month]=AV$2)*(Data[Main SKU name_GOM]=$A8)*(Data[SKU name_NHẬP_GOM]=AV$3)))</f>
        <v>3300</v>
      </c>
      <c r="AW8" s="8" cm="1">
        <f t="array" ref="AW8">IF(AW$2="FY",SUMPRODUCT(Data[Nhập-SPC+SPP-NX]*(Data[Year]=AW$1)*(Data[Main SKU name_GOM]=$A8)*(Data[SKU name_NHẬP_GOM]=AW$3)),SUMPRODUCT(Data[Nhập-SPC+SPP-NX]*(Data[Year]=AW$1)*(Data[Month]=AW$2)*(Data[Main SKU name_GOM]=$A8)*(Data[SKU name_NHẬP_GOM]=AW$3)))</f>
        <v>0</v>
      </c>
      <c r="AX8" s="8">
        <f t="shared" si="3"/>
        <v>2368300</v>
      </c>
      <c r="AZ8" s="8" cm="1">
        <f t="array" ref="AZ8">IF(AZ$2="FY",SUMPRODUCT(Data[Nhập-SPC+SPP-NX]*(Data[Year]=AZ$1)*(Data[Main SKU name_GOM]=$A8)*(Data[SKU name_NHẬP_GOM]=AZ$3)),SUMPRODUCT(Data[Nhập-SPC+SPP-NX]*(Data[Year]=AZ$1)*(Data[Month]=AZ$2)*(Data[Main SKU name_GOM]=$A8)*(Data[SKU name_NHẬP_GOM]=AZ$3)))</f>
        <v>0</v>
      </c>
      <c r="BA8" s="8" cm="1">
        <f t="array" ref="BA8">IF(BA$2="FY",SUMPRODUCT(Data[Nhập-SPC+SPP-NX]*(Data[Year]=BA$1)*(Data[Main SKU name_GOM]=$A8)*(Data[SKU name_NHẬP_GOM]=BA$3)),SUMPRODUCT(Data[Nhập-SPC+SPP-NX]*(Data[Year]=BA$1)*(Data[Month]=BA$2)*(Data[Main SKU name_GOM]=$A8)*(Data[SKU name_NHẬP_GOM]=BA$3)))</f>
        <v>32999.999999999993</v>
      </c>
      <c r="BB8" s="8" cm="1">
        <f t="array" ref="BB8">IF(BB$2="FY",SUMPRODUCT(Data[Nhập-SPC+SPP-NX]*(Data[Year]=BB$1)*(Data[Main SKU name_GOM]=$A8)*(Data[SKU name_NHẬP_GOM]=BB$3)),SUMPRODUCT(Data[Nhập-SPC+SPP-NX]*(Data[Year]=BB$1)*(Data[Month]=BB$2)*(Data[Main SKU name_GOM]=$A8)*(Data[SKU name_NHẬP_GOM]=BB$3)))</f>
        <v>1982200.0000000005</v>
      </c>
      <c r="BC8" s="8" cm="1">
        <f t="array" ref="BC8">IF(BC$2="FY",SUMPRODUCT(Data[Nhập-SPC+SPP-NX]*(Data[Year]=BC$1)*(Data[Main SKU name_GOM]=$A8)*(Data[SKU name_NHẬP_GOM]=BC$3)),SUMPRODUCT(Data[Nhập-SPC+SPP-NX]*(Data[Year]=BC$1)*(Data[Month]=BC$2)*(Data[Main SKU name_GOM]=$A8)*(Data[SKU name_NHẬP_GOM]=BC$3)))</f>
        <v>0</v>
      </c>
      <c r="BD8" s="8" cm="1">
        <f t="array" ref="BD8">IF(BD$2="FY",SUMPRODUCT(Data[Nhập-SPC+SPP-NX]*(Data[Year]=BD$1)*(Data[Main SKU name_GOM]=$A8)*(Data[SKU name_NHẬP_GOM]=BD$3)),SUMPRODUCT(Data[Nhập-SPC+SPP-NX]*(Data[Year]=BD$1)*(Data[Month]=BD$2)*(Data[Main SKU name_GOM]=$A8)*(Data[SKU name_NHẬP_GOM]=BD$3)))</f>
        <v>39600</v>
      </c>
      <c r="BE8" s="8" cm="1">
        <f t="array" ref="BE8">IF(BE$2="FY",SUMPRODUCT(Data[Nhập-SPC+SPP-NX]*(Data[Year]=BE$1)*(Data[Main SKU name_GOM]=$A8)*(Data[SKU name_NHẬP_GOM]=BE$3)),SUMPRODUCT(Data[Nhập-SPC+SPP-NX]*(Data[Year]=BE$1)*(Data[Month]=BE$2)*(Data[Main SKU name_GOM]=$A8)*(Data[SKU name_NHẬP_GOM]=BE$3)))</f>
        <v>0</v>
      </c>
      <c r="BF8" s="8" cm="1">
        <f t="array" ref="BF8">IF(BF$2="FY",SUMPRODUCT(Data[Nhập-SPC+SPP-NX]*(Data[Year]=BF$1)*(Data[Main SKU name_GOM]=$A8)*(Data[SKU name_NHẬP_GOM]=BF$3)),SUMPRODUCT(Data[Nhập-SPC+SPP-NX]*(Data[Year]=BF$1)*(Data[Month]=BF$2)*(Data[Main SKU name_GOM]=$A8)*(Data[SKU name_NHẬP_GOM]=BF$3)))</f>
        <v>0</v>
      </c>
      <c r="BG8" s="8" cm="1">
        <f t="array" ref="BG8">IF(BG$2="FY",SUMPRODUCT(Data[Nhập-SPC+SPP-NX]*(Data[Year]=BG$1)*(Data[Main SKU name_GOM]=$A8)*(Data[SKU name_NHẬP_GOM]=BG$3)),SUMPRODUCT(Data[Nhập-SPC+SPP-NX]*(Data[Year]=BG$1)*(Data[Month]=BG$2)*(Data[Main SKU name_GOM]=$A8)*(Data[SKU name_NHẬP_GOM]=BG$3)))</f>
        <v>5500.0000000000009</v>
      </c>
      <c r="BH8" s="8" cm="1">
        <f t="array" ref="BH8">IF(BH$2="FY",SUMPRODUCT(Data[Nhập-SPC+SPP-NX]*(Data[Year]=BH$1)*(Data[Main SKU name_GOM]=$A8)*(Data[SKU name_NHẬP_GOM]=BH$3)),SUMPRODUCT(Data[Nhập-SPC+SPP-NX]*(Data[Year]=BH$1)*(Data[Month]=BH$2)*(Data[Main SKU name_GOM]=$A8)*(Data[SKU name_NHẬP_GOM]=BH$3)))</f>
        <v>0</v>
      </c>
      <c r="BI8" s="8" cm="1">
        <f t="array" ref="BI8">IF(BI$2="FY",SUMPRODUCT(Data[Nhập-SPC+SPP-NX]*(Data[Year]=BI$1)*(Data[Main SKU name_GOM]=$A8)*(Data[SKU name_NHẬP_GOM]=BI$3)),SUMPRODUCT(Data[Nhập-SPC+SPP-NX]*(Data[Year]=BI$1)*(Data[Month]=BI$2)*(Data[Main SKU name_GOM]=$A8)*(Data[SKU name_NHẬP_GOM]=BI$3)))</f>
        <v>0</v>
      </c>
      <c r="BJ8" s="8">
        <f t="shared" si="4"/>
        <v>2060300.0000000005</v>
      </c>
      <c r="BL8" s="8" cm="1">
        <f t="array" ref="BL8">IF(BL$2="FY",SUMPRODUCT(Data[Nhập-SPC+SPP-NX]*(Data[Year]=BL$1)*(Data[Main SKU name_GOM]=$A8)*(Data[SKU name_NHẬP_GOM]=BL$3)),SUMPRODUCT(Data[Nhập-SPC+SPP-NX]*(Data[Year]=BL$1)*(Data[Month]=BL$2)*(Data[Main SKU name_GOM]=$A8)*(Data[SKU name_NHẬP_GOM]=BL$3)))</f>
        <v>0</v>
      </c>
      <c r="BM8" s="8" cm="1">
        <f t="array" ref="BM8">IF(BM$2="FY",SUMPRODUCT(Data[Nhập-SPC+SPP-NX]*(Data[Year]=BM$1)*(Data[Main SKU name_GOM]=$A8)*(Data[SKU name_NHẬP_GOM]=BM$3)),SUMPRODUCT(Data[Nhập-SPC+SPP-NX]*(Data[Year]=BM$1)*(Data[Month]=BM$2)*(Data[Main SKU name_GOM]=$A8)*(Data[SKU name_NHẬP_GOM]=BM$3)))</f>
        <v>0</v>
      </c>
      <c r="BN8" s="8" cm="1">
        <f t="array" ref="BN8">IF(BN$2="FY",SUMPRODUCT(Data[Nhập-SPC+SPP-NX]*(Data[Year]=BN$1)*(Data[Main SKU name_GOM]=$A8)*(Data[SKU name_NHẬP_GOM]=BN$3)),SUMPRODUCT(Data[Nhập-SPC+SPP-NX]*(Data[Year]=BN$1)*(Data[Month]=BN$2)*(Data[Main SKU name_GOM]=$A8)*(Data[SKU name_NHẬP_GOM]=BN$3)))</f>
        <v>0</v>
      </c>
      <c r="BO8" s="8" cm="1">
        <f t="array" ref="BO8">IF(BO$2="FY",SUMPRODUCT(Data[Nhập-SPC+SPP-NX]*(Data[Year]=BO$1)*(Data[Main SKU name_GOM]=$A8)*(Data[SKU name_NHẬP_GOM]=BO$3)),SUMPRODUCT(Data[Nhập-SPC+SPP-NX]*(Data[Year]=BO$1)*(Data[Month]=BO$2)*(Data[Main SKU name_GOM]=$A8)*(Data[SKU name_NHẬP_GOM]=BO$3)))</f>
        <v>0</v>
      </c>
      <c r="BP8" s="8" cm="1">
        <f t="array" ref="BP8">IF(BP$2="FY",SUMPRODUCT(Data[Nhập-SPC+SPP-NX]*(Data[Year]=BP$1)*(Data[Main SKU name_GOM]=$A8)*(Data[SKU name_NHẬP_GOM]=BP$3)),SUMPRODUCT(Data[Nhập-SPC+SPP-NX]*(Data[Year]=BP$1)*(Data[Month]=BP$2)*(Data[Main SKU name_GOM]=$A8)*(Data[SKU name_NHẬP_GOM]=BP$3)))</f>
        <v>0</v>
      </c>
      <c r="BQ8" s="8" cm="1">
        <f t="array" ref="BQ8">IF(BQ$2="FY",SUMPRODUCT(Data[Nhập-SPC+SPP-NX]*(Data[Year]=BQ$1)*(Data[Main SKU name_GOM]=$A8)*(Data[SKU name_NHẬP_GOM]=BQ$3)),SUMPRODUCT(Data[Nhập-SPC+SPP-NX]*(Data[Year]=BQ$1)*(Data[Month]=BQ$2)*(Data[Main SKU name_GOM]=$A8)*(Data[SKU name_NHẬP_GOM]=BQ$3)))</f>
        <v>0</v>
      </c>
      <c r="BR8" s="8" cm="1">
        <f t="array" ref="BR8">IF(BR$2="FY",SUMPRODUCT(Data[Nhập-SPC+SPP-NX]*(Data[Year]=BR$1)*(Data[Main SKU name_GOM]=$A8)*(Data[SKU name_NHẬP_GOM]=BR$3)),SUMPRODUCT(Data[Nhập-SPC+SPP-NX]*(Data[Year]=BR$1)*(Data[Month]=BR$2)*(Data[Main SKU name_GOM]=$A8)*(Data[SKU name_NHẬP_GOM]=BR$3)))</f>
        <v>0</v>
      </c>
      <c r="BS8" s="8" cm="1">
        <f t="array" ref="BS8">IF(BS$2="FY",SUMPRODUCT(Data[Nhập-SPC+SPP-NX]*(Data[Year]=BS$1)*(Data[Main SKU name_GOM]=$A8)*(Data[SKU name_NHẬP_GOM]=BS$3)),SUMPRODUCT(Data[Nhập-SPC+SPP-NX]*(Data[Year]=BS$1)*(Data[Month]=BS$2)*(Data[Main SKU name_GOM]=$A8)*(Data[SKU name_NHẬP_GOM]=BS$3)))</f>
        <v>0</v>
      </c>
      <c r="BT8" s="8" cm="1">
        <f t="array" ref="BT8">IF(BT$2="FY",SUMPRODUCT(Data[Nhập-SPC+SPP-NX]*(Data[Year]=BT$1)*(Data[Main SKU name_GOM]=$A8)*(Data[SKU name_NHẬP_GOM]=BT$3)),SUMPRODUCT(Data[Nhập-SPC+SPP-NX]*(Data[Year]=BT$1)*(Data[Month]=BT$2)*(Data[Main SKU name_GOM]=$A8)*(Data[SKU name_NHẬP_GOM]=BT$3)))</f>
        <v>0</v>
      </c>
      <c r="BU8" s="8" cm="1">
        <f t="array" ref="BU8">IF(BU$2="FY",SUMPRODUCT(Data[Nhập-SPC+SPP-NX]*(Data[Year]=BU$1)*(Data[Main SKU name_GOM]=$A8)*(Data[SKU name_NHẬP_GOM]=BU$3)),SUMPRODUCT(Data[Nhập-SPC+SPP-NX]*(Data[Year]=BU$1)*(Data[Month]=BU$2)*(Data[Main SKU name_GOM]=$A8)*(Data[SKU name_NHẬP_GOM]=BU$3)))</f>
        <v>0</v>
      </c>
      <c r="BV8" s="8">
        <f t="shared" si="5"/>
        <v>0</v>
      </c>
      <c r="BX8" s="8" cm="1">
        <f t="array" ref="BX8">IF(BX$2="FY",SUMPRODUCT(Data[Nhập-SPC+SPP-NX]*(Data[Year]=BX$1)*(Data[Main SKU name_GOM]=$A8)*(Data[SKU name_NHẬP_GOM]=BX$3)),SUMPRODUCT(Data[Nhập-SPC+SPP-NX]*(Data[Year]=BX$1)*(Data[Month]=BX$2)*(Data[Main SKU name_GOM]=$A8)*(Data[SKU name_NHẬP_GOM]=BX$3)))</f>
        <v>0</v>
      </c>
      <c r="BY8" s="8" cm="1">
        <f t="array" ref="BY8">IF(BY$2="FY",SUMPRODUCT(Data[Nhập-SPC+SPP-NX]*(Data[Year]=BY$1)*(Data[Main SKU name_GOM]=$A8)*(Data[SKU name_NHẬP_GOM]=BY$3)),SUMPRODUCT(Data[Nhập-SPC+SPP-NX]*(Data[Year]=BY$1)*(Data[Month]=BY$2)*(Data[Main SKU name_GOM]=$A8)*(Data[SKU name_NHẬP_GOM]=BY$3)))</f>
        <v>0</v>
      </c>
      <c r="BZ8" s="8" cm="1">
        <f t="array" ref="BZ8">IF(BZ$2="FY",SUMPRODUCT(Data[Nhập-SPC+SPP-NX]*(Data[Year]=BZ$1)*(Data[Main SKU name_GOM]=$A8)*(Data[SKU name_NHẬP_GOM]=BZ$3)),SUMPRODUCT(Data[Nhập-SPC+SPP-NX]*(Data[Year]=BZ$1)*(Data[Month]=BZ$2)*(Data[Main SKU name_GOM]=$A8)*(Data[SKU name_NHẬP_GOM]=BZ$3)))</f>
        <v>0</v>
      </c>
      <c r="CA8" s="8" cm="1">
        <f t="array" ref="CA8">IF(CA$2="FY",SUMPRODUCT(Data[Nhập-SPC+SPP-NX]*(Data[Year]=CA$1)*(Data[Main SKU name_GOM]=$A8)*(Data[SKU name_NHẬP_GOM]=CA$3)),SUMPRODUCT(Data[Nhập-SPC+SPP-NX]*(Data[Year]=CA$1)*(Data[Month]=CA$2)*(Data[Main SKU name_GOM]=$A8)*(Data[SKU name_NHẬP_GOM]=CA$3)))</f>
        <v>0</v>
      </c>
      <c r="CB8" s="8" cm="1">
        <f t="array" ref="CB8">IF(CB$2="FY",SUMPRODUCT(Data[Nhập-SPC+SPP-NX]*(Data[Year]=CB$1)*(Data[Main SKU name_GOM]=$A8)*(Data[SKU name_NHẬP_GOM]=CB$3)),SUMPRODUCT(Data[Nhập-SPC+SPP-NX]*(Data[Year]=CB$1)*(Data[Month]=CB$2)*(Data[Main SKU name_GOM]=$A8)*(Data[SKU name_NHẬP_GOM]=CB$3)))</f>
        <v>0</v>
      </c>
      <c r="CC8" s="8" cm="1">
        <f t="array" ref="CC8">IF(CC$2="FY",SUMPRODUCT(Data[Nhập-SPC+SPP-NX]*(Data[Year]=CC$1)*(Data[Main SKU name_GOM]=$A8)*(Data[SKU name_NHẬP_GOM]=CC$3)),SUMPRODUCT(Data[Nhập-SPC+SPP-NX]*(Data[Year]=CC$1)*(Data[Month]=CC$2)*(Data[Main SKU name_GOM]=$A8)*(Data[SKU name_NHẬP_GOM]=CC$3)))</f>
        <v>0</v>
      </c>
      <c r="CD8" s="8" cm="1">
        <f t="array" ref="CD8">IF(CD$2="FY",SUMPRODUCT(Data[Nhập-SPC+SPP-NX]*(Data[Year]=CD$1)*(Data[Main SKU name_GOM]=$A8)*(Data[SKU name_NHẬP_GOM]=CD$3)),SUMPRODUCT(Data[Nhập-SPC+SPP-NX]*(Data[Year]=CD$1)*(Data[Month]=CD$2)*(Data[Main SKU name_GOM]=$A8)*(Data[SKU name_NHẬP_GOM]=CD$3)))</f>
        <v>0</v>
      </c>
      <c r="CE8" s="8" cm="1">
        <f t="array" ref="CE8">IF(CE$2="FY",SUMPRODUCT(Data[Nhập-SPC+SPP-NX]*(Data[Year]=CE$1)*(Data[Main SKU name_GOM]=$A8)*(Data[SKU name_NHẬP_GOM]=CE$3)),SUMPRODUCT(Data[Nhập-SPC+SPP-NX]*(Data[Year]=CE$1)*(Data[Month]=CE$2)*(Data[Main SKU name_GOM]=$A8)*(Data[SKU name_NHẬP_GOM]=CE$3)))</f>
        <v>0</v>
      </c>
      <c r="CF8" s="8" cm="1">
        <f t="array" ref="CF8">IF(CF$2="FY",SUMPRODUCT(Data[Nhập-SPC+SPP-NX]*(Data[Year]=CF$1)*(Data[Main SKU name_GOM]=$A8)*(Data[SKU name_NHẬP_GOM]=CF$3)),SUMPRODUCT(Data[Nhập-SPC+SPP-NX]*(Data[Year]=CF$1)*(Data[Month]=CF$2)*(Data[Main SKU name_GOM]=$A8)*(Data[SKU name_NHẬP_GOM]=CF$3)))</f>
        <v>0</v>
      </c>
      <c r="CG8" s="8" cm="1">
        <f t="array" ref="CG8">IF(CG$2="FY",SUMPRODUCT(Data[Nhập-SPC+SPP-NX]*(Data[Year]=CG$1)*(Data[Main SKU name_GOM]=$A8)*(Data[SKU name_NHẬP_GOM]=CG$3)),SUMPRODUCT(Data[Nhập-SPC+SPP-NX]*(Data[Year]=CG$1)*(Data[Month]=CG$2)*(Data[Main SKU name_GOM]=$A8)*(Data[SKU name_NHẬP_GOM]=CG$3)))</f>
        <v>0</v>
      </c>
      <c r="CH8" s="8">
        <f t="shared" si="6"/>
        <v>0</v>
      </c>
      <c r="CJ8" s="8" cm="1">
        <f t="array" ref="CJ8">IF(CJ$2="FY",SUMPRODUCT(Data[Nhập-SPC+SPP-NX]*(Data[Year]=CJ$1)*(Data[Main SKU name_GOM]=$A8)*(Data[SKU name_NHẬP_GOM]=CJ$3)),SUMPRODUCT(Data[Nhập-SPC+SPP-NX]*(Data[Year]=CJ$1)*(Data[Month]=CJ$2)*(Data[Main SKU name_GOM]=$A8)*(Data[SKU name_NHẬP_GOM]=CJ$3)))</f>
        <v>0</v>
      </c>
      <c r="CK8" s="8" cm="1">
        <f t="array" ref="CK8">IF(CK$2="FY",SUMPRODUCT(Data[Nhập-SPC+SPP-NX]*(Data[Year]=CK$1)*(Data[Main SKU name_GOM]=$A8)*(Data[SKU name_NHẬP_GOM]=CK$3)),SUMPRODUCT(Data[Nhập-SPC+SPP-NX]*(Data[Year]=CK$1)*(Data[Month]=CK$2)*(Data[Main SKU name_GOM]=$A8)*(Data[SKU name_NHẬP_GOM]=CK$3)))</f>
        <v>0</v>
      </c>
      <c r="CL8" s="8" cm="1">
        <f t="array" ref="CL8">IF(CL$2="FY",SUMPRODUCT(Data[Nhập-SPC+SPP-NX]*(Data[Year]=CL$1)*(Data[Main SKU name_GOM]=$A8)*(Data[SKU name_NHẬP_GOM]=CL$3)),SUMPRODUCT(Data[Nhập-SPC+SPP-NX]*(Data[Year]=CL$1)*(Data[Month]=CL$2)*(Data[Main SKU name_GOM]=$A8)*(Data[SKU name_NHẬP_GOM]=CL$3)))</f>
        <v>0</v>
      </c>
      <c r="CM8" s="8" cm="1">
        <f t="array" ref="CM8">IF(CM$2="FY",SUMPRODUCT(Data[Nhập-SPC+SPP-NX]*(Data[Year]=CM$1)*(Data[Main SKU name_GOM]=$A8)*(Data[SKU name_NHẬP_GOM]=CM$3)),SUMPRODUCT(Data[Nhập-SPC+SPP-NX]*(Data[Year]=CM$1)*(Data[Month]=CM$2)*(Data[Main SKU name_GOM]=$A8)*(Data[SKU name_NHẬP_GOM]=CM$3)))</f>
        <v>0</v>
      </c>
      <c r="CN8" s="8" cm="1">
        <f t="array" ref="CN8">IF(CN$2="FY",SUMPRODUCT(Data[Nhập-SPC+SPP-NX]*(Data[Year]=CN$1)*(Data[Main SKU name_GOM]=$A8)*(Data[SKU name_NHẬP_GOM]=CN$3)),SUMPRODUCT(Data[Nhập-SPC+SPP-NX]*(Data[Year]=CN$1)*(Data[Month]=CN$2)*(Data[Main SKU name_GOM]=$A8)*(Data[SKU name_NHẬP_GOM]=CN$3)))</f>
        <v>0</v>
      </c>
      <c r="CO8" s="8" cm="1">
        <f t="array" ref="CO8">IF(CO$2="FY",SUMPRODUCT(Data[Nhập-SPC+SPP-NX]*(Data[Year]=CO$1)*(Data[Main SKU name_GOM]=$A8)*(Data[SKU name_NHẬP_GOM]=CO$3)),SUMPRODUCT(Data[Nhập-SPC+SPP-NX]*(Data[Year]=CO$1)*(Data[Month]=CO$2)*(Data[Main SKU name_GOM]=$A8)*(Data[SKU name_NHẬP_GOM]=CO$3)))</f>
        <v>0</v>
      </c>
      <c r="CP8" s="8" cm="1">
        <f t="array" ref="CP8">IF(CP$2="FY",SUMPRODUCT(Data[Nhập-SPC+SPP-NX]*(Data[Year]=CP$1)*(Data[Main SKU name_GOM]=$A8)*(Data[SKU name_NHẬP_GOM]=CP$3)),SUMPRODUCT(Data[Nhập-SPC+SPP-NX]*(Data[Year]=CP$1)*(Data[Month]=CP$2)*(Data[Main SKU name_GOM]=$A8)*(Data[SKU name_NHẬP_GOM]=CP$3)))</f>
        <v>0</v>
      </c>
      <c r="CQ8" s="8" cm="1">
        <f t="array" ref="CQ8">IF(CQ$2="FY",SUMPRODUCT(Data[Nhập-SPC+SPP-NX]*(Data[Year]=CQ$1)*(Data[Main SKU name_GOM]=$A8)*(Data[SKU name_NHẬP_GOM]=CQ$3)),SUMPRODUCT(Data[Nhập-SPC+SPP-NX]*(Data[Year]=CQ$1)*(Data[Month]=CQ$2)*(Data[Main SKU name_GOM]=$A8)*(Data[SKU name_NHẬP_GOM]=CQ$3)))</f>
        <v>0</v>
      </c>
      <c r="CR8" s="8" cm="1">
        <f t="array" ref="CR8">IF(CR$2="FY",SUMPRODUCT(Data[Nhập-SPC+SPP-NX]*(Data[Year]=CR$1)*(Data[Main SKU name_GOM]=$A8)*(Data[SKU name_NHẬP_GOM]=CR$3)),SUMPRODUCT(Data[Nhập-SPC+SPP-NX]*(Data[Year]=CR$1)*(Data[Month]=CR$2)*(Data[Main SKU name_GOM]=$A8)*(Data[SKU name_NHẬP_GOM]=CR$3)))</f>
        <v>0</v>
      </c>
      <c r="CS8" s="8" cm="1">
        <f t="array" ref="CS8">IF(CS$2="FY",SUMPRODUCT(Data[Nhập-SPC+SPP-NX]*(Data[Year]=CS$1)*(Data[Main SKU name_GOM]=$A8)*(Data[SKU name_NHẬP_GOM]=CS$3)),SUMPRODUCT(Data[Nhập-SPC+SPP-NX]*(Data[Year]=CS$1)*(Data[Month]=CS$2)*(Data[Main SKU name_GOM]=$A8)*(Data[SKU name_NHẬP_GOM]=CS$3)))</f>
        <v>0</v>
      </c>
      <c r="CT8" s="8">
        <f t="shared" si="7"/>
        <v>0</v>
      </c>
      <c r="CV8" s="8" cm="1">
        <f t="array" ref="CV8">IF(CV$2="FY",SUMPRODUCT(Data[Nhập-SPC+SPP-NX]*(Data[Year]=CV$1)*(Data[Main SKU name_GOM]=$A8)*(Data[SKU name_NHẬP_GOM]=CV$3)),SUMPRODUCT(Data[Nhập-SPC+SPP-NX]*(Data[Year]=CV$1)*(Data[Month]=CV$2)*(Data[Main SKU name_GOM]=$A8)*(Data[SKU name_NHẬP_GOM]=CV$3)))</f>
        <v>0</v>
      </c>
      <c r="CW8" s="8" cm="1">
        <f t="array" ref="CW8">IF(CW$2="FY",SUMPRODUCT(Data[Nhập-SPC+SPP-NX]*(Data[Year]=CW$1)*(Data[Main SKU name_GOM]=$A8)*(Data[SKU name_NHẬP_GOM]=CW$3)),SUMPRODUCT(Data[Nhập-SPC+SPP-NX]*(Data[Year]=CW$1)*(Data[Month]=CW$2)*(Data[Main SKU name_GOM]=$A8)*(Data[SKU name_NHẬP_GOM]=CW$3)))</f>
        <v>0</v>
      </c>
      <c r="CX8" s="8" cm="1">
        <f t="array" ref="CX8">IF(CX$2="FY",SUMPRODUCT(Data[Nhập-SPC+SPP-NX]*(Data[Year]=CX$1)*(Data[Main SKU name_GOM]=$A8)*(Data[SKU name_NHẬP_GOM]=CX$3)),SUMPRODUCT(Data[Nhập-SPC+SPP-NX]*(Data[Year]=CX$1)*(Data[Month]=CX$2)*(Data[Main SKU name_GOM]=$A8)*(Data[SKU name_NHẬP_GOM]=CX$3)))</f>
        <v>0</v>
      </c>
      <c r="CY8" s="8" cm="1">
        <f t="array" ref="CY8">IF(CY$2="FY",SUMPRODUCT(Data[Nhập-SPC+SPP-NX]*(Data[Year]=CY$1)*(Data[Main SKU name_GOM]=$A8)*(Data[SKU name_NHẬP_GOM]=CY$3)),SUMPRODUCT(Data[Nhập-SPC+SPP-NX]*(Data[Year]=CY$1)*(Data[Month]=CY$2)*(Data[Main SKU name_GOM]=$A8)*(Data[SKU name_NHẬP_GOM]=CY$3)))</f>
        <v>0</v>
      </c>
      <c r="CZ8" s="8" cm="1">
        <f t="array" ref="CZ8">IF(CZ$2="FY",SUMPRODUCT(Data[Nhập-SPC+SPP-NX]*(Data[Year]=CZ$1)*(Data[Main SKU name_GOM]=$A8)*(Data[SKU name_NHẬP_GOM]=CZ$3)),SUMPRODUCT(Data[Nhập-SPC+SPP-NX]*(Data[Year]=CZ$1)*(Data[Month]=CZ$2)*(Data[Main SKU name_GOM]=$A8)*(Data[SKU name_NHẬP_GOM]=CZ$3)))</f>
        <v>0</v>
      </c>
      <c r="DA8" s="8" cm="1">
        <f t="array" ref="DA8">IF(DA$2="FY",SUMPRODUCT(Data[Nhập-SPC+SPP-NX]*(Data[Year]=DA$1)*(Data[Main SKU name_GOM]=$A8)*(Data[SKU name_NHẬP_GOM]=DA$3)),SUMPRODUCT(Data[Nhập-SPC+SPP-NX]*(Data[Year]=DA$1)*(Data[Month]=DA$2)*(Data[Main SKU name_GOM]=$A8)*(Data[SKU name_NHẬP_GOM]=DA$3)))</f>
        <v>0</v>
      </c>
      <c r="DB8" s="8" cm="1">
        <f t="array" ref="DB8">IF(DB$2="FY",SUMPRODUCT(Data[Nhập-SPC+SPP-NX]*(Data[Year]=DB$1)*(Data[Main SKU name_GOM]=$A8)*(Data[SKU name_NHẬP_GOM]=DB$3)),SUMPRODUCT(Data[Nhập-SPC+SPP-NX]*(Data[Year]=DB$1)*(Data[Month]=DB$2)*(Data[Main SKU name_GOM]=$A8)*(Data[SKU name_NHẬP_GOM]=DB$3)))</f>
        <v>0</v>
      </c>
      <c r="DC8" s="8" cm="1">
        <f t="array" ref="DC8">IF(DC$2="FY",SUMPRODUCT(Data[Nhập-SPC+SPP-NX]*(Data[Year]=DC$1)*(Data[Main SKU name_GOM]=$A8)*(Data[SKU name_NHẬP_GOM]=DC$3)),SUMPRODUCT(Data[Nhập-SPC+SPP-NX]*(Data[Year]=DC$1)*(Data[Month]=DC$2)*(Data[Main SKU name_GOM]=$A8)*(Data[SKU name_NHẬP_GOM]=DC$3)))</f>
        <v>0</v>
      </c>
      <c r="DD8" s="8" cm="1">
        <f t="array" ref="DD8">IF(DD$2="FY",SUMPRODUCT(Data[Nhập-SPC+SPP-NX]*(Data[Year]=DD$1)*(Data[Main SKU name_GOM]=$A8)*(Data[SKU name_NHẬP_GOM]=DD$3)),SUMPRODUCT(Data[Nhập-SPC+SPP-NX]*(Data[Year]=DD$1)*(Data[Month]=DD$2)*(Data[Main SKU name_GOM]=$A8)*(Data[SKU name_NHẬP_GOM]=DD$3)))</f>
        <v>0</v>
      </c>
      <c r="DE8" s="8" cm="1">
        <f t="array" ref="DE8">IF(DE$2="FY",SUMPRODUCT(Data[Nhập-SPC+SPP-NX]*(Data[Year]=DE$1)*(Data[Main SKU name_GOM]=$A8)*(Data[SKU name_NHẬP_GOM]=DE$3)),SUMPRODUCT(Data[Nhập-SPC+SPP-NX]*(Data[Year]=DE$1)*(Data[Month]=DE$2)*(Data[Main SKU name_GOM]=$A8)*(Data[SKU name_NHẬP_GOM]=DE$3)))</f>
        <v>0</v>
      </c>
      <c r="DF8" s="8">
        <f t="shared" si="8"/>
        <v>0</v>
      </c>
      <c r="DH8" s="8" cm="1">
        <f t="array" ref="DH8">IF(DH$2="FY",SUMPRODUCT(Data[Nhập-SPC+SPP-NX]*(Data[Year]=DH$1)*(Data[Main SKU name_GOM]=$A8)*(Data[SKU name_NHẬP_GOM]=DH$3)),SUMPRODUCT(Data[Nhập-SPC+SPP-NX]*(Data[Year]=DH$1)*(Data[Month]=DH$2)*(Data[Main SKU name_GOM]=$A8)*(Data[SKU name_NHẬP_GOM]=DH$3)))</f>
        <v>0</v>
      </c>
      <c r="DI8" s="8" cm="1">
        <f t="array" ref="DI8">IF(DI$2="FY",SUMPRODUCT(Data[Nhập-SPC+SPP-NX]*(Data[Year]=DI$1)*(Data[Main SKU name_GOM]=$A8)*(Data[SKU name_NHẬP_GOM]=DI$3)),SUMPRODUCT(Data[Nhập-SPC+SPP-NX]*(Data[Year]=DI$1)*(Data[Month]=DI$2)*(Data[Main SKU name_GOM]=$A8)*(Data[SKU name_NHẬP_GOM]=DI$3)))</f>
        <v>0</v>
      </c>
      <c r="DJ8" s="8" cm="1">
        <f t="array" ref="DJ8">IF(DJ$2="FY",SUMPRODUCT(Data[Nhập-SPC+SPP-NX]*(Data[Year]=DJ$1)*(Data[Main SKU name_GOM]=$A8)*(Data[SKU name_NHẬP_GOM]=DJ$3)),SUMPRODUCT(Data[Nhập-SPC+SPP-NX]*(Data[Year]=DJ$1)*(Data[Month]=DJ$2)*(Data[Main SKU name_GOM]=$A8)*(Data[SKU name_NHẬP_GOM]=DJ$3)))</f>
        <v>0</v>
      </c>
      <c r="DK8" s="8" cm="1">
        <f t="array" ref="DK8">IF(DK$2="FY",SUMPRODUCT(Data[Nhập-SPC+SPP-NX]*(Data[Year]=DK$1)*(Data[Main SKU name_GOM]=$A8)*(Data[SKU name_NHẬP_GOM]=DK$3)),SUMPRODUCT(Data[Nhập-SPC+SPP-NX]*(Data[Year]=DK$1)*(Data[Month]=DK$2)*(Data[Main SKU name_GOM]=$A8)*(Data[SKU name_NHẬP_GOM]=DK$3)))</f>
        <v>0</v>
      </c>
      <c r="DL8" s="8" cm="1">
        <f t="array" ref="DL8">IF(DL$2="FY",SUMPRODUCT(Data[Nhập-SPC+SPP-NX]*(Data[Year]=DL$1)*(Data[Main SKU name_GOM]=$A8)*(Data[SKU name_NHẬP_GOM]=DL$3)),SUMPRODUCT(Data[Nhập-SPC+SPP-NX]*(Data[Year]=DL$1)*(Data[Month]=DL$2)*(Data[Main SKU name_GOM]=$A8)*(Data[SKU name_NHẬP_GOM]=DL$3)))</f>
        <v>0</v>
      </c>
      <c r="DM8" s="8" cm="1">
        <f t="array" ref="DM8">IF(DM$2="FY",SUMPRODUCT(Data[Nhập-SPC+SPP-NX]*(Data[Year]=DM$1)*(Data[Main SKU name_GOM]=$A8)*(Data[SKU name_NHẬP_GOM]=DM$3)),SUMPRODUCT(Data[Nhập-SPC+SPP-NX]*(Data[Year]=DM$1)*(Data[Month]=DM$2)*(Data[Main SKU name_GOM]=$A8)*(Data[SKU name_NHẬP_GOM]=DM$3)))</f>
        <v>0</v>
      </c>
      <c r="DN8" s="8" cm="1">
        <f t="array" ref="DN8">IF(DN$2="FY",SUMPRODUCT(Data[Nhập-SPC+SPP-NX]*(Data[Year]=DN$1)*(Data[Main SKU name_GOM]=$A8)*(Data[SKU name_NHẬP_GOM]=DN$3)),SUMPRODUCT(Data[Nhập-SPC+SPP-NX]*(Data[Year]=DN$1)*(Data[Month]=DN$2)*(Data[Main SKU name_GOM]=$A8)*(Data[SKU name_NHẬP_GOM]=DN$3)))</f>
        <v>0</v>
      </c>
      <c r="DO8" s="8" cm="1">
        <f t="array" ref="DO8">IF(DO$2="FY",SUMPRODUCT(Data[Nhập-SPC+SPP-NX]*(Data[Year]=DO$1)*(Data[Main SKU name_GOM]=$A8)*(Data[SKU name_NHẬP_GOM]=DO$3)),SUMPRODUCT(Data[Nhập-SPC+SPP-NX]*(Data[Year]=DO$1)*(Data[Month]=DO$2)*(Data[Main SKU name_GOM]=$A8)*(Data[SKU name_NHẬP_GOM]=DO$3)))</f>
        <v>0</v>
      </c>
      <c r="DP8" s="8" cm="1">
        <f t="array" ref="DP8">IF(DP$2="FY",SUMPRODUCT(Data[Nhập-SPC+SPP-NX]*(Data[Year]=DP$1)*(Data[Main SKU name_GOM]=$A8)*(Data[SKU name_NHẬP_GOM]=DP$3)),SUMPRODUCT(Data[Nhập-SPC+SPP-NX]*(Data[Year]=DP$1)*(Data[Month]=DP$2)*(Data[Main SKU name_GOM]=$A8)*(Data[SKU name_NHẬP_GOM]=DP$3)))</f>
        <v>0</v>
      </c>
      <c r="DQ8" s="8" cm="1">
        <f t="array" ref="DQ8">IF(DQ$2="FY",SUMPRODUCT(Data[Nhập-SPC+SPP-NX]*(Data[Year]=DQ$1)*(Data[Main SKU name_GOM]=$A8)*(Data[SKU name_NHẬP_GOM]=DQ$3)),SUMPRODUCT(Data[Nhập-SPC+SPP-NX]*(Data[Year]=DQ$1)*(Data[Month]=DQ$2)*(Data[Main SKU name_GOM]=$A8)*(Data[SKU name_NHẬP_GOM]=DQ$3)))</f>
        <v>0</v>
      </c>
      <c r="DR8" s="8">
        <f t="shared" si="9"/>
        <v>0</v>
      </c>
      <c r="DT8" s="8" cm="1">
        <f t="array" ref="DT8">IF(DT$2="FY",SUMPRODUCT(Data[Nhập-SPC+SPP-NX]*(Data[Year]=DT$1)*(Data[Main SKU name_GOM]=$A8)*(Data[SKU name_NHẬP_GOM]=DT$3)),SUMPRODUCT(Data[Nhập-SPC+SPP-NX]*(Data[Year]=DT$1)*(Data[Month]=DT$2)*(Data[Main SKU name_GOM]=$A8)*(Data[SKU name_NHẬP_GOM]=DT$3)))</f>
        <v>0</v>
      </c>
      <c r="DU8" s="8" cm="1">
        <f t="array" ref="DU8">IF(DU$2="FY",SUMPRODUCT(Data[Nhập-SPC+SPP-NX]*(Data[Year]=DU$1)*(Data[Main SKU name_GOM]=$A8)*(Data[SKU name_NHẬP_GOM]=DU$3)),SUMPRODUCT(Data[Nhập-SPC+SPP-NX]*(Data[Year]=DU$1)*(Data[Month]=DU$2)*(Data[Main SKU name_GOM]=$A8)*(Data[SKU name_NHẬP_GOM]=DU$3)))</f>
        <v>0</v>
      </c>
      <c r="DV8" s="8" cm="1">
        <f t="array" ref="DV8">IF(DV$2="FY",SUMPRODUCT(Data[Nhập-SPC+SPP-NX]*(Data[Year]=DV$1)*(Data[Main SKU name_GOM]=$A8)*(Data[SKU name_NHẬP_GOM]=DV$3)),SUMPRODUCT(Data[Nhập-SPC+SPP-NX]*(Data[Year]=DV$1)*(Data[Month]=DV$2)*(Data[Main SKU name_GOM]=$A8)*(Data[SKU name_NHẬP_GOM]=DV$3)))</f>
        <v>0</v>
      </c>
      <c r="DW8" s="8" cm="1">
        <f t="array" ref="DW8">IF(DW$2="FY",SUMPRODUCT(Data[Nhập-SPC+SPP-NX]*(Data[Year]=DW$1)*(Data[Main SKU name_GOM]=$A8)*(Data[SKU name_NHẬP_GOM]=DW$3)),SUMPRODUCT(Data[Nhập-SPC+SPP-NX]*(Data[Year]=DW$1)*(Data[Month]=DW$2)*(Data[Main SKU name_GOM]=$A8)*(Data[SKU name_NHẬP_GOM]=DW$3)))</f>
        <v>0</v>
      </c>
      <c r="DX8" s="8" cm="1">
        <f t="array" ref="DX8">IF(DX$2="FY",SUMPRODUCT(Data[Nhập-SPC+SPP-NX]*(Data[Year]=DX$1)*(Data[Main SKU name_GOM]=$A8)*(Data[SKU name_NHẬP_GOM]=DX$3)),SUMPRODUCT(Data[Nhập-SPC+SPP-NX]*(Data[Year]=DX$1)*(Data[Month]=DX$2)*(Data[Main SKU name_GOM]=$A8)*(Data[SKU name_NHẬP_GOM]=DX$3)))</f>
        <v>0</v>
      </c>
      <c r="DY8" s="8" cm="1">
        <f t="array" ref="DY8">IF(DY$2="FY",SUMPRODUCT(Data[Nhập-SPC+SPP-NX]*(Data[Year]=DY$1)*(Data[Main SKU name_GOM]=$A8)*(Data[SKU name_NHẬP_GOM]=DY$3)),SUMPRODUCT(Data[Nhập-SPC+SPP-NX]*(Data[Year]=DY$1)*(Data[Month]=DY$2)*(Data[Main SKU name_GOM]=$A8)*(Data[SKU name_NHẬP_GOM]=DY$3)))</f>
        <v>0</v>
      </c>
      <c r="DZ8" s="8" cm="1">
        <f t="array" ref="DZ8">IF(DZ$2="FY",SUMPRODUCT(Data[Nhập-SPC+SPP-NX]*(Data[Year]=DZ$1)*(Data[Main SKU name_GOM]=$A8)*(Data[SKU name_NHẬP_GOM]=DZ$3)),SUMPRODUCT(Data[Nhập-SPC+SPP-NX]*(Data[Year]=DZ$1)*(Data[Month]=DZ$2)*(Data[Main SKU name_GOM]=$A8)*(Data[SKU name_NHẬP_GOM]=DZ$3)))</f>
        <v>0</v>
      </c>
      <c r="EA8" s="8" cm="1">
        <f t="array" ref="EA8">IF(EA$2="FY",SUMPRODUCT(Data[Nhập-SPC+SPP-NX]*(Data[Year]=EA$1)*(Data[Main SKU name_GOM]=$A8)*(Data[SKU name_NHẬP_GOM]=EA$3)),SUMPRODUCT(Data[Nhập-SPC+SPP-NX]*(Data[Year]=EA$1)*(Data[Month]=EA$2)*(Data[Main SKU name_GOM]=$A8)*(Data[SKU name_NHẬP_GOM]=EA$3)))</f>
        <v>0</v>
      </c>
      <c r="EB8" s="8" cm="1">
        <f t="array" ref="EB8">IF(EB$2="FY",SUMPRODUCT(Data[Nhập-SPC+SPP-NX]*(Data[Year]=EB$1)*(Data[Main SKU name_GOM]=$A8)*(Data[SKU name_NHẬP_GOM]=EB$3)),SUMPRODUCT(Data[Nhập-SPC+SPP-NX]*(Data[Year]=EB$1)*(Data[Month]=EB$2)*(Data[Main SKU name_GOM]=$A8)*(Data[SKU name_NHẬP_GOM]=EB$3)))</f>
        <v>0</v>
      </c>
      <c r="EC8" s="8" cm="1">
        <f t="array" ref="EC8">IF(EC$2="FY",SUMPRODUCT(Data[Nhập-SPC+SPP-NX]*(Data[Year]=EC$1)*(Data[Main SKU name_GOM]=$A8)*(Data[SKU name_NHẬP_GOM]=EC$3)),SUMPRODUCT(Data[Nhập-SPC+SPP-NX]*(Data[Year]=EC$1)*(Data[Month]=EC$2)*(Data[Main SKU name_GOM]=$A8)*(Data[SKU name_NHẬP_GOM]=EC$3)))</f>
        <v>0</v>
      </c>
      <c r="ED8" s="8">
        <f t="shared" si="10"/>
        <v>0</v>
      </c>
      <c r="EF8" s="8" cm="1">
        <f t="array" ref="EF8">IF(EF$2="FY",SUMPRODUCT(Data[Nhập-SPC+SPP-NX]*(Data[Year]=EF$1)*(Data[Main SKU name_GOM]=$A8)*(Data[SKU name_NHẬP_GOM]=EF$3)),SUMPRODUCT(Data[Nhập-SPC+SPP-NX]*(Data[Year]=EF$1)*(Data[Month]=EF$2)*(Data[Main SKU name_GOM]=$A8)*(Data[SKU name_NHẬP_GOM]=EF$3)))</f>
        <v>0</v>
      </c>
      <c r="EG8" s="8" cm="1">
        <f t="array" ref="EG8">IF(EG$2="FY",SUMPRODUCT(Data[Nhập-SPC+SPP-NX]*(Data[Year]=EG$1)*(Data[Main SKU name_GOM]=$A8)*(Data[SKU name_NHẬP_GOM]=EG$3)),SUMPRODUCT(Data[Nhập-SPC+SPP-NX]*(Data[Year]=EG$1)*(Data[Month]=EG$2)*(Data[Main SKU name_GOM]=$A8)*(Data[SKU name_NHẬP_GOM]=EG$3)))</f>
        <v>0</v>
      </c>
      <c r="EH8" s="8" cm="1">
        <f t="array" ref="EH8">IF(EH$2="FY",SUMPRODUCT(Data[Nhập-SPC+SPP-NX]*(Data[Year]=EH$1)*(Data[Main SKU name_GOM]=$A8)*(Data[SKU name_NHẬP_GOM]=EH$3)),SUMPRODUCT(Data[Nhập-SPC+SPP-NX]*(Data[Year]=EH$1)*(Data[Month]=EH$2)*(Data[Main SKU name_GOM]=$A8)*(Data[SKU name_NHẬP_GOM]=EH$3)))</f>
        <v>0</v>
      </c>
      <c r="EI8" s="8" cm="1">
        <f t="array" ref="EI8">IF(EI$2="FY",SUMPRODUCT(Data[Nhập-SPC+SPP-NX]*(Data[Year]=EI$1)*(Data[Main SKU name_GOM]=$A8)*(Data[SKU name_NHẬP_GOM]=EI$3)),SUMPRODUCT(Data[Nhập-SPC+SPP-NX]*(Data[Year]=EI$1)*(Data[Month]=EI$2)*(Data[Main SKU name_GOM]=$A8)*(Data[SKU name_NHẬP_GOM]=EI$3)))</f>
        <v>0</v>
      </c>
      <c r="EJ8" s="8" cm="1">
        <f t="array" ref="EJ8">IF(EJ$2="FY",SUMPRODUCT(Data[Nhập-SPC+SPP-NX]*(Data[Year]=EJ$1)*(Data[Main SKU name_GOM]=$A8)*(Data[SKU name_NHẬP_GOM]=EJ$3)),SUMPRODUCT(Data[Nhập-SPC+SPP-NX]*(Data[Year]=EJ$1)*(Data[Month]=EJ$2)*(Data[Main SKU name_GOM]=$A8)*(Data[SKU name_NHẬP_GOM]=EJ$3)))</f>
        <v>0</v>
      </c>
      <c r="EK8" s="8" cm="1">
        <f t="array" ref="EK8">IF(EK$2="FY",SUMPRODUCT(Data[Nhập-SPC+SPP-NX]*(Data[Year]=EK$1)*(Data[Main SKU name_GOM]=$A8)*(Data[SKU name_NHẬP_GOM]=EK$3)),SUMPRODUCT(Data[Nhập-SPC+SPP-NX]*(Data[Year]=EK$1)*(Data[Month]=EK$2)*(Data[Main SKU name_GOM]=$A8)*(Data[SKU name_NHẬP_GOM]=EK$3)))</f>
        <v>0</v>
      </c>
      <c r="EL8" s="8" cm="1">
        <f t="array" ref="EL8">IF(EL$2="FY",SUMPRODUCT(Data[Nhập-SPC+SPP-NX]*(Data[Year]=EL$1)*(Data[Main SKU name_GOM]=$A8)*(Data[SKU name_NHẬP_GOM]=EL$3)),SUMPRODUCT(Data[Nhập-SPC+SPP-NX]*(Data[Year]=EL$1)*(Data[Month]=EL$2)*(Data[Main SKU name_GOM]=$A8)*(Data[SKU name_NHẬP_GOM]=EL$3)))</f>
        <v>0</v>
      </c>
      <c r="EM8" s="8" cm="1">
        <f t="array" ref="EM8">IF(EM$2="FY",SUMPRODUCT(Data[Nhập-SPC+SPP-NX]*(Data[Year]=EM$1)*(Data[Main SKU name_GOM]=$A8)*(Data[SKU name_NHẬP_GOM]=EM$3)),SUMPRODUCT(Data[Nhập-SPC+SPP-NX]*(Data[Year]=EM$1)*(Data[Month]=EM$2)*(Data[Main SKU name_GOM]=$A8)*(Data[SKU name_NHẬP_GOM]=EM$3)))</f>
        <v>0</v>
      </c>
      <c r="EN8" s="8" cm="1">
        <f t="array" ref="EN8">IF(EN$2="FY",SUMPRODUCT(Data[Nhập-SPC+SPP-NX]*(Data[Year]=EN$1)*(Data[Main SKU name_GOM]=$A8)*(Data[SKU name_NHẬP_GOM]=EN$3)),SUMPRODUCT(Data[Nhập-SPC+SPP-NX]*(Data[Year]=EN$1)*(Data[Month]=EN$2)*(Data[Main SKU name_GOM]=$A8)*(Data[SKU name_NHẬP_GOM]=EN$3)))</f>
        <v>0</v>
      </c>
      <c r="EO8" s="8" cm="1">
        <f t="array" ref="EO8">IF(EO$2="FY",SUMPRODUCT(Data[Nhập-SPC+SPP-NX]*(Data[Year]=EO$1)*(Data[Main SKU name_GOM]=$A8)*(Data[SKU name_NHẬP_GOM]=EO$3)),SUMPRODUCT(Data[Nhập-SPC+SPP-NX]*(Data[Year]=EO$1)*(Data[Month]=EO$2)*(Data[Main SKU name_GOM]=$A8)*(Data[SKU name_NHẬP_GOM]=EO$3)))</f>
        <v>0</v>
      </c>
      <c r="EP8" s="8">
        <f t="shared" si="11"/>
        <v>0</v>
      </c>
      <c r="ER8" s="8" cm="1">
        <f t="array" ref="ER8">IF(ER$2="FY",SUMPRODUCT(Data[Nhập-SPC+SPP-NX]*(Data[Year]=ER$1)*(Data[Main SKU name_GOM]=$A8)*(Data[SKU name_NHẬP_GOM]=ER$3)),SUMPRODUCT(Data[Nhập-SPC+SPP-NX]*(Data[Year]=ER$1)*(Data[Month]=ER$2)*(Data[Main SKU name_GOM]=$A8)*(Data[SKU name_NHẬP_GOM]=ER$3)))</f>
        <v>0</v>
      </c>
      <c r="ES8" s="8" cm="1">
        <f t="array" ref="ES8">IF(ES$2="FY",SUMPRODUCT(Data[Nhập-SPC+SPP-NX]*(Data[Year]=ES$1)*(Data[Main SKU name_GOM]=$A8)*(Data[SKU name_NHẬP_GOM]=ES$3)),SUMPRODUCT(Data[Nhập-SPC+SPP-NX]*(Data[Year]=ES$1)*(Data[Month]=ES$2)*(Data[Main SKU name_GOM]=$A8)*(Data[SKU name_NHẬP_GOM]=ES$3)))</f>
        <v>0</v>
      </c>
      <c r="ET8" s="8" cm="1">
        <f t="array" ref="ET8">IF(ET$2="FY",SUMPRODUCT(Data[Nhập-SPC+SPP-NX]*(Data[Year]=ET$1)*(Data[Main SKU name_GOM]=$A8)*(Data[SKU name_NHẬP_GOM]=ET$3)),SUMPRODUCT(Data[Nhập-SPC+SPP-NX]*(Data[Year]=ET$1)*(Data[Month]=ET$2)*(Data[Main SKU name_GOM]=$A8)*(Data[SKU name_NHẬP_GOM]=ET$3)))</f>
        <v>0</v>
      </c>
      <c r="EU8" s="8" cm="1">
        <f t="array" ref="EU8">IF(EU$2="FY",SUMPRODUCT(Data[Nhập-SPC+SPP-NX]*(Data[Year]=EU$1)*(Data[Main SKU name_GOM]=$A8)*(Data[SKU name_NHẬP_GOM]=EU$3)),SUMPRODUCT(Data[Nhập-SPC+SPP-NX]*(Data[Year]=EU$1)*(Data[Month]=EU$2)*(Data[Main SKU name_GOM]=$A8)*(Data[SKU name_NHẬP_GOM]=EU$3)))</f>
        <v>0</v>
      </c>
      <c r="EV8" s="8" cm="1">
        <f t="array" ref="EV8">IF(EV$2="FY",SUMPRODUCT(Data[Nhập-SPC+SPP-NX]*(Data[Year]=EV$1)*(Data[Main SKU name_GOM]=$A8)*(Data[SKU name_NHẬP_GOM]=EV$3)),SUMPRODUCT(Data[Nhập-SPC+SPP-NX]*(Data[Year]=EV$1)*(Data[Month]=EV$2)*(Data[Main SKU name_GOM]=$A8)*(Data[SKU name_NHẬP_GOM]=EV$3)))</f>
        <v>0</v>
      </c>
      <c r="EW8" s="8" cm="1">
        <f t="array" ref="EW8">IF(EW$2="FY",SUMPRODUCT(Data[Nhập-SPC+SPP-NX]*(Data[Year]=EW$1)*(Data[Main SKU name_GOM]=$A8)*(Data[SKU name_NHẬP_GOM]=EW$3)),SUMPRODUCT(Data[Nhập-SPC+SPP-NX]*(Data[Year]=EW$1)*(Data[Month]=EW$2)*(Data[Main SKU name_GOM]=$A8)*(Data[SKU name_NHẬP_GOM]=EW$3)))</f>
        <v>0</v>
      </c>
      <c r="EX8" s="8" cm="1">
        <f t="array" ref="EX8">IF(EX$2="FY",SUMPRODUCT(Data[Nhập-SPC+SPP-NX]*(Data[Year]=EX$1)*(Data[Main SKU name_GOM]=$A8)*(Data[SKU name_NHẬP_GOM]=EX$3)),SUMPRODUCT(Data[Nhập-SPC+SPP-NX]*(Data[Year]=EX$1)*(Data[Month]=EX$2)*(Data[Main SKU name_GOM]=$A8)*(Data[SKU name_NHẬP_GOM]=EX$3)))</f>
        <v>0</v>
      </c>
      <c r="EY8" s="8" cm="1">
        <f t="array" ref="EY8">IF(EY$2="FY",SUMPRODUCT(Data[Nhập-SPC+SPP-NX]*(Data[Year]=EY$1)*(Data[Main SKU name_GOM]=$A8)*(Data[SKU name_NHẬP_GOM]=EY$3)),SUMPRODUCT(Data[Nhập-SPC+SPP-NX]*(Data[Year]=EY$1)*(Data[Month]=EY$2)*(Data[Main SKU name_GOM]=$A8)*(Data[SKU name_NHẬP_GOM]=EY$3)))</f>
        <v>0</v>
      </c>
      <c r="EZ8" s="8" cm="1">
        <f t="array" ref="EZ8">IF(EZ$2="FY",SUMPRODUCT(Data[Nhập-SPC+SPP-NX]*(Data[Year]=EZ$1)*(Data[Main SKU name_GOM]=$A8)*(Data[SKU name_NHẬP_GOM]=EZ$3)),SUMPRODUCT(Data[Nhập-SPC+SPP-NX]*(Data[Year]=EZ$1)*(Data[Month]=EZ$2)*(Data[Main SKU name_GOM]=$A8)*(Data[SKU name_NHẬP_GOM]=EZ$3)))</f>
        <v>0</v>
      </c>
      <c r="FA8" s="8" cm="1">
        <f t="array" ref="FA8">IF(FA$2="FY",SUMPRODUCT(Data[Nhập-SPC+SPP-NX]*(Data[Year]=FA$1)*(Data[Main SKU name_GOM]=$A8)*(Data[SKU name_NHẬP_GOM]=FA$3)),SUMPRODUCT(Data[Nhập-SPC+SPP-NX]*(Data[Year]=FA$1)*(Data[Month]=FA$2)*(Data[Main SKU name_GOM]=$A8)*(Data[SKU name_NHẬP_GOM]=FA$3)))</f>
        <v>0</v>
      </c>
      <c r="FB8" s="8">
        <f t="shared" si="12"/>
        <v>0</v>
      </c>
    </row>
    <row r="9" spans="1:158" ht="15" thickBot="1" x14ac:dyDescent="0.4">
      <c r="A9" s="5" t="s">
        <v>71</v>
      </c>
      <c r="B9" t="s">
        <v>71</v>
      </c>
      <c r="D9" s="8" cm="1">
        <f t="array" ref="D9">IF(D$2="FY",SUMPRODUCT(Data[Nhập-SPC+SPP-NX]*(Data[Year]=D$1)*(Data[Main SKU name_GOM]=$A9)*(Data[SKU name_NHẬP_GOM]=D$3)),SUMPRODUCT(Data[Nhập-SPC+SPP-NX]*(Data[Year]=D$1)*(Data[Month]=D$2)*(Data[Main SKU name_GOM]=$A9)*(Data[SKU name_NHẬP_GOM]=D$3)))</f>
        <v>0</v>
      </c>
      <c r="E9" s="8" cm="1">
        <f t="array" ref="E9">IF(E$2="FY",SUMPRODUCT(Data[Nhập-SPC+SPP-NX]*(Data[Year]=E$1)*(Data[Main SKU name_GOM]=$A9)*(Data[SKU name_NHẬP_GOM]=E$3)),SUMPRODUCT(Data[Nhập-SPC+SPP-NX]*(Data[Year]=E$1)*(Data[Month]=E$2)*(Data[Main SKU name_GOM]=$A9)*(Data[SKU name_NHẬP_GOM]=E$3)))</f>
        <v>0</v>
      </c>
      <c r="F9" s="8" cm="1">
        <f t="array" ref="F9">IF(F$2="FY",SUMPRODUCT(Data[Nhập-SPC+SPP-NX]*(Data[Year]=F$1)*(Data[Main SKU name_GOM]=$A9)*(Data[SKU name_NHẬP_GOM]=F$3)),SUMPRODUCT(Data[Nhập-SPC+SPP-NX]*(Data[Year]=F$1)*(Data[Month]=F$2)*(Data[Main SKU name_GOM]=$A9)*(Data[SKU name_NHẬP_GOM]=F$3)))</f>
        <v>0</v>
      </c>
      <c r="G9" s="8" cm="1">
        <f t="array" ref="G9">IF(G$2="FY",SUMPRODUCT(Data[Nhập-SPC+SPP-NX]*(Data[Year]=G$1)*(Data[Main SKU name_GOM]=$A9)*(Data[SKU name_NHẬP_GOM]=G$3)),SUMPRODUCT(Data[Nhập-SPC+SPP-NX]*(Data[Year]=G$1)*(Data[Month]=G$2)*(Data[Main SKU name_GOM]=$A9)*(Data[SKU name_NHẬP_GOM]=G$3)))</f>
        <v>0</v>
      </c>
      <c r="H9" s="8" cm="1">
        <f t="array" ref="H9">IF(H$2="FY",SUMPRODUCT(Data[Nhập-SPC+SPP-NX]*(Data[Year]=H$1)*(Data[Main SKU name_GOM]=$A9)*(Data[SKU name_NHẬP_GOM]=H$3)),SUMPRODUCT(Data[Nhập-SPC+SPP-NX]*(Data[Year]=H$1)*(Data[Month]=H$2)*(Data[Main SKU name_GOM]=$A9)*(Data[SKU name_NHẬP_GOM]=H$3)))</f>
        <v>1655500</v>
      </c>
      <c r="I9" s="8" cm="1">
        <f t="array" ref="I9">IF(I$2="FY",SUMPRODUCT(Data[Nhập-SPC+SPP-NX]*(Data[Year]=I$1)*(Data[Main SKU name_GOM]=$A9)*(Data[SKU name_NHẬP_GOM]=I$3)),SUMPRODUCT(Data[Nhập-SPC+SPP-NX]*(Data[Year]=I$1)*(Data[Month]=I$2)*(Data[Main SKU name_GOM]=$A9)*(Data[SKU name_NHẬP_GOM]=I$3)))</f>
        <v>0</v>
      </c>
      <c r="J9" s="8" cm="1">
        <f t="array" ref="J9">IF(J$2="FY",SUMPRODUCT(Data[Nhập-SPC+SPP-NX]*(Data[Year]=J$1)*(Data[Main SKU name_GOM]=$A9)*(Data[SKU name_NHẬP_GOM]=J$3)),SUMPRODUCT(Data[Nhập-SPC+SPP-NX]*(Data[Year]=J$1)*(Data[Month]=J$2)*(Data[Main SKU name_GOM]=$A9)*(Data[SKU name_NHẬP_GOM]=J$3)))</f>
        <v>0</v>
      </c>
      <c r="K9" s="8" cm="1">
        <f t="array" ref="K9">IF(K$2="FY",SUMPRODUCT(Data[Nhập-SPC+SPP-NX]*(Data[Year]=K$1)*(Data[Main SKU name_GOM]=$A9)*(Data[SKU name_NHẬP_GOM]=K$3)),SUMPRODUCT(Data[Nhập-SPC+SPP-NX]*(Data[Year]=K$1)*(Data[Month]=K$2)*(Data[Main SKU name_GOM]=$A9)*(Data[SKU name_NHẬP_GOM]=K$3)))</f>
        <v>0</v>
      </c>
      <c r="L9" s="8" cm="1">
        <f t="array" ref="L9">IF(L$2="FY",SUMPRODUCT(Data[Nhập-SPC+SPP-NX]*(Data[Year]=L$1)*(Data[Main SKU name_GOM]=$A9)*(Data[SKU name_NHẬP_GOM]=L$3)),SUMPRODUCT(Data[Nhập-SPC+SPP-NX]*(Data[Year]=L$1)*(Data[Month]=L$2)*(Data[Main SKU name_GOM]=$A9)*(Data[SKU name_NHẬP_GOM]=L$3)))</f>
        <v>33000</v>
      </c>
      <c r="M9" s="8" cm="1">
        <f t="array" ref="M9">IF(M$2="FY",SUMPRODUCT(Data[Nhập-SPC+SPP-NX]*(Data[Year]=M$1)*(Data[Main SKU name_GOM]=$A9)*(Data[SKU name_NHẬP_GOM]=M$3)),SUMPRODUCT(Data[Nhập-SPC+SPP-NX]*(Data[Year]=M$1)*(Data[Month]=M$2)*(Data[Main SKU name_GOM]=$A9)*(Data[SKU name_NHẬP_GOM]=M$3)))</f>
        <v>0</v>
      </c>
      <c r="N9" s="13">
        <f t="shared" si="0"/>
        <v>1688500</v>
      </c>
      <c r="P9" s="8" cm="1">
        <f t="array" ref="P9">IF(P$2="FY",SUMPRODUCT(Data[Nhập-SPC+SPP-NX]*(Data[Year]=P$1)*(Data[Main SKU name_GOM]=$A9)*(Data[SKU name_NHẬP_GOM]=P$3)),SUMPRODUCT(Data[Nhập-SPC+SPP-NX]*(Data[Year]=P$1)*(Data[Month]=P$2)*(Data[Main SKU name_GOM]=$A9)*(Data[SKU name_NHẬP_GOM]=P$3)))</f>
        <v>0</v>
      </c>
      <c r="Q9" s="8" cm="1">
        <f t="array" ref="Q9">IF(Q$2="FY",SUMPRODUCT(Data[Nhập-SPC+SPP-NX]*(Data[Year]=Q$1)*(Data[Main SKU name_GOM]=$A9)*(Data[SKU name_NHẬP_GOM]=Q$3)),SUMPRODUCT(Data[Nhập-SPC+SPP-NX]*(Data[Year]=Q$1)*(Data[Month]=Q$2)*(Data[Main SKU name_GOM]=$A9)*(Data[SKU name_NHẬP_GOM]=Q$3)))</f>
        <v>0</v>
      </c>
      <c r="R9" s="8" cm="1">
        <f t="array" ref="R9">IF(R$2="FY",SUMPRODUCT(Data[Nhập-SPC+SPP-NX]*(Data[Year]=R$1)*(Data[Main SKU name_GOM]=$A9)*(Data[SKU name_NHẬP_GOM]=R$3)),SUMPRODUCT(Data[Nhập-SPC+SPP-NX]*(Data[Year]=R$1)*(Data[Month]=R$2)*(Data[Main SKU name_GOM]=$A9)*(Data[SKU name_NHẬP_GOM]=R$3)))</f>
        <v>0</v>
      </c>
      <c r="S9" s="8" cm="1">
        <f t="array" ref="S9">IF(S$2="FY",SUMPRODUCT(Data[Nhập-SPC+SPP-NX]*(Data[Year]=S$1)*(Data[Main SKU name_GOM]=$A9)*(Data[SKU name_NHẬP_GOM]=S$3)),SUMPRODUCT(Data[Nhập-SPC+SPP-NX]*(Data[Year]=S$1)*(Data[Month]=S$2)*(Data[Main SKU name_GOM]=$A9)*(Data[SKU name_NHẬP_GOM]=S$3)))</f>
        <v>0</v>
      </c>
      <c r="T9" s="8" cm="1">
        <f t="array" ref="T9">IF(T$2="FY",SUMPRODUCT(Data[Nhập-SPC+SPP-NX]*(Data[Year]=T$1)*(Data[Main SKU name_GOM]=$A9)*(Data[SKU name_NHẬP_GOM]=T$3)),SUMPRODUCT(Data[Nhập-SPC+SPP-NX]*(Data[Year]=T$1)*(Data[Month]=T$2)*(Data[Main SKU name_GOM]=$A9)*(Data[SKU name_NHẬP_GOM]=T$3)))</f>
        <v>376200</v>
      </c>
      <c r="U9" s="8" cm="1">
        <f t="array" ref="U9">IF(U$2="FY",SUMPRODUCT(Data[Nhập-SPC+SPP-NX]*(Data[Year]=U$1)*(Data[Main SKU name_GOM]=$A9)*(Data[SKU name_NHẬP_GOM]=U$3)),SUMPRODUCT(Data[Nhập-SPC+SPP-NX]*(Data[Year]=U$1)*(Data[Month]=U$2)*(Data[Main SKU name_GOM]=$A9)*(Data[SKU name_NHẬP_GOM]=U$3)))</f>
        <v>0</v>
      </c>
      <c r="V9" s="8" cm="1">
        <f t="array" ref="V9">IF(V$2="FY",SUMPRODUCT(Data[Nhập-SPC+SPP-NX]*(Data[Year]=V$1)*(Data[Main SKU name_GOM]=$A9)*(Data[SKU name_NHẬP_GOM]=V$3)),SUMPRODUCT(Data[Nhập-SPC+SPP-NX]*(Data[Year]=V$1)*(Data[Month]=V$2)*(Data[Main SKU name_GOM]=$A9)*(Data[SKU name_NHẬP_GOM]=V$3)))</f>
        <v>0</v>
      </c>
      <c r="W9" s="8" cm="1">
        <f t="array" ref="W9">IF(W$2="FY",SUMPRODUCT(Data[Nhập-SPC+SPP-NX]*(Data[Year]=W$1)*(Data[Main SKU name_GOM]=$A9)*(Data[SKU name_NHẬP_GOM]=W$3)),SUMPRODUCT(Data[Nhập-SPC+SPP-NX]*(Data[Year]=W$1)*(Data[Month]=W$2)*(Data[Main SKU name_GOM]=$A9)*(Data[SKU name_NHẬP_GOM]=W$3)))</f>
        <v>0</v>
      </c>
      <c r="X9" s="8" cm="1">
        <f t="array" ref="X9">IF(X$2="FY",SUMPRODUCT(Data[Nhập-SPC+SPP-NX]*(Data[Year]=X$1)*(Data[Main SKU name_GOM]=$A9)*(Data[SKU name_NHẬP_GOM]=X$3)),SUMPRODUCT(Data[Nhập-SPC+SPP-NX]*(Data[Year]=X$1)*(Data[Month]=X$2)*(Data[Main SKU name_GOM]=$A9)*(Data[SKU name_NHẬP_GOM]=X$3)))</f>
        <v>2200</v>
      </c>
      <c r="Y9" s="8" cm="1">
        <f t="array" ref="Y9">IF(Y$2="FY",SUMPRODUCT(Data[Nhập-SPC+SPP-NX]*(Data[Year]=Y$1)*(Data[Main SKU name_GOM]=$A9)*(Data[SKU name_NHẬP_GOM]=Y$3)),SUMPRODUCT(Data[Nhập-SPC+SPP-NX]*(Data[Year]=Y$1)*(Data[Month]=Y$2)*(Data[Main SKU name_GOM]=$A9)*(Data[SKU name_NHẬP_GOM]=Y$3)))</f>
        <v>0</v>
      </c>
      <c r="Z9" s="8">
        <f t="shared" si="1"/>
        <v>378400</v>
      </c>
      <c r="AB9" s="8" cm="1">
        <f t="array" ref="AB9">IF(AB$2="FY",SUMPRODUCT(Data[Nhập-SPC+SPP-NX]*(Data[Year]=AB$1)*(Data[Main SKU name_GOM]=$A9)*(Data[SKU name_NHẬP_GOM]=AB$3)),SUMPRODUCT(Data[Nhập-SPC+SPP-NX]*(Data[Year]=AB$1)*(Data[Month]=AB$2)*(Data[Main SKU name_GOM]=$A9)*(Data[SKU name_NHẬP_GOM]=AB$3)))</f>
        <v>0</v>
      </c>
      <c r="AC9" s="8" cm="1">
        <f t="array" ref="AC9">IF(AC$2="FY",SUMPRODUCT(Data[Nhập-SPC+SPP-NX]*(Data[Year]=AC$1)*(Data[Main SKU name_GOM]=$A9)*(Data[SKU name_NHẬP_GOM]=AC$3)),SUMPRODUCT(Data[Nhập-SPC+SPP-NX]*(Data[Year]=AC$1)*(Data[Month]=AC$2)*(Data[Main SKU name_GOM]=$A9)*(Data[SKU name_NHẬP_GOM]=AC$3)))</f>
        <v>0</v>
      </c>
      <c r="AD9" s="8" cm="1">
        <f t="array" ref="AD9">IF(AD$2="FY",SUMPRODUCT(Data[Nhập-SPC+SPP-NX]*(Data[Year]=AD$1)*(Data[Main SKU name_GOM]=$A9)*(Data[SKU name_NHẬP_GOM]=AD$3)),SUMPRODUCT(Data[Nhập-SPC+SPP-NX]*(Data[Year]=AD$1)*(Data[Month]=AD$2)*(Data[Main SKU name_GOM]=$A9)*(Data[SKU name_NHẬP_GOM]=AD$3)))</f>
        <v>0</v>
      </c>
      <c r="AE9" s="8" cm="1">
        <f t="array" ref="AE9">IF(AE$2="FY",SUMPRODUCT(Data[Nhập-SPC+SPP-NX]*(Data[Year]=AE$1)*(Data[Main SKU name_GOM]=$A9)*(Data[SKU name_NHẬP_GOM]=AE$3)),SUMPRODUCT(Data[Nhập-SPC+SPP-NX]*(Data[Year]=AE$1)*(Data[Month]=AE$2)*(Data[Main SKU name_GOM]=$A9)*(Data[SKU name_NHẬP_GOM]=AE$3)))</f>
        <v>0</v>
      </c>
      <c r="AF9" s="8" cm="1">
        <f t="array" ref="AF9">IF(AF$2="FY",SUMPRODUCT(Data[Nhập-SPC+SPP-NX]*(Data[Year]=AF$1)*(Data[Main SKU name_GOM]=$A9)*(Data[SKU name_NHẬP_GOM]=AF$3)),SUMPRODUCT(Data[Nhập-SPC+SPP-NX]*(Data[Year]=AF$1)*(Data[Month]=AF$2)*(Data[Main SKU name_GOM]=$A9)*(Data[SKU name_NHẬP_GOM]=AF$3)))</f>
        <v>0</v>
      </c>
      <c r="AG9" s="8" cm="1">
        <f t="array" ref="AG9">IF(AG$2="FY",SUMPRODUCT(Data[Nhập-SPC+SPP-NX]*(Data[Year]=AG$1)*(Data[Main SKU name_GOM]=$A9)*(Data[SKU name_NHẬP_GOM]=AG$3)),SUMPRODUCT(Data[Nhập-SPC+SPP-NX]*(Data[Year]=AG$1)*(Data[Month]=AG$2)*(Data[Main SKU name_GOM]=$A9)*(Data[SKU name_NHẬP_GOM]=AG$3)))</f>
        <v>0</v>
      </c>
      <c r="AH9" s="8" cm="1">
        <f t="array" ref="AH9">IF(AH$2="FY",SUMPRODUCT(Data[Nhập-SPC+SPP-NX]*(Data[Year]=AH$1)*(Data[Main SKU name_GOM]=$A9)*(Data[SKU name_NHẬP_GOM]=AH$3)),SUMPRODUCT(Data[Nhập-SPC+SPP-NX]*(Data[Year]=AH$1)*(Data[Month]=AH$2)*(Data[Main SKU name_GOM]=$A9)*(Data[SKU name_NHẬP_GOM]=AH$3)))</f>
        <v>0</v>
      </c>
      <c r="AI9" s="8" cm="1">
        <f t="array" ref="AI9">IF(AI$2="FY",SUMPRODUCT(Data[Nhập-SPC+SPP-NX]*(Data[Year]=AI$1)*(Data[Main SKU name_GOM]=$A9)*(Data[SKU name_NHẬP_GOM]=AI$3)),SUMPRODUCT(Data[Nhập-SPC+SPP-NX]*(Data[Year]=AI$1)*(Data[Month]=AI$2)*(Data[Main SKU name_GOM]=$A9)*(Data[SKU name_NHẬP_GOM]=AI$3)))</f>
        <v>0</v>
      </c>
      <c r="AJ9" s="8" cm="1">
        <f t="array" ref="AJ9">IF(AJ$2="FY",SUMPRODUCT(Data[Nhập-SPC+SPP-NX]*(Data[Year]=AJ$1)*(Data[Main SKU name_GOM]=$A9)*(Data[SKU name_NHẬP_GOM]=AJ$3)),SUMPRODUCT(Data[Nhập-SPC+SPP-NX]*(Data[Year]=AJ$1)*(Data[Month]=AJ$2)*(Data[Main SKU name_GOM]=$A9)*(Data[SKU name_NHẬP_GOM]=AJ$3)))</f>
        <v>0</v>
      </c>
      <c r="AK9" s="8" cm="1">
        <f t="array" ref="AK9">IF(AK$2="FY",SUMPRODUCT(Data[Nhập-SPC+SPP-NX]*(Data[Year]=AK$1)*(Data[Main SKU name_GOM]=$A9)*(Data[SKU name_NHẬP_GOM]=AK$3)),SUMPRODUCT(Data[Nhập-SPC+SPP-NX]*(Data[Year]=AK$1)*(Data[Month]=AK$2)*(Data[Main SKU name_GOM]=$A9)*(Data[SKU name_NHẬP_GOM]=AK$3)))</f>
        <v>0</v>
      </c>
      <c r="AL9" s="8">
        <f t="shared" si="2"/>
        <v>0</v>
      </c>
      <c r="AN9" s="8" cm="1">
        <f t="array" ref="AN9">IF(AN$2="FY",SUMPRODUCT(Data[Nhập-SPC+SPP-NX]*(Data[Year]=AN$1)*(Data[Main SKU name_GOM]=$A9)*(Data[SKU name_NHẬP_GOM]=AN$3)),SUMPRODUCT(Data[Nhập-SPC+SPP-NX]*(Data[Year]=AN$1)*(Data[Month]=AN$2)*(Data[Main SKU name_GOM]=$A9)*(Data[SKU name_NHẬP_GOM]=AN$3)))</f>
        <v>0</v>
      </c>
      <c r="AO9" s="8" cm="1">
        <f t="array" ref="AO9">IF(AO$2="FY",SUMPRODUCT(Data[Nhập-SPC+SPP-NX]*(Data[Year]=AO$1)*(Data[Main SKU name_GOM]=$A9)*(Data[SKU name_NHẬP_GOM]=AO$3)),SUMPRODUCT(Data[Nhập-SPC+SPP-NX]*(Data[Year]=AO$1)*(Data[Month]=AO$2)*(Data[Main SKU name_GOM]=$A9)*(Data[SKU name_NHẬP_GOM]=AO$3)))</f>
        <v>0</v>
      </c>
      <c r="AP9" s="8" cm="1">
        <f t="array" ref="AP9">IF(AP$2="FY",SUMPRODUCT(Data[Nhập-SPC+SPP-NX]*(Data[Year]=AP$1)*(Data[Main SKU name_GOM]=$A9)*(Data[SKU name_NHẬP_GOM]=AP$3)),SUMPRODUCT(Data[Nhập-SPC+SPP-NX]*(Data[Year]=AP$1)*(Data[Month]=AP$2)*(Data[Main SKU name_GOM]=$A9)*(Data[SKU name_NHẬP_GOM]=AP$3)))</f>
        <v>0</v>
      </c>
      <c r="AQ9" s="8" cm="1">
        <f t="array" ref="AQ9">IF(AQ$2="FY",SUMPRODUCT(Data[Nhập-SPC+SPP-NX]*(Data[Year]=AQ$1)*(Data[Main SKU name_GOM]=$A9)*(Data[SKU name_NHẬP_GOM]=AQ$3)),SUMPRODUCT(Data[Nhập-SPC+SPP-NX]*(Data[Year]=AQ$1)*(Data[Month]=AQ$2)*(Data[Main SKU name_GOM]=$A9)*(Data[SKU name_NHẬP_GOM]=AQ$3)))</f>
        <v>0</v>
      </c>
      <c r="AR9" s="8" cm="1">
        <f t="array" ref="AR9">IF(AR$2="FY",SUMPRODUCT(Data[Nhập-SPC+SPP-NX]*(Data[Year]=AR$1)*(Data[Main SKU name_GOM]=$A9)*(Data[SKU name_NHẬP_GOM]=AR$3)),SUMPRODUCT(Data[Nhập-SPC+SPP-NX]*(Data[Year]=AR$1)*(Data[Month]=AR$2)*(Data[Main SKU name_GOM]=$A9)*(Data[SKU name_NHẬP_GOM]=AR$3)))</f>
        <v>248600.00000000003</v>
      </c>
      <c r="AS9" s="8" cm="1">
        <f t="array" ref="AS9">IF(AS$2="FY",SUMPRODUCT(Data[Nhập-SPC+SPP-NX]*(Data[Year]=AS$1)*(Data[Main SKU name_GOM]=$A9)*(Data[SKU name_NHẬP_GOM]=AS$3)),SUMPRODUCT(Data[Nhập-SPC+SPP-NX]*(Data[Year]=AS$1)*(Data[Month]=AS$2)*(Data[Main SKU name_GOM]=$A9)*(Data[SKU name_NHẬP_GOM]=AS$3)))</f>
        <v>0</v>
      </c>
      <c r="AT9" s="8" cm="1">
        <f t="array" ref="AT9">IF(AT$2="FY",SUMPRODUCT(Data[Nhập-SPC+SPP-NX]*(Data[Year]=AT$1)*(Data[Main SKU name_GOM]=$A9)*(Data[SKU name_NHẬP_GOM]=AT$3)),SUMPRODUCT(Data[Nhập-SPC+SPP-NX]*(Data[Year]=AT$1)*(Data[Month]=AT$2)*(Data[Main SKU name_GOM]=$A9)*(Data[SKU name_NHẬP_GOM]=AT$3)))</f>
        <v>0</v>
      </c>
      <c r="AU9" s="8" cm="1">
        <f t="array" ref="AU9">IF(AU$2="FY",SUMPRODUCT(Data[Nhập-SPC+SPP-NX]*(Data[Year]=AU$1)*(Data[Main SKU name_GOM]=$A9)*(Data[SKU name_NHẬP_GOM]=AU$3)),SUMPRODUCT(Data[Nhập-SPC+SPP-NX]*(Data[Year]=AU$1)*(Data[Month]=AU$2)*(Data[Main SKU name_GOM]=$A9)*(Data[SKU name_NHẬP_GOM]=AU$3)))</f>
        <v>0</v>
      </c>
      <c r="AV9" s="8" cm="1">
        <f t="array" ref="AV9">IF(AV$2="FY",SUMPRODUCT(Data[Nhập-SPC+SPP-NX]*(Data[Year]=AV$1)*(Data[Main SKU name_GOM]=$A9)*(Data[SKU name_NHẬP_GOM]=AV$3)),SUMPRODUCT(Data[Nhập-SPC+SPP-NX]*(Data[Year]=AV$1)*(Data[Month]=AV$2)*(Data[Main SKU name_GOM]=$A9)*(Data[SKU name_NHẬP_GOM]=AV$3)))</f>
        <v>23100</v>
      </c>
      <c r="AW9" s="8" cm="1">
        <f t="array" ref="AW9">IF(AW$2="FY",SUMPRODUCT(Data[Nhập-SPC+SPP-NX]*(Data[Year]=AW$1)*(Data[Main SKU name_GOM]=$A9)*(Data[SKU name_NHẬP_GOM]=AW$3)),SUMPRODUCT(Data[Nhập-SPC+SPP-NX]*(Data[Year]=AW$1)*(Data[Month]=AW$2)*(Data[Main SKU name_GOM]=$A9)*(Data[SKU name_NHẬP_GOM]=AW$3)))</f>
        <v>0</v>
      </c>
      <c r="AX9" s="8">
        <f t="shared" si="3"/>
        <v>271700</v>
      </c>
      <c r="AZ9" s="8" cm="1">
        <f t="array" ref="AZ9">IF(AZ$2="FY",SUMPRODUCT(Data[Nhập-SPC+SPP-NX]*(Data[Year]=AZ$1)*(Data[Main SKU name_GOM]=$A9)*(Data[SKU name_NHẬP_GOM]=AZ$3)),SUMPRODUCT(Data[Nhập-SPC+SPP-NX]*(Data[Year]=AZ$1)*(Data[Month]=AZ$2)*(Data[Main SKU name_GOM]=$A9)*(Data[SKU name_NHẬP_GOM]=AZ$3)))</f>
        <v>0</v>
      </c>
      <c r="BA9" s="8" cm="1">
        <f t="array" ref="BA9">IF(BA$2="FY",SUMPRODUCT(Data[Nhập-SPC+SPP-NX]*(Data[Year]=BA$1)*(Data[Main SKU name_GOM]=$A9)*(Data[SKU name_NHẬP_GOM]=BA$3)),SUMPRODUCT(Data[Nhập-SPC+SPP-NX]*(Data[Year]=BA$1)*(Data[Month]=BA$2)*(Data[Main SKU name_GOM]=$A9)*(Data[SKU name_NHẬP_GOM]=BA$3)))</f>
        <v>0</v>
      </c>
      <c r="BB9" s="8" cm="1">
        <f t="array" ref="BB9">IF(BB$2="FY",SUMPRODUCT(Data[Nhập-SPC+SPP-NX]*(Data[Year]=BB$1)*(Data[Main SKU name_GOM]=$A9)*(Data[SKU name_NHẬP_GOM]=BB$3)),SUMPRODUCT(Data[Nhập-SPC+SPP-NX]*(Data[Year]=BB$1)*(Data[Month]=BB$2)*(Data[Main SKU name_GOM]=$A9)*(Data[SKU name_NHẬP_GOM]=BB$3)))</f>
        <v>0</v>
      </c>
      <c r="BC9" s="8" cm="1">
        <f t="array" ref="BC9">IF(BC$2="FY",SUMPRODUCT(Data[Nhập-SPC+SPP-NX]*(Data[Year]=BC$1)*(Data[Main SKU name_GOM]=$A9)*(Data[SKU name_NHẬP_GOM]=BC$3)),SUMPRODUCT(Data[Nhập-SPC+SPP-NX]*(Data[Year]=BC$1)*(Data[Month]=BC$2)*(Data[Main SKU name_GOM]=$A9)*(Data[SKU name_NHẬP_GOM]=BC$3)))</f>
        <v>0</v>
      </c>
      <c r="BD9" s="8" cm="1">
        <f t="array" ref="BD9">IF(BD$2="FY",SUMPRODUCT(Data[Nhập-SPC+SPP-NX]*(Data[Year]=BD$1)*(Data[Main SKU name_GOM]=$A9)*(Data[SKU name_NHẬP_GOM]=BD$3)),SUMPRODUCT(Data[Nhập-SPC+SPP-NX]*(Data[Year]=BD$1)*(Data[Month]=BD$2)*(Data[Main SKU name_GOM]=$A9)*(Data[SKU name_NHẬP_GOM]=BD$3)))</f>
        <v>1030700</v>
      </c>
      <c r="BE9" s="8" cm="1">
        <f t="array" ref="BE9">IF(BE$2="FY",SUMPRODUCT(Data[Nhập-SPC+SPP-NX]*(Data[Year]=BE$1)*(Data[Main SKU name_GOM]=$A9)*(Data[SKU name_NHẬP_GOM]=BE$3)),SUMPRODUCT(Data[Nhập-SPC+SPP-NX]*(Data[Year]=BE$1)*(Data[Month]=BE$2)*(Data[Main SKU name_GOM]=$A9)*(Data[SKU name_NHẬP_GOM]=BE$3)))</f>
        <v>0</v>
      </c>
      <c r="BF9" s="8" cm="1">
        <f t="array" ref="BF9">IF(BF$2="FY",SUMPRODUCT(Data[Nhập-SPC+SPP-NX]*(Data[Year]=BF$1)*(Data[Main SKU name_GOM]=$A9)*(Data[SKU name_NHẬP_GOM]=BF$3)),SUMPRODUCT(Data[Nhập-SPC+SPP-NX]*(Data[Year]=BF$1)*(Data[Month]=BF$2)*(Data[Main SKU name_GOM]=$A9)*(Data[SKU name_NHẬP_GOM]=BF$3)))</f>
        <v>0</v>
      </c>
      <c r="BG9" s="8" cm="1">
        <f t="array" ref="BG9">IF(BG$2="FY",SUMPRODUCT(Data[Nhập-SPC+SPP-NX]*(Data[Year]=BG$1)*(Data[Main SKU name_GOM]=$A9)*(Data[SKU name_NHẬP_GOM]=BG$3)),SUMPRODUCT(Data[Nhập-SPC+SPP-NX]*(Data[Year]=BG$1)*(Data[Month]=BG$2)*(Data[Main SKU name_GOM]=$A9)*(Data[SKU name_NHẬP_GOM]=BG$3)))</f>
        <v>0</v>
      </c>
      <c r="BH9" s="8" cm="1">
        <f t="array" ref="BH9">IF(BH$2="FY",SUMPRODUCT(Data[Nhập-SPC+SPP-NX]*(Data[Year]=BH$1)*(Data[Main SKU name_GOM]=$A9)*(Data[SKU name_NHẬP_GOM]=BH$3)),SUMPRODUCT(Data[Nhập-SPC+SPP-NX]*(Data[Year]=BH$1)*(Data[Month]=BH$2)*(Data[Main SKU name_GOM]=$A9)*(Data[SKU name_NHẬP_GOM]=BH$3)))</f>
        <v>7700</v>
      </c>
      <c r="BI9" s="8" cm="1">
        <f t="array" ref="BI9">IF(BI$2="FY",SUMPRODUCT(Data[Nhập-SPC+SPP-NX]*(Data[Year]=BI$1)*(Data[Main SKU name_GOM]=$A9)*(Data[SKU name_NHẬP_GOM]=BI$3)),SUMPRODUCT(Data[Nhập-SPC+SPP-NX]*(Data[Year]=BI$1)*(Data[Month]=BI$2)*(Data[Main SKU name_GOM]=$A9)*(Data[SKU name_NHẬP_GOM]=BI$3)))</f>
        <v>0</v>
      </c>
      <c r="BJ9" s="8">
        <f t="shared" si="4"/>
        <v>1038400</v>
      </c>
      <c r="BL9" s="8" cm="1">
        <f t="array" ref="BL9">IF(BL$2="FY",SUMPRODUCT(Data[Nhập-SPC+SPP-NX]*(Data[Year]=BL$1)*(Data[Main SKU name_GOM]=$A9)*(Data[SKU name_NHẬP_GOM]=BL$3)),SUMPRODUCT(Data[Nhập-SPC+SPP-NX]*(Data[Year]=BL$1)*(Data[Month]=BL$2)*(Data[Main SKU name_GOM]=$A9)*(Data[SKU name_NHẬP_GOM]=BL$3)))</f>
        <v>0</v>
      </c>
      <c r="BM9" s="8" cm="1">
        <f t="array" ref="BM9">IF(BM$2="FY",SUMPRODUCT(Data[Nhập-SPC+SPP-NX]*(Data[Year]=BM$1)*(Data[Main SKU name_GOM]=$A9)*(Data[SKU name_NHẬP_GOM]=BM$3)),SUMPRODUCT(Data[Nhập-SPC+SPP-NX]*(Data[Year]=BM$1)*(Data[Month]=BM$2)*(Data[Main SKU name_GOM]=$A9)*(Data[SKU name_NHẬP_GOM]=BM$3)))</f>
        <v>0</v>
      </c>
      <c r="BN9" s="8" cm="1">
        <f t="array" ref="BN9">IF(BN$2="FY",SUMPRODUCT(Data[Nhập-SPC+SPP-NX]*(Data[Year]=BN$1)*(Data[Main SKU name_GOM]=$A9)*(Data[SKU name_NHẬP_GOM]=BN$3)),SUMPRODUCT(Data[Nhập-SPC+SPP-NX]*(Data[Year]=BN$1)*(Data[Month]=BN$2)*(Data[Main SKU name_GOM]=$A9)*(Data[SKU name_NHẬP_GOM]=BN$3)))</f>
        <v>0</v>
      </c>
      <c r="BO9" s="8" cm="1">
        <f t="array" ref="BO9">IF(BO$2="FY",SUMPRODUCT(Data[Nhập-SPC+SPP-NX]*(Data[Year]=BO$1)*(Data[Main SKU name_GOM]=$A9)*(Data[SKU name_NHẬP_GOM]=BO$3)),SUMPRODUCT(Data[Nhập-SPC+SPP-NX]*(Data[Year]=BO$1)*(Data[Month]=BO$2)*(Data[Main SKU name_GOM]=$A9)*(Data[SKU name_NHẬP_GOM]=BO$3)))</f>
        <v>0</v>
      </c>
      <c r="BP9" s="8" cm="1">
        <f t="array" ref="BP9">IF(BP$2="FY",SUMPRODUCT(Data[Nhập-SPC+SPP-NX]*(Data[Year]=BP$1)*(Data[Main SKU name_GOM]=$A9)*(Data[SKU name_NHẬP_GOM]=BP$3)),SUMPRODUCT(Data[Nhập-SPC+SPP-NX]*(Data[Year]=BP$1)*(Data[Month]=BP$2)*(Data[Main SKU name_GOM]=$A9)*(Data[SKU name_NHẬP_GOM]=BP$3)))</f>
        <v>0</v>
      </c>
      <c r="BQ9" s="8" cm="1">
        <f t="array" ref="BQ9">IF(BQ$2="FY",SUMPRODUCT(Data[Nhập-SPC+SPP-NX]*(Data[Year]=BQ$1)*(Data[Main SKU name_GOM]=$A9)*(Data[SKU name_NHẬP_GOM]=BQ$3)),SUMPRODUCT(Data[Nhập-SPC+SPP-NX]*(Data[Year]=BQ$1)*(Data[Month]=BQ$2)*(Data[Main SKU name_GOM]=$A9)*(Data[SKU name_NHẬP_GOM]=BQ$3)))</f>
        <v>0</v>
      </c>
      <c r="BR9" s="8" cm="1">
        <f t="array" ref="BR9">IF(BR$2="FY",SUMPRODUCT(Data[Nhập-SPC+SPP-NX]*(Data[Year]=BR$1)*(Data[Main SKU name_GOM]=$A9)*(Data[SKU name_NHẬP_GOM]=BR$3)),SUMPRODUCT(Data[Nhập-SPC+SPP-NX]*(Data[Year]=BR$1)*(Data[Month]=BR$2)*(Data[Main SKU name_GOM]=$A9)*(Data[SKU name_NHẬP_GOM]=BR$3)))</f>
        <v>0</v>
      </c>
      <c r="BS9" s="8" cm="1">
        <f t="array" ref="BS9">IF(BS$2="FY",SUMPRODUCT(Data[Nhập-SPC+SPP-NX]*(Data[Year]=BS$1)*(Data[Main SKU name_GOM]=$A9)*(Data[SKU name_NHẬP_GOM]=BS$3)),SUMPRODUCT(Data[Nhập-SPC+SPP-NX]*(Data[Year]=BS$1)*(Data[Month]=BS$2)*(Data[Main SKU name_GOM]=$A9)*(Data[SKU name_NHẬP_GOM]=BS$3)))</f>
        <v>0</v>
      </c>
      <c r="BT9" s="8" cm="1">
        <f t="array" ref="BT9">IF(BT$2="FY",SUMPRODUCT(Data[Nhập-SPC+SPP-NX]*(Data[Year]=BT$1)*(Data[Main SKU name_GOM]=$A9)*(Data[SKU name_NHẬP_GOM]=BT$3)),SUMPRODUCT(Data[Nhập-SPC+SPP-NX]*(Data[Year]=BT$1)*(Data[Month]=BT$2)*(Data[Main SKU name_GOM]=$A9)*(Data[SKU name_NHẬP_GOM]=BT$3)))</f>
        <v>0</v>
      </c>
      <c r="BU9" s="8" cm="1">
        <f t="array" ref="BU9">IF(BU$2="FY",SUMPRODUCT(Data[Nhập-SPC+SPP-NX]*(Data[Year]=BU$1)*(Data[Main SKU name_GOM]=$A9)*(Data[SKU name_NHẬP_GOM]=BU$3)),SUMPRODUCT(Data[Nhập-SPC+SPP-NX]*(Data[Year]=BU$1)*(Data[Month]=BU$2)*(Data[Main SKU name_GOM]=$A9)*(Data[SKU name_NHẬP_GOM]=BU$3)))</f>
        <v>0</v>
      </c>
      <c r="BV9" s="8">
        <f t="shared" si="5"/>
        <v>0</v>
      </c>
      <c r="BX9" s="8" cm="1">
        <f t="array" ref="BX9">IF(BX$2="FY",SUMPRODUCT(Data[Nhập-SPC+SPP-NX]*(Data[Year]=BX$1)*(Data[Main SKU name_GOM]=$A9)*(Data[SKU name_NHẬP_GOM]=BX$3)),SUMPRODUCT(Data[Nhập-SPC+SPP-NX]*(Data[Year]=BX$1)*(Data[Month]=BX$2)*(Data[Main SKU name_GOM]=$A9)*(Data[SKU name_NHẬP_GOM]=BX$3)))</f>
        <v>0</v>
      </c>
      <c r="BY9" s="8" cm="1">
        <f t="array" ref="BY9">IF(BY$2="FY",SUMPRODUCT(Data[Nhập-SPC+SPP-NX]*(Data[Year]=BY$1)*(Data[Main SKU name_GOM]=$A9)*(Data[SKU name_NHẬP_GOM]=BY$3)),SUMPRODUCT(Data[Nhập-SPC+SPP-NX]*(Data[Year]=BY$1)*(Data[Month]=BY$2)*(Data[Main SKU name_GOM]=$A9)*(Data[SKU name_NHẬP_GOM]=BY$3)))</f>
        <v>0</v>
      </c>
      <c r="BZ9" s="8" cm="1">
        <f t="array" ref="BZ9">IF(BZ$2="FY",SUMPRODUCT(Data[Nhập-SPC+SPP-NX]*(Data[Year]=BZ$1)*(Data[Main SKU name_GOM]=$A9)*(Data[SKU name_NHẬP_GOM]=BZ$3)),SUMPRODUCT(Data[Nhập-SPC+SPP-NX]*(Data[Year]=BZ$1)*(Data[Month]=BZ$2)*(Data[Main SKU name_GOM]=$A9)*(Data[SKU name_NHẬP_GOM]=BZ$3)))</f>
        <v>0</v>
      </c>
      <c r="CA9" s="8" cm="1">
        <f t="array" ref="CA9">IF(CA$2="FY",SUMPRODUCT(Data[Nhập-SPC+SPP-NX]*(Data[Year]=CA$1)*(Data[Main SKU name_GOM]=$A9)*(Data[SKU name_NHẬP_GOM]=CA$3)),SUMPRODUCT(Data[Nhập-SPC+SPP-NX]*(Data[Year]=CA$1)*(Data[Month]=CA$2)*(Data[Main SKU name_GOM]=$A9)*(Data[SKU name_NHẬP_GOM]=CA$3)))</f>
        <v>0</v>
      </c>
      <c r="CB9" s="8" cm="1">
        <f t="array" ref="CB9">IF(CB$2="FY",SUMPRODUCT(Data[Nhập-SPC+SPP-NX]*(Data[Year]=CB$1)*(Data[Main SKU name_GOM]=$A9)*(Data[SKU name_NHẬP_GOM]=CB$3)),SUMPRODUCT(Data[Nhập-SPC+SPP-NX]*(Data[Year]=CB$1)*(Data[Month]=CB$2)*(Data[Main SKU name_GOM]=$A9)*(Data[SKU name_NHẬP_GOM]=CB$3)))</f>
        <v>0</v>
      </c>
      <c r="CC9" s="8" cm="1">
        <f t="array" ref="CC9">IF(CC$2="FY",SUMPRODUCT(Data[Nhập-SPC+SPP-NX]*(Data[Year]=CC$1)*(Data[Main SKU name_GOM]=$A9)*(Data[SKU name_NHẬP_GOM]=CC$3)),SUMPRODUCT(Data[Nhập-SPC+SPP-NX]*(Data[Year]=CC$1)*(Data[Month]=CC$2)*(Data[Main SKU name_GOM]=$A9)*(Data[SKU name_NHẬP_GOM]=CC$3)))</f>
        <v>0</v>
      </c>
      <c r="CD9" s="8" cm="1">
        <f t="array" ref="CD9">IF(CD$2="FY",SUMPRODUCT(Data[Nhập-SPC+SPP-NX]*(Data[Year]=CD$1)*(Data[Main SKU name_GOM]=$A9)*(Data[SKU name_NHẬP_GOM]=CD$3)),SUMPRODUCT(Data[Nhập-SPC+SPP-NX]*(Data[Year]=CD$1)*(Data[Month]=CD$2)*(Data[Main SKU name_GOM]=$A9)*(Data[SKU name_NHẬP_GOM]=CD$3)))</f>
        <v>0</v>
      </c>
      <c r="CE9" s="8" cm="1">
        <f t="array" ref="CE9">IF(CE$2="FY",SUMPRODUCT(Data[Nhập-SPC+SPP-NX]*(Data[Year]=CE$1)*(Data[Main SKU name_GOM]=$A9)*(Data[SKU name_NHẬP_GOM]=CE$3)),SUMPRODUCT(Data[Nhập-SPC+SPP-NX]*(Data[Year]=CE$1)*(Data[Month]=CE$2)*(Data[Main SKU name_GOM]=$A9)*(Data[SKU name_NHẬP_GOM]=CE$3)))</f>
        <v>0</v>
      </c>
      <c r="CF9" s="8" cm="1">
        <f t="array" ref="CF9">IF(CF$2="FY",SUMPRODUCT(Data[Nhập-SPC+SPP-NX]*(Data[Year]=CF$1)*(Data[Main SKU name_GOM]=$A9)*(Data[SKU name_NHẬP_GOM]=CF$3)),SUMPRODUCT(Data[Nhập-SPC+SPP-NX]*(Data[Year]=CF$1)*(Data[Month]=CF$2)*(Data[Main SKU name_GOM]=$A9)*(Data[SKU name_NHẬP_GOM]=CF$3)))</f>
        <v>0</v>
      </c>
      <c r="CG9" s="8" cm="1">
        <f t="array" ref="CG9">IF(CG$2="FY",SUMPRODUCT(Data[Nhập-SPC+SPP-NX]*(Data[Year]=CG$1)*(Data[Main SKU name_GOM]=$A9)*(Data[SKU name_NHẬP_GOM]=CG$3)),SUMPRODUCT(Data[Nhập-SPC+SPP-NX]*(Data[Year]=CG$1)*(Data[Month]=CG$2)*(Data[Main SKU name_GOM]=$A9)*(Data[SKU name_NHẬP_GOM]=CG$3)))</f>
        <v>0</v>
      </c>
      <c r="CH9" s="8">
        <f t="shared" si="6"/>
        <v>0</v>
      </c>
      <c r="CJ9" s="8" cm="1">
        <f t="array" ref="CJ9">IF(CJ$2="FY",SUMPRODUCT(Data[Nhập-SPC+SPP-NX]*(Data[Year]=CJ$1)*(Data[Main SKU name_GOM]=$A9)*(Data[SKU name_NHẬP_GOM]=CJ$3)),SUMPRODUCT(Data[Nhập-SPC+SPP-NX]*(Data[Year]=CJ$1)*(Data[Month]=CJ$2)*(Data[Main SKU name_GOM]=$A9)*(Data[SKU name_NHẬP_GOM]=CJ$3)))</f>
        <v>0</v>
      </c>
      <c r="CK9" s="8" cm="1">
        <f t="array" ref="CK9">IF(CK$2="FY",SUMPRODUCT(Data[Nhập-SPC+SPP-NX]*(Data[Year]=CK$1)*(Data[Main SKU name_GOM]=$A9)*(Data[SKU name_NHẬP_GOM]=CK$3)),SUMPRODUCT(Data[Nhập-SPC+SPP-NX]*(Data[Year]=CK$1)*(Data[Month]=CK$2)*(Data[Main SKU name_GOM]=$A9)*(Data[SKU name_NHẬP_GOM]=CK$3)))</f>
        <v>0</v>
      </c>
      <c r="CL9" s="8" cm="1">
        <f t="array" ref="CL9">IF(CL$2="FY",SUMPRODUCT(Data[Nhập-SPC+SPP-NX]*(Data[Year]=CL$1)*(Data[Main SKU name_GOM]=$A9)*(Data[SKU name_NHẬP_GOM]=CL$3)),SUMPRODUCT(Data[Nhập-SPC+SPP-NX]*(Data[Year]=CL$1)*(Data[Month]=CL$2)*(Data[Main SKU name_GOM]=$A9)*(Data[SKU name_NHẬP_GOM]=CL$3)))</f>
        <v>0</v>
      </c>
      <c r="CM9" s="8" cm="1">
        <f t="array" ref="CM9">IF(CM$2="FY",SUMPRODUCT(Data[Nhập-SPC+SPP-NX]*(Data[Year]=CM$1)*(Data[Main SKU name_GOM]=$A9)*(Data[SKU name_NHẬP_GOM]=CM$3)),SUMPRODUCT(Data[Nhập-SPC+SPP-NX]*(Data[Year]=CM$1)*(Data[Month]=CM$2)*(Data[Main SKU name_GOM]=$A9)*(Data[SKU name_NHẬP_GOM]=CM$3)))</f>
        <v>0</v>
      </c>
      <c r="CN9" s="8" cm="1">
        <f t="array" ref="CN9">IF(CN$2="FY",SUMPRODUCT(Data[Nhập-SPC+SPP-NX]*(Data[Year]=CN$1)*(Data[Main SKU name_GOM]=$A9)*(Data[SKU name_NHẬP_GOM]=CN$3)),SUMPRODUCT(Data[Nhập-SPC+SPP-NX]*(Data[Year]=CN$1)*(Data[Month]=CN$2)*(Data[Main SKU name_GOM]=$A9)*(Data[SKU name_NHẬP_GOM]=CN$3)))</f>
        <v>0</v>
      </c>
      <c r="CO9" s="8" cm="1">
        <f t="array" ref="CO9">IF(CO$2="FY",SUMPRODUCT(Data[Nhập-SPC+SPP-NX]*(Data[Year]=CO$1)*(Data[Main SKU name_GOM]=$A9)*(Data[SKU name_NHẬP_GOM]=CO$3)),SUMPRODUCT(Data[Nhập-SPC+SPP-NX]*(Data[Year]=CO$1)*(Data[Month]=CO$2)*(Data[Main SKU name_GOM]=$A9)*(Data[SKU name_NHẬP_GOM]=CO$3)))</f>
        <v>0</v>
      </c>
      <c r="CP9" s="8" cm="1">
        <f t="array" ref="CP9">IF(CP$2="FY",SUMPRODUCT(Data[Nhập-SPC+SPP-NX]*(Data[Year]=CP$1)*(Data[Main SKU name_GOM]=$A9)*(Data[SKU name_NHẬP_GOM]=CP$3)),SUMPRODUCT(Data[Nhập-SPC+SPP-NX]*(Data[Year]=CP$1)*(Data[Month]=CP$2)*(Data[Main SKU name_GOM]=$A9)*(Data[SKU name_NHẬP_GOM]=CP$3)))</f>
        <v>0</v>
      </c>
      <c r="CQ9" s="8" cm="1">
        <f t="array" ref="CQ9">IF(CQ$2="FY",SUMPRODUCT(Data[Nhập-SPC+SPP-NX]*(Data[Year]=CQ$1)*(Data[Main SKU name_GOM]=$A9)*(Data[SKU name_NHẬP_GOM]=CQ$3)),SUMPRODUCT(Data[Nhập-SPC+SPP-NX]*(Data[Year]=CQ$1)*(Data[Month]=CQ$2)*(Data[Main SKU name_GOM]=$A9)*(Data[SKU name_NHẬP_GOM]=CQ$3)))</f>
        <v>0</v>
      </c>
      <c r="CR9" s="8" cm="1">
        <f t="array" ref="CR9">IF(CR$2="FY",SUMPRODUCT(Data[Nhập-SPC+SPP-NX]*(Data[Year]=CR$1)*(Data[Main SKU name_GOM]=$A9)*(Data[SKU name_NHẬP_GOM]=CR$3)),SUMPRODUCT(Data[Nhập-SPC+SPP-NX]*(Data[Year]=CR$1)*(Data[Month]=CR$2)*(Data[Main SKU name_GOM]=$A9)*(Data[SKU name_NHẬP_GOM]=CR$3)))</f>
        <v>0</v>
      </c>
      <c r="CS9" s="8" cm="1">
        <f t="array" ref="CS9">IF(CS$2="FY",SUMPRODUCT(Data[Nhập-SPC+SPP-NX]*(Data[Year]=CS$1)*(Data[Main SKU name_GOM]=$A9)*(Data[SKU name_NHẬP_GOM]=CS$3)),SUMPRODUCT(Data[Nhập-SPC+SPP-NX]*(Data[Year]=CS$1)*(Data[Month]=CS$2)*(Data[Main SKU name_GOM]=$A9)*(Data[SKU name_NHẬP_GOM]=CS$3)))</f>
        <v>0</v>
      </c>
      <c r="CT9" s="8">
        <f t="shared" si="7"/>
        <v>0</v>
      </c>
      <c r="CV9" s="8" cm="1">
        <f t="array" ref="CV9">IF(CV$2="FY",SUMPRODUCT(Data[Nhập-SPC+SPP-NX]*(Data[Year]=CV$1)*(Data[Main SKU name_GOM]=$A9)*(Data[SKU name_NHẬP_GOM]=CV$3)),SUMPRODUCT(Data[Nhập-SPC+SPP-NX]*(Data[Year]=CV$1)*(Data[Month]=CV$2)*(Data[Main SKU name_GOM]=$A9)*(Data[SKU name_NHẬP_GOM]=CV$3)))</f>
        <v>0</v>
      </c>
      <c r="CW9" s="8" cm="1">
        <f t="array" ref="CW9">IF(CW$2="FY",SUMPRODUCT(Data[Nhập-SPC+SPP-NX]*(Data[Year]=CW$1)*(Data[Main SKU name_GOM]=$A9)*(Data[SKU name_NHẬP_GOM]=CW$3)),SUMPRODUCT(Data[Nhập-SPC+SPP-NX]*(Data[Year]=CW$1)*(Data[Month]=CW$2)*(Data[Main SKU name_GOM]=$A9)*(Data[SKU name_NHẬP_GOM]=CW$3)))</f>
        <v>0</v>
      </c>
      <c r="CX9" s="8" cm="1">
        <f t="array" ref="CX9">IF(CX$2="FY",SUMPRODUCT(Data[Nhập-SPC+SPP-NX]*(Data[Year]=CX$1)*(Data[Main SKU name_GOM]=$A9)*(Data[SKU name_NHẬP_GOM]=CX$3)),SUMPRODUCT(Data[Nhập-SPC+SPP-NX]*(Data[Year]=CX$1)*(Data[Month]=CX$2)*(Data[Main SKU name_GOM]=$A9)*(Data[SKU name_NHẬP_GOM]=CX$3)))</f>
        <v>0</v>
      </c>
      <c r="CY9" s="8" cm="1">
        <f t="array" ref="CY9">IF(CY$2="FY",SUMPRODUCT(Data[Nhập-SPC+SPP-NX]*(Data[Year]=CY$1)*(Data[Main SKU name_GOM]=$A9)*(Data[SKU name_NHẬP_GOM]=CY$3)),SUMPRODUCT(Data[Nhập-SPC+SPP-NX]*(Data[Year]=CY$1)*(Data[Month]=CY$2)*(Data[Main SKU name_GOM]=$A9)*(Data[SKU name_NHẬP_GOM]=CY$3)))</f>
        <v>0</v>
      </c>
      <c r="CZ9" s="8" cm="1">
        <f t="array" ref="CZ9">IF(CZ$2="FY",SUMPRODUCT(Data[Nhập-SPC+SPP-NX]*(Data[Year]=CZ$1)*(Data[Main SKU name_GOM]=$A9)*(Data[SKU name_NHẬP_GOM]=CZ$3)),SUMPRODUCT(Data[Nhập-SPC+SPP-NX]*(Data[Year]=CZ$1)*(Data[Month]=CZ$2)*(Data[Main SKU name_GOM]=$A9)*(Data[SKU name_NHẬP_GOM]=CZ$3)))</f>
        <v>0</v>
      </c>
      <c r="DA9" s="8" cm="1">
        <f t="array" ref="DA9">IF(DA$2="FY",SUMPRODUCT(Data[Nhập-SPC+SPP-NX]*(Data[Year]=DA$1)*(Data[Main SKU name_GOM]=$A9)*(Data[SKU name_NHẬP_GOM]=DA$3)),SUMPRODUCT(Data[Nhập-SPC+SPP-NX]*(Data[Year]=DA$1)*(Data[Month]=DA$2)*(Data[Main SKU name_GOM]=$A9)*(Data[SKU name_NHẬP_GOM]=DA$3)))</f>
        <v>0</v>
      </c>
      <c r="DB9" s="8" cm="1">
        <f t="array" ref="DB9">IF(DB$2="FY",SUMPRODUCT(Data[Nhập-SPC+SPP-NX]*(Data[Year]=DB$1)*(Data[Main SKU name_GOM]=$A9)*(Data[SKU name_NHẬP_GOM]=DB$3)),SUMPRODUCT(Data[Nhập-SPC+SPP-NX]*(Data[Year]=DB$1)*(Data[Month]=DB$2)*(Data[Main SKU name_GOM]=$A9)*(Data[SKU name_NHẬP_GOM]=DB$3)))</f>
        <v>0</v>
      </c>
      <c r="DC9" s="8" cm="1">
        <f t="array" ref="DC9">IF(DC$2="FY",SUMPRODUCT(Data[Nhập-SPC+SPP-NX]*(Data[Year]=DC$1)*(Data[Main SKU name_GOM]=$A9)*(Data[SKU name_NHẬP_GOM]=DC$3)),SUMPRODUCT(Data[Nhập-SPC+SPP-NX]*(Data[Year]=DC$1)*(Data[Month]=DC$2)*(Data[Main SKU name_GOM]=$A9)*(Data[SKU name_NHẬP_GOM]=DC$3)))</f>
        <v>0</v>
      </c>
      <c r="DD9" s="8" cm="1">
        <f t="array" ref="DD9">IF(DD$2="FY",SUMPRODUCT(Data[Nhập-SPC+SPP-NX]*(Data[Year]=DD$1)*(Data[Main SKU name_GOM]=$A9)*(Data[SKU name_NHẬP_GOM]=DD$3)),SUMPRODUCT(Data[Nhập-SPC+SPP-NX]*(Data[Year]=DD$1)*(Data[Month]=DD$2)*(Data[Main SKU name_GOM]=$A9)*(Data[SKU name_NHẬP_GOM]=DD$3)))</f>
        <v>0</v>
      </c>
      <c r="DE9" s="8" cm="1">
        <f t="array" ref="DE9">IF(DE$2="FY",SUMPRODUCT(Data[Nhập-SPC+SPP-NX]*(Data[Year]=DE$1)*(Data[Main SKU name_GOM]=$A9)*(Data[SKU name_NHẬP_GOM]=DE$3)),SUMPRODUCT(Data[Nhập-SPC+SPP-NX]*(Data[Year]=DE$1)*(Data[Month]=DE$2)*(Data[Main SKU name_GOM]=$A9)*(Data[SKU name_NHẬP_GOM]=DE$3)))</f>
        <v>0</v>
      </c>
      <c r="DF9" s="8">
        <f t="shared" si="8"/>
        <v>0</v>
      </c>
      <c r="DH9" s="8" cm="1">
        <f t="array" ref="DH9">IF(DH$2="FY",SUMPRODUCT(Data[Nhập-SPC+SPP-NX]*(Data[Year]=DH$1)*(Data[Main SKU name_GOM]=$A9)*(Data[SKU name_NHẬP_GOM]=DH$3)),SUMPRODUCT(Data[Nhập-SPC+SPP-NX]*(Data[Year]=DH$1)*(Data[Month]=DH$2)*(Data[Main SKU name_GOM]=$A9)*(Data[SKU name_NHẬP_GOM]=DH$3)))</f>
        <v>0</v>
      </c>
      <c r="DI9" s="8" cm="1">
        <f t="array" ref="DI9">IF(DI$2="FY",SUMPRODUCT(Data[Nhập-SPC+SPP-NX]*(Data[Year]=DI$1)*(Data[Main SKU name_GOM]=$A9)*(Data[SKU name_NHẬP_GOM]=DI$3)),SUMPRODUCT(Data[Nhập-SPC+SPP-NX]*(Data[Year]=DI$1)*(Data[Month]=DI$2)*(Data[Main SKU name_GOM]=$A9)*(Data[SKU name_NHẬP_GOM]=DI$3)))</f>
        <v>0</v>
      </c>
      <c r="DJ9" s="8" cm="1">
        <f t="array" ref="DJ9">IF(DJ$2="FY",SUMPRODUCT(Data[Nhập-SPC+SPP-NX]*(Data[Year]=DJ$1)*(Data[Main SKU name_GOM]=$A9)*(Data[SKU name_NHẬP_GOM]=DJ$3)),SUMPRODUCT(Data[Nhập-SPC+SPP-NX]*(Data[Year]=DJ$1)*(Data[Month]=DJ$2)*(Data[Main SKU name_GOM]=$A9)*(Data[SKU name_NHẬP_GOM]=DJ$3)))</f>
        <v>0</v>
      </c>
      <c r="DK9" s="8" cm="1">
        <f t="array" ref="DK9">IF(DK$2="FY",SUMPRODUCT(Data[Nhập-SPC+SPP-NX]*(Data[Year]=DK$1)*(Data[Main SKU name_GOM]=$A9)*(Data[SKU name_NHẬP_GOM]=DK$3)),SUMPRODUCT(Data[Nhập-SPC+SPP-NX]*(Data[Year]=DK$1)*(Data[Month]=DK$2)*(Data[Main SKU name_GOM]=$A9)*(Data[SKU name_NHẬP_GOM]=DK$3)))</f>
        <v>0</v>
      </c>
      <c r="DL9" s="8" cm="1">
        <f t="array" ref="DL9">IF(DL$2="FY",SUMPRODUCT(Data[Nhập-SPC+SPP-NX]*(Data[Year]=DL$1)*(Data[Main SKU name_GOM]=$A9)*(Data[SKU name_NHẬP_GOM]=DL$3)),SUMPRODUCT(Data[Nhập-SPC+SPP-NX]*(Data[Year]=DL$1)*(Data[Month]=DL$2)*(Data[Main SKU name_GOM]=$A9)*(Data[SKU name_NHẬP_GOM]=DL$3)))</f>
        <v>0</v>
      </c>
      <c r="DM9" s="8" cm="1">
        <f t="array" ref="DM9">IF(DM$2="FY",SUMPRODUCT(Data[Nhập-SPC+SPP-NX]*(Data[Year]=DM$1)*(Data[Main SKU name_GOM]=$A9)*(Data[SKU name_NHẬP_GOM]=DM$3)),SUMPRODUCT(Data[Nhập-SPC+SPP-NX]*(Data[Year]=DM$1)*(Data[Month]=DM$2)*(Data[Main SKU name_GOM]=$A9)*(Data[SKU name_NHẬP_GOM]=DM$3)))</f>
        <v>0</v>
      </c>
      <c r="DN9" s="8" cm="1">
        <f t="array" ref="DN9">IF(DN$2="FY",SUMPRODUCT(Data[Nhập-SPC+SPP-NX]*(Data[Year]=DN$1)*(Data[Main SKU name_GOM]=$A9)*(Data[SKU name_NHẬP_GOM]=DN$3)),SUMPRODUCT(Data[Nhập-SPC+SPP-NX]*(Data[Year]=DN$1)*(Data[Month]=DN$2)*(Data[Main SKU name_GOM]=$A9)*(Data[SKU name_NHẬP_GOM]=DN$3)))</f>
        <v>0</v>
      </c>
      <c r="DO9" s="8" cm="1">
        <f t="array" ref="DO9">IF(DO$2="FY",SUMPRODUCT(Data[Nhập-SPC+SPP-NX]*(Data[Year]=DO$1)*(Data[Main SKU name_GOM]=$A9)*(Data[SKU name_NHẬP_GOM]=DO$3)),SUMPRODUCT(Data[Nhập-SPC+SPP-NX]*(Data[Year]=DO$1)*(Data[Month]=DO$2)*(Data[Main SKU name_GOM]=$A9)*(Data[SKU name_NHẬP_GOM]=DO$3)))</f>
        <v>0</v>
      </c>
      <c r="DP9" s="8" cm="1">
        <f t="array" ref="DP9">IF(DP$2="FY",SUMPRODUCT(Data[Nhập-SPC+SPP-NX]*(Data[Year]=DP$1)*(Data[Main SKU name_GOM]=$A9)*(Data[SKU name_NHẬP_GOM]=DP$3)),SUMPRODUCT(Data[Nhập-SPC+SPP-NX]*(Data[Year]=DP$1)*(Data[Month]=DP$2)*(Data[Main SKU name_GOM]=$A9)*(Data[SKU name_NHẬP_GOM]=DP$3)))</f>
        <v>0</v>
      </c>
      <c r="DQ9" s="8" cm="1">
        <f t="array" ref="DQ9">IF(DQ$2="FY",SUMPRODUCT(Data[Nhập-SPC+SPP-NX]*(Data[Year]=DQ$1)*(Data[Main SKU name_GOM]=$A9)*(Data[SKU name_NHẬP_GOM]=DQ$3)),SUMPRODUCT(Data[Nhập-SPC+SPP-NX]*(Data[Year]=DQ$1)*(Data[Month]=DQ$2)*(Data[Main SKU name_GOM]=$A9)*(Data[SKU name_NHẬP_GOM]=DQ$3)))</f>
        <v>0</v>
      </c>
      <c r="DR9" s="8">
        <f t="shared" si="9"/>
        <v>0</v>
      </c>
      <c r="DT9" s="8" cm="1">
        <f t="array" ref="DT9">IF(DT$2="FY",SUMPRODUCT(Data[Nhập-SPC+SPP-NX]*(Data[Year]=DT$1)*(Data[Main SKU name_GOM]=$A9)*(Data[SKU name_NHẬP_GOM]=DT$3)),SUMPRODUCT(Data[Nhập-SPC+SPP-NX]*(Data[Year]=DT$1)*(Data[Month]=DT$2)*(Data[Main SKU name_GOM]=$A9)*(Data[SKU name_NHẬP_GOM]=DT$3)))</f>
        <v>0</v>
      </c>
      <c r="DU9" s="8" cm="1">
        <f t="array" ref="DU9">IF(DU$2="FY",SUMPRODUCT(Data[Nhập-SPC+SPP-NX]*(Data[Year]=DU$1)*(Data[Main SKU name_GOM]=$A9)*(Data[SKU name_NHẬP_GOM]=DU$3)),SUMPRODUCT(Data[Nhập-SPC+SPP-NX]*(Data[Year]=DU$1)*(Data[Month]=DU$2)*(Data[Main SKU name_GOM]=$A9)*(Data[SKU name_NHẬP_GOM]=DU$3)))</f>
        <v>0</v>
      </c>
      <c r="DV9" s="8" cm="1">
        <f t="array" ref="DV9">IF(DV$2="FY",SUMPRODUCT(Data[Nhập-SPC+SPP-NX]*(Data[Year]=DV$1)*(Data[Main SKU name_GOM]=$A9)*(Data[SKU name_NHẬP_GOM]=DV$3)),SUMPRODUCT(Data[Nhập-SPC+SPP-NX]*(Data[Year]=DV$1)*(Data[Month]=DV$2)*(Data[Main SKU name_GOM]=$A9)*(Data[SKU name_NHẬP_GOM]=DV$3)))</f>
        <v>0</v>
      </c>
      <c r="DW9" s="8" cm="1">
        <f t="array" ref="DW9">IF(DW$2="FY",SUMPRODUCT(Data[Nhập-SPC+SPP-NX]*(Data[Year]=DW$1)*(Data[Main SKU name_GOM]=$A9)*(Data[SKU name_NHẬP_GOM]=DW$3)),SUMPRODUCT(Data[Nhập-SPC+SPP-NX]*(Data[Year]=DW$1)*(Data[Month]=DW$2)*(Data[Main SKU name_GOM]=$A9)*(Data[SKU name_NHẬP_GOM]=DW$3)))</f>
        <v>0</v>
      </c>
      <c r="DX9" s="8" cm="1">
        <f t="array" ref="DX9">IF(DX$2="FY",SUMPRODUCT(Data[Nhập-SPC+SPP-NX]*(Data[Year]=DX$1)*(Data[Main SKU name_GOM]=$A9)*(Data[SKU name_NHẬP_GOM]=DX$3)),SUMPRODUCT(Data[Nhập-SPC+SPP-NX]*(Data[Year]=DX$1)*(Data[Month]=DX$2)*(Data[Main SKU name_GOM]=$A9)*(Data[SKU name_NHẬP_GOM]=DX$3)))</f>
        <v>0</v>
      </c>
      <c r="DY9" s="8" cm="1">
        <f t="array" ref="DY9">IF(DY$2="FY",SUMPRODUCT(Data[Nhập-SPC+SPP-NX]*(Data[Year]=DY$1)*(Data[Main SKU name_GOM]=$A9)*(Data[SKU name_NHẬP_GOM]=DY$3)),SUMPRODUCT(Data[Nhập-SPC+SPP-NX]*(Data[Year]=DY$1)*(Data[Month]=DY$2)*(Data[Main SKU name_GOM]=$A9)*(Data[SKU name_NHẬP_GOM]=DY$3)))</f>
        <v>0</v>
      </c>
      <c r="DZ9" s="8" cm="1">
        <f t="array" ref="DZ9">IF(DZ$2="FY",SUMPRODUCT(Data[Nhập-SPC+SPP-NX]*(Data[Year]=DZ$1)*(Data[Main SKU name_GOM]=$A9)*(Data[SKU name_NHẬP_GOM]=DZ$3)),SUMPRODUCT(Data[Nhập-SPC+SPP-NX]*(Data[Year]=DZ$1)*(Data[Month]=DZ$2)*(Data[Main SKU name_GOM]=$A9)*(Data[SKU name_NHẬP_GOM]=DZ$3)))</f>
        <v>0</v>
      </c>
      <c r="EA9" s="8" cm="1">
        <f t="array" ref="EA9">IF(EA$2="FY",SUMPRODUCT(Data[Nhập-SPC+SPP-NX]*(Data[Year]=EA$1)*(Data[Main SKU name_GOM]=$A9)*(Data[SKU name_NHẬP_GOM]=EA$3)),SUMPRODUCT(Data[Nhập-SPC+SPP-NX]*(Data[Year]=EA$1)*(Data[Month]=EA$2)*(Data[Main SKU name_GOM]=$A9)*(Data[SKU name_NHẬP_GOM]=EA$3)))</f>
        <v>0</v>
      </c>
      <c r="EB9" s="8" cm="1">
        <f t="array" ref="EB9">IF(EB$2="FY",SUMPRODUCT(Data[Nhập-SPC+SPP-NX]*(Data[Year]=EB$1)*(Data[Main SKU name_GOM]=$A9)*(Data[SKU name_NHẬP_GOM]=EB$3)),SUMPRODUCT(Data[Nhập-SPC+SPP-NX]*(Data[Year]=EB$1)*(Data[Month]=EB$2)*(Data[Main SKU name_GOM]=$A9)*(Data[SKU name_NHẬP_GOM]=EB$3)))</f>
        <v>0</v>
      </c>
      <c r="EC9" s="8" cm="1">
        <f t="array" ref="EC9">IF(EC$2="FY",SUMPRODUCT(Data[Nhập-SPC+SPP-NX]*(Data[Year]=EC$1)*(Data[Main SKU name_GOM]=$A9)*(Data[SKU name_NHẬP_GOM]=EC$3)),SUMPRODUCT(Data[Nhập-SPC+SPP-NX]*(Data[Year]=EC$1)*(Data[Month]=EC$2)*(Data[Main SKU name_GOM]=$A9)*(Data[SKU name_NHẬP_GOM]=EC$3)))</f>
        <v>0</v>
      </c>
      <c r="ED9" s="8">
        <f t="shared" si="10"/>
        <v>0</v>
      </c>
      <c r="EF9" s="8" cm="1">
        <f t="array" ref="EF9">IF(EF$2="FY",SUMPRODUCT(Data[Nhập-SPC+SPP-NX]*(Data[Year]=EF$1)*(Data[Main SKU name_GOM]=$A9)*(Data[SKU name_NHẬP_GOM]=EF$3)),SUMPRODUCT(Data[Nhập-SPC+SPP-NX]*(Data[Year]=EF$1)*(Data[Month]=EF$2)*(Data[Main SKU name_GOM]=$A9)*(Data[SKU name_NHẬP_GOM]=EF$3)))</f>
        <v>0</v>
      </c>
      <c r="EG9" s="8" cm="1">
        <f t="array" ref="EG9">IF(EG$2="FY",SUMPRODUCT(Data[Nhập-SPC+SPP-NX]*(Data[Year]=EG$1)*(Data[Main SKU name_GOM]=$A9)*(Data[SKU name_NHẬP_GOM]=EG$3)),SUMPRODUCT(Data[Nhập-SPC+SPP-NX]*(Data[Year]=EG$1)*(Data[Month]=EG$2)*(Data[Main SKU name_GOM]=$A9)*(Data[SKU name_NHẬP_GOM]=EG$3)))</f>
        <v>0</v>
      </c>
      <c r="EH9" s="8" cm="1">
        <f t="array" ref="EH9">IF(EH$2="FY",SUMPRODUCT(Data[Nhập-SPC+SPP-NX]*(Data[Year]=EH$1)*(Data[Main SKU name_GOM]=$A9)*(Data[SKU name_NHẬP_GOM]=EH$3)),SUMPRODUCT(Data[Nhập-SPC+SPP-NX]*(Data[Year]=EH$1)*(Data[Month]=EH$2)*(Data[Main SKU name_GOM]=$A9)*(Data[SKU name_NHẬP_GOM]=EH$3)))</f>
        <v>0</v>
      </c>
      <c r="EI9" s="8" cm="1">
        <f t="array" ref="EI9">IF(EI$2="FY",SUMPRODUCT(Data[Nhập-SPC+SPP-NX]*(Data[Year]=EI$1)*(Data[Main SKU name_GOM]=$A9)*(Data[SKU name_NHẬP_GOM]=EI$3)),SUMPRODUCT(Data[Nhập-SPC+SPP-NX]*(Data[Year]=EI$1)*(Data[Month]=EI$2)*(Data[Main SKU name_GOM]=$A9)*(Data[SKU name_NHẬP_GOM]=EI$3)))</f>
        <v>0</v>
      </c>
      <c r="EJ9" s="8" cm="1">
        <f t="array" ref="EJ9">IF(EJ$2="FY",SUMPRODUCT(Data[Nhập-SPC+SPP-NX]*(Data[Year]=EJ$1)*(Data[Main SKU name_GOM]=$A9)*(Data[SKU name_NHẬP_GOM]=EJ$3)),SUMPRODUCT(Data[Nhập-SPC+SPP-NX]*(Data[Year]=EJ$1)*(Data[Month]=EJ$2)*(Data[Main SKU name_GOM]=$A9)*(Data[SKU name_NHẬP_GOM]=EJ$3)))</f>
        <v>0</v>
      </c>
      <c r="EK9" s="8" cm="1">
        <f t="array" ref="EK9">IF(EK$2="FY",SUMPRODUCT(Data[Nhập-SPC+SPP-NX]*(Data[Year]=EK$1)*(Data[Main SKU name_GOM]=$A9)*(Data[SKU name_NHẬP_GOM]=EK$3)),SUMPRODUCT(Data[Nhập-SPC+SPP-NX]*(Data[Year]=EK$1)*(Data[Month]=EK$2)*(Data[Main SKU name_GOM]=$A9)*(Data[SKU name_NHẬP_GOM]=EK$3)))</f>
        <v>0</v>
      </c>
      <c r="EL9" s="8" cm="1">
        <f t="array" ref="EL9">IF(EL$2="FY",SUMPRODUCT(Data[Nhập-SPC+SPP-NX]*(Data[Year]=EL$1)*(Data[Main SKU name_GOM]=$A9)*(Data[SKU name_NHẬP_GOM]=EL$3)),SUMPRODUCT(Data[Nhập-SPC+SPP-NX]*(Data[Year]=EL$1)*(Data[Month]=EL$2)*(Data[Main SKU name_GOM]=$A9)*(Data[SKU name_NHẬP_GOM]=EL$3)))</f>
        <v>0</v>
      </c>
      <c r="EM9" s="8" cm="1">
        <f t="array" ref="EM9">IF(EM$2="FY",SUMPRODUCT(Data[Nhập-SPC+SPP-NX]*(Data[Year]=EM$1)*(Data[Main SKU name_GOM]=$A9)*(Data[SKU name_NHẬP_GOM]=EM$3)),SUMPRODUCT(Data[Nhập-SPC+SPP-NX]*(Data[Year]=EM$1)*(Data[Month]=EM$2)*(Data[Main SKU name_GOM]=$A9)*(Data[SKU name_NHẬP_GOM]=EM$3)))</f>
        <v>0</v>
      </c>
      <c r="EN9" s="8" cm="1">
        <f t="array" ref="EN9">IF(EN$2="FY",SUMPRODUCT(Data[Nhập-SPC+SPP-NX]*(Data[Year]=EN$1)*(Data[Main SKU name_GOM]=$A9)*(Data[SKU name_NHẬP_GOM]=EN$3)),SUMPRODUCT(Data[Nhập-SPC+SPP-NX]*(Data[Year]=EN$1)*(Data[Month]=EN$2)*(Data[Main SKU name_GOM]=$A9)*(Data[SKU name_NHẬP_GOM]=EN$3)))</f>
        <v>0</v>
      </c>
      <c r="EO9" s="8" cm="1">
        <f t="array" ref="EO9">IF(EO$2="FY",SUMPRODUCT(Data[Nhập-SPC+SPP-NX]*(Data[Year]=EO$1)*(Data[Main SKU name_GOM]=$A9)*(Data[SKU name_NHẬP_GOM]=EO$3)),SUMPRODUCT(Data[Nhập-SPC+SPP-NX]*(Data[Year]=EO$1)*(Data[Month]=EO$2)*(Data[Main SKU name_GOM]=$A9)*(Data[SKU name_NHẬP_GOM]=EO$3)))</f>
        <v>0</v>
      </c>
      <c r="EP9" s="8">
        <f t="shared" si="11"/>
        <v>0</v>
      </c>
      <c r="ER9" s="8" cm="1">
        <f t="array" ref="ER9">IF(ER$2="FY",SUMPRODUCT(Data[Nhập-SPC+SPP-NX]*(Data[Year]=ER$1)*(Data[Main SKU name_GOM]=$A9)*(Data[SKU name_NHẬP_GOM]=ER$3)),SUMPRODUCT(Data[Nhập-SPC+SPP-NX]*(Data[Year]=ER$1)*(Data[Month]=ER$2)*(Data[Main SKU name_GOM]=$A9)*(Data[SKU name_NHẬP_GOM]=ER$3)))</f>
        <v>0</v>
      </c>
      <c r="ES9" s="8" cm="1">
        <f t="array" ref="ES9">IF(ES$2="FY",SUMPRODUCT(Data[Nhập-SPC+SPP-NX]*(Data[Year]=ES$1)*(Data[Main SKU name_GOM]=$A9)*(Data[SKU name_NHẬP_GOM]=ES$3)),SUMPRODUCT(Data[Nhập-SPC+SPP-NX]*(Data[Year]=ES$1)*(Data[Month]=ES$2)*(Data[Main SKU name_GOM]=$A9)*(Data[SKU name_NHẬP_GOM]=ES$3)))</f>
        <v>0</v>
      </c>
      <c r="ET9" s="8" cm="1">
        <f t="array" ref="ET9">IF(ET$2="FY",SUMPRODUCT(Data[Nhập-SPC+SPP-NX]*(Data[Year]=ET$1)*(Data[Main SKU name_GOM]=$A9)*(Data[SKU name_NHẬP_GOM]=ET$3)),SUMPRODUCT(Data[Nhập-SPC+SPP-NX]*(Data[Year]=ET$1)*(Data[Month]=ET$2)*(Data[Main SKU name_GOM]=$A9)*(Data[SKU name_NHẬP_GOM]=ET$3)))</f>
        <v>0</v>
      </c>
      <c r="EU9" s="8" cm="1">
        <f t="array" ref="EU9">IF(EU$2="FY",SUMPRODUCT(Data[Nhập-SPC+SPP-NX]*(Data[Year]=EU$1)*(Data[Main SKU name_GOM]=$A9)*(Data[SKU name_NHẬP_GOM]=EU$3)),SUMPRODUCT(Data[Nhập-SPC+SPP-NX]*(Data[Year]=EU$1)*(Data[Month]=EU$2)*(Data[Main SKU name_GOM]=$A9)*(Data[SKU name_NHẬP_GOM]=EU$3)))</f>
        <v>0</v>
      </c>
      <c r="EV9" s="8" cm="1">
        <f t="array" ref="EV9">IF(EV$2="FY",SUMPRODUCT(Data[Nhập-SPC+SPP-NX]*(Data[Year]=EV$1)*(Data[Main SKU name_GOM]=$A9)*(Data[SKU name_NHẬP_GOM]=EV$3)),SUMPRODUCT(Data[Nhập-SPC+SPP-NX]*(Data[Year]=EV$1)*(Data[Month]=EV$2)*(Data[Main SKU name_GOM]=$A9)*(Data[SKU name_NHẬP_GOM]=EV$3)))</f>
        <v>0</v>
      </c>
      <c r="EW9" s="8" cm="1">
        <f t="array" ref="EW9">IF(EW$2="FY",SUMPRODUCT(Data[Nhập-SPC+SPP-NX]*(Data[Year]=EW$1)*(Data[Main SKU name_GOM]=$A9)*(Data[SKU name_NHẬP_GOM]=EW$3)),SUMPRODUCT(Data[Nhập-SPC+SPP-NX]*(Data[Year]=EW$1)*(Data[Month]=EW$2)*(Data[Main SKU name_GOM]=$A9)*(Data[SKU name_NHẬP_GOM]=EW$3)))</f>
        <v>0</v>
      </c>
      <c r="EX9" s="8" cm="1">
        <f t="array" ref="EX9">IF(EX$2="FY",SUMPRODUCT(Data[Nhập-SPC+SPP-NX]*(Data[Year]=EX$1)*(Data[Main SKU name_GOM]=$A9)*(Data[SKU name_NHẬP_GOM]=EX$3)),SUMPRODUCT(Data[Nhập-SPC+SPP-NX]*(Data[Year]=EX$1)*(Data[Month]=EX$2)*(Data[Main SKU name_GOM]=$A9)*(Data[SKU name_NHẬP_GOM]=EX$3)))</f>
        <v>0</v>
      </c>
      <c r="EY9" s="8" cm="1">
        <f t="array" ref="EY9">IF(EY$2="FY",SUMPRODUCT(Data[Nhập-SPC+SPP-NX]*(Data[Year]=EY$1)*(Data[Main SKU name_GOM]=$A9)*(Data[SKU name_NHẬP_GOM]=EY$3)),SUMPRODUCT(Data[Nhập-SPC+SPP-NX]*(Data[Year]=EY$1)*(Data[Month]=EY$2)*(Data[Main SKU name_GOM]=$A9)*(Data[SKU name_NHẬP_GOM]=EY$3)))</f>
        <v>0</v>
      </c>
      <c r="EZ9" s="8" cm="1">
        <f t="array" ref="EZ9">IF(EZ$2="FY",SUMPRODUCT(Data[Nhập-SPC+SPP-NX]*(Data[Year]=EZ$1)*(Data[Main SKU name_GOM]=$A9)*(Data[SKU name_NHẬP_GOM]=EZ$3)),SUMPRODUCT(Data[Nhập-SPC+SPP-NX]*(Data[Year]=EZ$1)*(Data[Month]=EZ$2)*(Data[Main SKU name_GOM]=$A9)*(Data[SKU name_NHẬP_GOM]=EZ$3)))</f>
        <v>0</v>
      </c>
      <c r="FA9" s="8" cm="1">
        <f t="array" ref="FA9">IF(FA$2="FY",SUMPRODUCT(Data[Nhập-SPC+SPP-NX]*(Data[Year]=FA$1)*(Data[Main SKU name_GOM]=$A9)*(Data[SKU name_NHẬP_GOM]=FA$3)),SUMPRODUCT(Data[Nhập-SPC+SPP-NX]*(Data[Year]=FA$1)*(Data[Month]=FA$2)*(Data[Main SKU name_GOM]=$A9)*(Data[SKU name_NHẬP_GOM]=FA$3)))</f>
        <v>0</v>
      </c>
      <c r="FB9" s="8">
        <f t="shared" si="12"/>
        <v>0</v>
      </c>
    </row>
    <row r="10" spans="1:158" s="1" customFormat="1" ht="15" thickBot="1" x14ac:dyDescent="0.4">
      <c r="A10" s="6"/>
      <c r="B10" s="7" t="s">
        <v>78</v>
      </c>
      <c r="D10" s="9">
        <f>SUM(D6:D9)</f>
        <v>2068000</v>
      </c>
      <c r="E10" s="9">
        <f t="shared" ref="E10:N10" si="13">SUM(E6:E9)</f>
        <v>896500</v>
      </c>
      <c r="F10" s="9">
        <f t="shared" si="13"/>
        <v>6926700</v>
      </c>
      <c r="G10" s="9">
        <f t="shared" si="13"/>
        <v>0</v>
      </c>
      <c r="H10" s="9">
        <f t="shared" si="13"/>
        <v>1838100</v>
      </c>
      <c r="I10" s="9">
        <f t="shared" si="13"/>
        <v>2200</v>
      </c>
      <c r="J10" s="9">
        <f t="shared" si="13"/>
        <v>35200</v>
      </c>
      <c r="K10" s="9">
        <f t="shared" si="13"/>
        <v>57200</v>
      </c>
      <c r="L10" s="9">
        <f t="shared" si="13"/>
        <v>56072.25</v>
      </c>
      <c r="M10" s="9">
        <f t="shared" si="13"/>
        <v>0</v>
      </c>
      <c r="N10" s="9">
        <f t="shared" si="13"/>
        <v>11879972.25</v>
      </c>
      <c r="P10" s="9">
        <f>SUM(P6:P9)</f>
        <v>301399.99999999994</v>
      </c>
      <c r="Q10" s="9">
        <f t="shared" ref="Q10:Z10" si="14">SUM(Q6:Q9)</f>
        <v>1100</v>
      </c>
      <c r="R10" s="9">
        <f t="shared" si="14"/>
        <v>1846899.9999999995</v>
      </c>
      <c r="S10" s="9">
        <f t="shared" si="14"/>
        <v>0</v>
      </c>
      <c r="T10" s="9">
        <f t="shared" si="14"/>
        <v>419100</v>
      </c>
      <c r="U10" s="9">
        <f t="shared" si="14"/>
        <v>0</v>
      </c>
      <c r="V10" s="9">
        <f t="shared" si="14"/>
        <v>4400</v>
      </c>
      <c r="W10" s="9">
        <f t="shared" si="14"/>
        <v>13200</v>
      </c>
      <c r="X10" s="9">
        <f t="shared" si="14"/>
        <v>9872.25</v>
      </c>
      <c r="Y10" s="9">
        <f t="shared" si="14"/>
        <v>0</v>
      </c>
      <c r="Z10" s="9">
        <f t="shared" si="14"/>
        <v>2595972.2499999995</v>
      </c>
      <c r="AB10" s="9">
        <f>SUM(AB6:AB9)</f>
        <v>300300</v>
      </c>
      <c r="AC10" s="9">
        <f t="shared" ref="AC10:AL10" si="15">SUM(AC6:AC9)</f>
        <v>115500</v>
      </c>
      <c r="AD10" s="9">
        <f t="shared" si="15"/>
        <v>717200.00000000012</v>
      </c>
      <c r="AE10" s="9">
        <f t="shared" si="15"/>
        <v>0</v>
      </c>
      <c r="AF10" s="9">
        <f t="shared" si="15"/>
        <v>34100</v>
      </c>
      <c r="AG10" s="9">
        <f t="shared" si="15"/>
        <v>0</v>
      </c>
      <c r="AH10" s="9">
        <f t="shared" si="15"/>
        <v>5500</v>
      </c>
      <c r="AI10" s="9">
        <f t="shared" si="15"/>
        <v>31900</v>
      </c>
      <c r="AJ10" s="9">
        <f t="shared" si="15"/>
        <v>9900</v>
      </c>
      <c r="AK10" s="9">
        <f t="shared" si="15"/>
        <v>0</v>
      </c>
      <c r="AL10" s="9">
        <f t="shared" si="15"/>
        <v>1214400</v>
      </c>
      <c r="AN10" s="9">
        <f>SUM(AN6:AN9)</f>
        <v>616000</v>
      </c>
      <c r="AO10" s="9">
        <f t="shared" ref="AO10:AX10" si="16">SUM(AO6:AO9)</f>
        <v>733700</v>
      </c>
      <c r="AP10" s="9">
        <f t="shared" si="16"/>
        <v>2333100</v>
      </c>
      <c r="AQ10" s="9">
        <f t="shared" si="16"/>
        <v>0</v>
      </c>
      <c r="AR10" s="9">
        <f t="shared" si="16"/>
        <v>301400</v>
      </c>
      <c r="AS10" s="9">
        <f t="shared" si="16"/>
        <v>0</v>
      </c>
      <c r="AT10" s="9">
        <f t="shared" si="16"/>
        <v>23100</v>
      </c>
      <c r="AU10" s="9">
        <f t="shared" si="16"/>
        <v>6600</v>
      </c>
      <c r="AV10" s="9">
        <f t="shared" si="16"/>
        <v>26400</v>
      </c>
      <c r="AW10" s="9">
        <f t="shared" si="16"/>
        <v>0</v>
      </c>
      <c r="AX10" s="9">
        <f t="shared" si="16"/>
        <v>4040300</v>
      </c>
      <c r="AZ10" s="9">
        <f>SUM(AZ6:AZ9)</f>
        <v>850300.00000000012</v>
      </c>
      <c r="BA10" s="9">
        <f t="shared" ref="BA10:BJ10" si="17">SUM(BA6:BA9)</f>
        <v>46199.999999999993</v>
      </c>
      <c r="BB10" s="9">
        <f t="shared" si="17"/>
        <v>2029500.0000000005</v>
      </c>
      <c r="BC10" s="9">
        <f t="shared" si="17"/>
        <v>0</v>
      </c>
      <c r="BD10" s="9">
        <f t="shared" si="17"/>
        <v>1083500</v>
      </c>
      <c r="BE10" s="9">
        <f t="shared" si="17"/>
        <v>2200</v>
      </c>
      <c r="BF10" s="9">
        <f t="shared" si="17"/>
        <v>2200</v>
      </c>
      <c r="BG10" s="9">
        <f t="shared" si="17"/>
        <v>5500.0000000000009</v>
      </c>
      <c r="BH10" s="9">
        <f t="shared" si="17"/>
        <v>9900</v>
      </c>
      <c r="BI10" s="9">
        <f t="shared" si="17"/>
        <v>0</v>
      </c>
      <c r="BJ10" s="9">
        <f t="shared" si="17"/>
        <v>4029300.0000000005</v>
      </c>
      <c r="BL10" s="9">
        <f>SUM(BL6:BL9)</f>
        <v>0</v>
      </c>
      <c r="BM10" s="9">
        <f t="shared" ref="BM10:BV10" si="18">SUM(BM6:BM9)</f>
        <v>0</v>
      </c>
      <c r="BN10" s="9">
        <f t="shared" si="18"/>
        <v>0</v>
      </c>
      <c r="BO10" s="9">
        <f t="shared" si="18"/>
        <v>0</v>
      </c>
      <c r="BP10" s="9">
        <f t="shared" si="18"/>
        <v>0</v>
      </c>
      <c r="BQ10" s="9">
        <f t="shared" si="18"/>
        <v>0</v>
      </c>
      <c r="BR10" s="9">
        <f t="shared" si="18"/>
        <v>0</v>
      </c>
      <c r="BS10" s="9">
        <f t="shared" si="18"/>
        <v>0</v>
      </c>
      <c r="BT10" s="9">
        <f t="shared" si="18"/>
        <v>0</v>
      </c>
      <c r="BU10" s="9">
        <f t="shared" si="18"/>
        <v>0</v>
      </c>
      <c r="BV10" s="9">
        <f t="shared" si="18"/>
        <v>0</v>
      </c>
      <c r="BX10" s="9">
        <f>SUM(BX6:BX9)</f>
        <v>0</v>
      </c>
      <c r="BY10" s="9">
        <f t="shared" ref="BY10:CH10" si="19">SUM(BY6:BY9)</f>
        <v>0</v>
      </c>
      <c r="BZ10" s="9">
        <f t="shared" si="19"/>
        <v>0</v>
      </c>
      <c r="CA10" s="9">
        <f t="shared" si="19"/>
        <v>0</v>
      </c>
      <c r="CB10" s="9">
        <f t="shared" si="19"/>
        <v>0</v>
      </c>
      <c r="CC10" s="9">
        <f t="shared" si="19"/>
        <v>0</v>
      </c>
      <c r="CD10" s="9">
        <f t="shared" si="19"/>
        <v>0</v>
      </c>
      <c r="CE10" s="9">
        <f t="shared" si="19"/>
        <v>0</v>
      </c>
      <c r="CF10" s="9">
        <f t="shared" si="19"/>
        <v>0</v>
      </c>
      <c r="CG10" s="9">
        <f t="shared" si="19"/>
        <v>0</v>
      </c>
      <c r="CH10" s="9">
        <f t="shared" si="19"/>
        <v>0</v>
      </c>
      <c r="CJ10" s="9">
        <f>SUM(CJ6:CJ9)</f>
        <v>0</v>
      </c>
      <c r="CK10" s="9">
        <f t="shared" ref="CK10:CT10" si="20">SUM(CK6:CK9)</f>
        <v>0</v>
      </c>
      <c r="CL10" s="9">
        <f t="shared" si="20"/>
        <v>0</v>
      </c>
      <c r="CM10" s="9">
        <f t="shared" si="20"/>
        <v>0</v>
      </c>
      <c r="CN10" s="9">
        <f t="shared" si="20"/>
        <v>0</v>
      </c>
      <c r="CO10" s="9">
        <f t="shared" si="20"/>
        <v>0</v>
      </c>
      <c r="CP10" s="9">
        <f t="shared" si="20"/>
        <v>0</v>
      </c>
      <c r="CQ10" s="9">
        <f t="shared" si="20"/>
        <v>0</v>
      </c>
      <c r="CR10" s="9">
        <f t="shared" si="20"/>
        <v>0</v>
      </c>
      <c r="CS10" s="9">
        <f t="shared" si="20"/>
        <v>0</v>
      </c>
      <c r="CT10" s="9">
        <f t="shared" si="20"/>
        <v>0</v>
      </c>
      <c r="CV10" s="9">
        <f>SUM(CV6:CV9)</f>
        <v>0</v>
      </c>
      <c r="CW10" s="9">
        <f t="shared" ref="CW10:DF10" si="21">SUM(CW6:CW9)</f>
        <v>0</v>
      </c>
      <c r="CX10" s="9">
        <f t="shared" si="21"/>
        <v>0</v>
      </c>
      <c r="CY10" s="9">
        <f t="shared" si="21"/>
        <v>0</v>
      </c>
      <c r="CZ10" s="9">
        <f t="shared" si="21"/>
        <v>0</v>
      </c>
      <c r="DA10" s="9">
        <f t="shared" si="21"/>
        <v>0</v>
      </c>
      <c r="DB10" s="9">
        <f t="shared" si="21"/>
        <v>0</v>
      </c>
      <c r="DC10" s="9">
        <f t="shared" si="21"/>
        <v>0</v>
      </c>
      <c r="DD10" s="9">
        <f t="shared" si="21"/>
        <v>0</v>
      </c>
      <c r="DE10" s="9">
        <f t="shared" si="21"/>
        <v>0</v>
      </c>
      <c r="DF10" s="9">
        <f t="shared" si="21"/>
        <v>0</v>
      </c>
      <c r="DH10" s="9">
        <f>SUM(DH6:DH9)</f>
        <v>0</v>
      </c>
      <c r="DI10" s="9">
        <f t="shared" ref="DI10:DR10" si="22">SUM(DI6:DI9)</f>
        <v>0</v>
      </c>
      <c r="DJ10" s="9">
        <f t="shared" si="22"/>
        <v>0</v>
      </c>
      <c r="DK10" s="9">
        <f t="shared" si="22"/>
        <v>0</v>
      </c>
      <c r="DL10" s="9">
        <f t="shared" si="22"/>
        <v>0</v>
      </c>
      <c r="DM10" s="9">
        <f t="shared" si="22"/>
        <v>0</v>
      </c>
      <c r="DN10" s="9">
        <f t="shared" si="22"/>
        <v>0</v>
      </c>
      <c r="DO10" s="9">
        <f t="shared" si="22"/>
        <v>0</v>
      </c>
      <c r="DP10" s="9">
        <f t="shared" si="22"/>
        <v>0</v>
      </c>
      <c r="DQ10" s="9">
        <f t="shared" si="22"/>
        <v>0</v>
      </c>
      <c r="DR10" s="9">
        <f t="shared" si="22"/>
        <v>0</v>
      </c>
      <c r="DT10" s="9">
        <f>SUM(DT6:DT9)</f>
        <v>0</v>
      </c>
      <c r="DU10" s="9">
        <f t="shared" ref="DU10:ED10" si="23">SUM(DU6:DU9)</f>
        <v>0</v>
      </c>
      <c r="DV10" s="9">
        <f t="shared" si="23"/>
        <v>0</v>
      </c>
      <c r="DW10" s="9">
        <f t="shared" si="23"/>
        <v>0</v>
      </c>
      <c r="DX10" s="9">
        <f t="shared" si="23"/>
        <v>0</v>
      </c>
      <c r="DY10" s="9">
        <f t="shared" si="23"/>
        <v>0</v>
      </c>
      <c r="DZ10" s="9">
        <f t="shared" si="23"/>
        <v>0</v>
      </c>
      <c r="EA10" s="9">
        <f t="shared" si="23"/>
        <v>0</v>
      </c>
      <c r="EB10" s="9">
        <f t="shared" si="23"/>
        <v>0</v>
      </c>
      <c r="EC10" s="9">
        <f t="shared" si="23"/>
        <v>0</v>
      </c>
      <c r="ED10" s="9">
        <f t="shared" si="23"/>
        <v>0</v>
      </c>
      <c r="EF10" s="9">
        <f>SUM(EF6:EF9)</f>
        <v>0</v>
      </c>
      <c r="EG10" s="9">
        <f t="shared" ref="EG10:EP10" si="24">SUM(EG6:EG9)</f>
        <v>0</v>
      </c>
      <c r="EH10" s="9">
        <f t="shared" si="24"/>
        <v>0</v>
      </c>
      <c r="EI10" s="9">
        <f t="shared" si="24"/>
        <v>0</v>
      </c>
      <c r="EJ10" s="9">
        <f t="shared" si="24"/>
        <v>0</v>
      </c>
      <c r="EK10" s="9">
        <f t="shared" si="24"/>
        <v>0</v>
      </c>
      <c r="EL10" s="9">
        <f t="shared" si="24"/>
        <v>0</v>
      </c>
      <c r="EM10" s="9">
        <f t="shared" si="24"/>
        <v>0</v>
      </c>
      <c r="EN10" s="9">
        <f t="shared" si="24"/>
        <v>0</v>
      </c>
      <c r="EO10" s="9">
        <f t="shared" si="24"/>
        <v>0</v>
      </c>
      <c r="EP10" s="9">
        <f t="shared" si="24"/>
        <v>0</v>
      </c>
      <c r="ER10" s="9">
        <f>SUM(ER6:ER9)</f>
        <v>0</v>
      </c>
      <c r="ES10" s="9">
        <f t="shared" ref="ES10:FB10" si="25">SUM(ES6:ES9)</f>
        <v>0</v>
      </c>
      <c r="ET10" s="9">
        <f t="shared" si="25"/>
        <v>0</v>
      </c>
      <c r="EU10" s="9">
        <f t="shared" si="25"/>
        <v>0</v>
      </c>
      <c r="EV10" s="9">
        <f t="shared" si="25"/>
        <v>0</v>
      </c>
      <c r="EW10" s="9">
        <f t="shared" si="25"/>
        <v>0</v>
      </c>
      <c r="EX10" s="9">
        <f t="shared" si="25"/>
        <v>0</v>
      </c>
      <c r="EY10" s="9">
        <f t="shared" si="25"/>
        <v>0</v>
      </c>
      <c r="EZ10" s="9">
        <f t="shared" si="25"/>
        <v>0</v>
      </c>
      <c r="FA10" s="9">
        <f t="shared" si="25"/>
        <v>0</v>
      </c>
      <c r="FB10" s="9">
        <f t="shared" si="25"/>
        <v>0</v>
      </c>
    </row>
    <row r="13" spans="1:158" s="14" customFormat="1" ht="15" thickBot="1" x14ac:dyDescent="0.4">
      <c r="B13" s="15" t="s">
        <v>94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</row>
    <row r="14" spans="1:158" s="14" customFormat="1" x14ac:dyDescent="0.35">
      <c r="B14" s="14" t="s">
        <v>68</v>
      </c>
      <c r="D14" s="19">
        <f>IFERROR(D6/N6,0)</f>
        <v>0.9188660801564027</v>
      </c>
      <c r="E14" s="17">
        <f>IFERROR(E6/N6,0)</f>
        <v>1.8084066471163247E-2</v>
      </c>
      <c r="F14" s="17">
        <f>IFERROR(F6/N6,0)</f>
        <v>2.1016617790811338E-2</v>
      </c>
      <c r="G14" s="17">
        <f>IFERROR(G6/N6,0)</f>
        <v>0</v>
      </c>
      <c r="H14" s="17">
        <f>IFERROR(H6/N6,0)</f>
        <v>3.2258064516129031E-2</v>
      </c>
      <c r="I14" s="17">
        <f>IFERROR(I6/N6,0)</f>
        <v>9.7751710654936461E-4</v>
      </c>
      <c r="J14" s="17">
        <f>IFERROR(J6/N6,0)</f>
        <v>6.8426197458455523E-3</v>
      </c>
      <c r="K14" s="17">
        <f>IFERROR(K6/N6,0)</f>
        <v>0</v>
      </c>
      <c r="L14" s="17">
        <f>IFERROR(L6/N6,0)</f>
        <v>1.9550342130987292E-3</v>
      </c>
      <c r="M14" s="17">
        <f>IFERROR(M6/N6,0)</f>
        <v>0</v>
      </c>
      <c r="N14" s="29">
        <f>IFERROR(N6/N6,0)</f>
        <v>1</v>
      </c>
      <c r="P14" s="19">
        <f>IFERROR(P6/Z6,0)</f>
        <v>0.9072847682119205</v>
      </c>
      <c r="Q14" s="17">
        <f>IFERROR(Q6/Z6,0)</f>
        <v>3.3112582781456958E-3</v>
      </c>
      <c r="R14" s="17">
        <f>IFERROR(R6/Z6,0)</f>
        <v>0</v>
      </c>
      <c r="S14" s="17">
        <f>IFERROR(S6/Z6,0)</f>
        <v>0</v>
      </c>
      <c r="T14" s="17">
        <f>IFERROR(T6/Z6,0)</f>
        <v>8.2781456953642404E-2</v>
      </c>
      <c r="U14" s="17">
        <f>IFERROR(U6/Z6,0)</f>
        <v>0</v>
      </c>
      <c r="V14" s="17">
        <f>IFERROR(V6/Z6,0)</f>
        <v>6.6225165562913916E-3</v>
      </c>
      <c r="W14" s="17">
        <f>IFERROR(W6/Z6,0)</f>
        <v>0</v>
      </c>
      <c r="X14" s="17">
        <f>IFERROR(X6/Z6,0)</f>
        <v>0</v>
      </c>
      <c r="Y14" s="17">
        <f>IFERROR(Y6/Z6,0)</f>
        <v>0</v>
      </c>
      <c r="Z14" s="18">
        <f>IFERROR(Z6/Z6,0)</f>
        <v>1</v>
      </c>
      <c r="AB14" s="19">
        <f>IFERROR(AB6/AL6,0)</f>
        <v>0.84520123839009287</v>
      </c>
      <c r="AC14" s="17">
        <f>IFERROR(AC6/AL6,0)</f>
        <v>7.1207430340557279E-2</v>
      </c>
      <c r="AD14" s="17">
        <f>IFERROR(AD6/AL6,0)</f>
        <v>0</v>
      </c>
      <c r="AE14" s="17">
        <f>IFERROR(AE6/AL6,0)</f>
        <v>0</v>
      </c>
      <c r="AF14" s="17">
        <f>IFERROR(AF6/AL6,0)</f>
        <v>6.5015479876160992E-2</v>
      </c>
      <c r="AG14" s="17">
        <f>IFERROR(AG6/AL6,0)</f>
        <v>0</v>
      </c>
      <c r="AH14" s="17">
        <f>IFERROR(AH6/AL6,0)</f>
        <v>1.238390092879257E-2</v>
      </c>
      <c r="AI14" s="17">
        <f>IFERROR(AI6/AL6,0)</f>
        <v>0</v>
      </c>
      <c r="AJ14" s="17">
        <f>IFERROR(AJ6/AL6,0)</f>
        <v>6.1919504643962852E-3</v>
      </c>
      <c r="AK14" s="17">
        <f>IFERROR(AK6/AL6,0)</f>
        <v>0</v>
      </c>
      <c r="AL14" s="18">
        <f>IFERROR(AL6/AL6,0)</f>
        <v>1</v>
      </c>
      <c r="AN14" s="19">
        <f t="shared" ref="AN14:AN17" si="26">IFERROR(AN6/AX6,0)</f>
        <v>0.97391304347826091</v>
      </c>
      <c r="AO14" s="17">
        <f t="shared" ref="AO14:AO17" si="27">IFERROR(AO6/AX6,0)</f>
        <v>1.7391304347826088E-3</v>
      </c>
      <c r="AP14" s="17">
        <f t="shared" ref="AP14:AP17" si="28">IFERROR(AP6/AX6,0)</f>
        <v>0</v>
      </c>
      <c r="AQ14" s="17">
        <f t="shared" ref="AQ14:AQ17" si="29">IFERROR(AQ6/AX6,0)</f>
        <v>0</v>
      </c>
      <c r="AR14" s="17">
        <f t="shared" ref="AR14:AR17" si="30">IFERROR(AR6/AX6,0)</f>
        <v>1.391304347826087E-2</v>
      </c>
      <c r="AS14" s="17">
        <f t="shared" ref="AS14:AS17" si="31">IFERROR(AS6/AX6,0)</f>
        <v>0</v>
      </c>
      <c r="AT14" s="17">
        <f t="shared" ref="AT14:AT17" si="32">IFERROR(AT6/AX6,0)</f>
        <v>1.0434782608695653E-2</v>
      </c>
      <c r="AU14" s="17">
        <f t="shared" ref="AU14:AU17" si="33">IFERROR(AU6/AX6,0)</f>
        <v>0</v>
      </c>
      <c r="AV14" s="17">
        <f t="shared" ref="AV14:AV17" si="34">IFERROR(AV6/AX6,0)</f>
        <v>0</v>
      </c>
      <c r="AW14" s="17">
        <f t="shared" ref="AW14:AW17" si="35">IFERROR(AW6/AX6,0)</f>
        <v>0</v>
      </c>
      <c r="AX14" s="18">
        <f t="shared" ref="AX14:AX17" si="36">IFERROR(AX6/AX6,0)</f>
        <v>1</v>
      </c>
      <c r="AZ14" s="19">
        <f t="shared" ref="AZ14:AZ17" si="37">IFERROR(AZ6/BJ6,0)</f>
        <v>0.91371158392434992</v>
      </c>
      <c r="BA14" s="17">
        <f t="shared" ref="BA14:BA17" si="38">IFERROR(BA6/BJ6,0)</f>
        <v>1.4184397163120564E-2</v>
      </c>
      <c r="BB14" s="17">
        <f t="shared" ref="BB14:BB17" si="39">IFERROR(BB6/BJ6,0)</f>
        <v>5.0827423167848697E-2</v>
      </c>
      <c r="BC14" s="17">
        <f t="shared" ref="BC14:BC17" si="40">IFERROR(BC6/BJ6,0)</f>
        <v>0</v>
      </c>
      <c r="BD14" s="17">
        <f t="shared" ref="BD14:BD17" si="41">IFERROR(BD6/BJ6,0)</f>
        <v>1.4184397163120565E-2</v>
      </c>
      <c r="BE14" s="17">
        <f t="shared" ref="BE14:BE17" si="42">IFERROR(BE6/BJ6,0)</f>
        <v>2.3640661938534274E-3</v>
      </c>
      <c r="BF14" s="17">
        <f t="shared" ref="BF14:BF17" si="43">IFERROR(BF6/BJ6,0)</f>
        <v>2.3640661938534274E-3</v>
      </c>
      <c r="BG14" s="17">
        <f t="shared" ref="BG14:BG17" si="44">IFERROR(BG6/BJ6,0)</f>
        <v>0</v>
      </c>
      <c r="BH14" s="17">
        <f t="shared" ref="BH14:BH17" si="45">IFERROR(BH6/BJ6,0)</f>
        <v>2.3640661938534274E-3</v>
      </c>
      <c r="BI14" s="17">
        <f t="shared" ref="BI14:BI17" si="46">IFERROR(BI6/BJ6,0)</f>
        <v>0</v>
      </c>
      <c r="BJ14" s="18">
        <f t="shared" ref="BJ14:BJ17" si="47">IFERROR(BJ6/BJ6,0)</f>
        <v>1</v>
      </c>
      <c r="BL14" s="19">
        <f t="shared" ref="BL14:BL18" si="48">IFERROR(BL6/BV6,0)</f>
        <v>0</v>
      </c>
      <c r="BM14" s="17">
        <f t="shared" ref="BM14:BM18" si="49">IFERROR(BM6/BV6,0)</f>
        <v>0</v>
      </c>
      <c r="BN14" s="17">
        <f t="shared" ref="BN14:BN18" si="50">IFERROR(BN6/BV6,0)</f>
        <v>0</v>
      </c>
      <c r="BO14" s="17">
        <f t="shared" ref="BO14:BO18" si="51">IFERROR(BO6/BV6,0)</f>
        <v>0</v>
      </c>
      <c r="BP14" s="17">
        <f t="shared" ref="BP14:BP18" si="52">IFERROR(BP6/BV6,0)</f>
        <v>0</v>
      </c>
      <c r="BQ14" s="17">
        <f t="shared" ref="BQ14:BQ18" si="53">IFERROR(BQ6/BV6,0)</f>
        <v>0</v>
      </c>
      <c r="BR14" s="17">
        <f t="shared" ref="BR14:BR18" si="54">IFERROR(BR6/BV6,0)</f>
        <v>0</v>
      </c>
      <c r="BS14" s="17">
        <f t="shared" ref="BS14:BS18" si="55">IFERROR(BS6/BV6,0)</f>
        <v>0</v>
      </c>
      <c r="BT14" s="17">
        <f t="shared" ref="BT14:BT18" si="56">IFERROR(BT6/BV6,0)</f>
        <v>0</v>
      </c>
      <c r="BU14" s="17">
        <f t="shared" ref="BU14:BU18" si="57">IFERROR(BU6/BV6,0)</f>
        <v>0</v>
      </c>
      <c r="BV14" s="18">
        <f t="shared" ref="BV14:BV18" si="58">IFERROR(BV6/BV6,0)</f>
        <v>0</v>
      </c>
      <c r="BX14" s="19">
        <f t="shared" ref="BX14:BX18" si="59">IFERROR(BX6/CH6,0)</f>
        <v>0</v>
      </c>
      <c r="BY14" s="17">
        <f t="shared" ref="BY14:BY18" si="60">IFERROR(BY6/CH6,0)</f>
        <v>0</v>
      </c>
      <c r="BZ14" s="17">
        <f t="shared" ref="BZ14:BZ18" si="61">IFERROR(BZ6/CH6,0)</f>
        <v>0</v>
      </c>
      <c r="CA14" s="17">
        <f t="shared" ref="CA14:CA18" si="62">IFERROR(CA6/CH6,0)</f>
        <v>0</v>
      </c>
      <c r="CB14" s="17">
        <f t="shared" ref="CB14:CB18" si="63">IFERROR(CB6/CH6,0)</f>
        <v>0</v>
      </c>
      <c r="CC14" s="17">
        <f t="shared" ref="CC14:CC18" si="64">IFERROR(CC6/CH6,0)</f>
        <v>0</v>
      </c>
      <c r="CD14" s="17">
        <f t="shared" ref="CD14:CD18" si="65">IFERROR(CD6/CH6,0)</f>
        <v>0</v>
      </c>
      <c r="CE14" s="17">
        <f t="shared" ref="CE14:CE18" si="66">IFERROR(CE6/CH6,0)</f>
        <v>0</v>
      </c>
      <c r="CF14" s="17">
        <f t="shared" ref="CF14:CF18" si="67">IFERROR(CF6/CH6,0)</f>
        <v>0</v>
      </c>
      <c r="CG14" s="17">
        <f t="shared" ref="CG14:CG18" si="68">IFERROR(CG6/CH6,0)</f>
        <v>0</v>
      </c>
      <c r="CH14" s="18">
        <f t="shared" ref="CH14:CH18" si="69">IFERROR(CH6/CH6,0)</f>
        <v>0</v>
      </c>
      <c r="CJ14" s="19">
        <f t="shared" ref="CJ14:CJ18" si="70">IFERROR(CJ6/CT6,0)</f>
        <v>0</v>
      </c>
      <c r="CK14" s="17">
        <f t="shared" ref="CK14:CK18" si="71">IFERROR(CK6/CT6,0)</f>
        <v>0</v>
      </c>
      <c r="CL14" s="17">
        <f t="shared" ref="CL14:CL18" si="72">IFERROR(CL6/CT6,0)</f>
        <v>0</v>
      </c>
      <c r="CM14" s="17">
        <f t="shared" ref="CM14:CM18" si="73">IFERROR(CM6/CT6,0)</f>
        <v>0</v>
      </c>
      <c r="CN14" s="17">
        <f t="shared" ref="CN14:CN18" si="74">IFERROR(CN6/CT6,0)</f>
        <v>0</v>
      </c>
      <c r="CO14" s="17">
        <f t="shared" ref="CO14:CO18" si="75">IFERROR(CO6/CT6,0)</f>
        <v>0</v>
      </c>
      <c r="CP14" s="17">
        <f t="shared" ref="CP14:CP18" si="76">IFERROR(CP6/CT6,0)</f>
        <v>0</v>
      </c>
      <c r="CQ14" s="17">
        <f t="shared" ref="CQ14:CQ18" si="77">IFERROR(CQ6/CT6,0)</f>
        <v>0</v>
      </c>
      <c r="CR14" s="17">
        <f t="shared" ref="CR14:CR18" si="78">IFERROR(CR6/CT6,0)</f>
        <v>0</v>
      </c>
      <c r="CS14" s="17">
        <f t="shared" ref="CS14:CS18" si="79">IFERROR(CS6/CT6,0)</f>
        <v>0</v>
      </c>
      <c r="CT14" s="18">
        <f t="shared" ref="CT14:CT18" si="80">IFERROR(CT6/CT6,0)</f>
        <v>0</v>
      </c>
      <c r="CV14" s="19">
        <f t="shared" ref="CV14:CV18" si="81">IFERROR(CV6/DF6,0)</f>
        <v>0</v>
      </c>
      <c r="CW14" s="17">
        <f t="shared" ref="CW14:CW18" si="82">IFERROR(CW6/DF6,0)</f>
        <v>0</v>
      </c>
      <c r="CX14" s="17">
        <f t="shared" ref="CX14:CX18" si="83">IFERROR(CX6/DF6,0)</f>
        <v>0</v>
      </c>
      <c r="CY14" s="17">
        <f t="shared" ref="CY14:CY18" si="84">IFERROR(CY6/DF6,0)</f>
        <v>0</v>
      </c>
      <c r="CZ14" s="17">
        <f t="shared" ref="CZ14:CZ18" si="85">IFERROR(CZ6/DF6,0)</f>
        <v>0</v>
      </c>
      <c r="DA14" s="17">
        <f t="shared" ref="DA14:DA18" si="86">IFERROR(DA6/DF6,0)</f>
        <v>0</v>
      </c>
      <c r="DB14" s="17">
        <f t="shared" ref="DB14:DB18" si="87">IFERROR(DB6/DF6,0)</f>
        <v>0</v>
      </c>
      <c r="DC14" s="17">
        <f t="shared" ref="DC14:DC18" si="88">IFERROR(DC6/DF6,0)</f>
        <v>0</v>
      </c>
      <c r="DD14" s="17">
        <f t="shared" ref="DD14:DD18" si="89">IFERROR(DD6/DF6,0)</f>
        <v>0</v>
      </c>
      <c r="DE14" s="17">
        <f t="shared" ref="DE14:DE18" si="90">IFERROR(DE6/DF6,0)</f>
        <v>0</v>
      </c>
      <c r="DF14" s="18">
        <f t="shared" ref="DF14:DF18" si="91">IFERROR(DF6/DF6,0)</f>
        <v>0</v>
      </c>
      <c r="DH14" s="19">
        <f t="shared" ref="DH14:DH18" si="92">IFERROR(DH6/DR6,0)</f>
        <v>0</v>
      </c>
      <c r="DI14" s="17">
        <f t="shared" ref="DI14:DI18" si="93">IFERROR(DI6/DR6,0)</f>
        <v>0</v>
      </c>
      <c r="DJ14" s="17">
        <f t="shared" ref="DJ14:DJ18" si="94">IFERROR(DJ6/DR6,0)</f>
        <v>0</v>
      </c>
      <c r="DK14" s="17">
        <f t="shared" ref="DK14:DK18" si="95">IFERROR(DK6/DR6,0)</f>
        <v>0</v>
      </c>
      <c r="DL14" s="17">
        <f t="shared" ref="DL14:DL18" si="96">IFERROR(DL6/DR6,0)</f>
        <v>0</v>
      </c>
      <c r="DM14" s="17">
        <f t="shared" ref="DM14:DM18" si="97">IFERROR(DM6/DR6,0)</f>
        <v>0</v>
      </c>
      <c r="DN14" s="17">
        <f t="shared" ref="DN14:DN18" si="98">IFERROR(DN6/DR6,0)</f>
        <v>0</v>
      </c>
      <c r="DO14" s="17">
        <f t="shared" ref="DO14:DO18" si="99">IFERROR(DO6/DR6,0)</f>
        <v>0</v>
      </c>
      <c r="DP14" s="17">
        <f t="shared" ref="DP14:DP18" si="100">IFERROR(DP6/DR6,0)</f>
        <v>0</v>
      </c>
      <c r="DQ14" s="17">
        <f t="shared" ref="DQ14:DQ18" si="101">IFERROR(DQ6/DR6,0)</f>
        <v>0</v>
      </c>
      <c r="DR14" s="18">
        <f t="shared" ref="DR14:DR18" si="102">IFERROR(DR6/DR6,0)</f>
        <v>0</v>
      </c>
      <c r="DT14" s="19">
        <f t="shared" ref="DT14:DT18" si="103">IFERROR(DT6/ED6,0)</f>
        <v>0</v>
      </c>
      <c r="DU14" s="17">
        <f t="shared" ref="DU14:DU18" si="104">IFERROR(DU6/ED6,0)</f>
        <v>0</v>
      </c>
      <c r="DV14" s="17">
        <f t="shared" ref="DV14:DV18" si="105">IFERROR(DV6/ED6,0)</f>
        <v>0</v>
      </c>
      <c r="DW14" s="17">
        <f t="shared" ref="DW14:DW18" si="106">IFERROR(DW6/ED6,0)</f>
        <v>0</v>
      </c>
      <c r="DX14" s="17">
        <f t="shared" ref="DX14:DX18" si="107">IFERROR(DX6/ED6,0)</f>
        <v>0</v>
      </c>
      <c r="DY14" s="17">
        <f t="shared" ref="DY14:DY18" si="108">IFERROR(DY6/ED6,0)</f>
        <v>0</v>
      </c>
      <c r="DZ14" s="17">
        <f t="shared" ref="DZ14:DZ18" si="109">IFERROR(DZ6/ED6,0)</f>
        <v>0</v>
      </c>
      <c r="EA14" s="17">
        <f t="shared" ref="EA14:EA18" si="110">IFERROR(EA6/ED6,0)</f>
        <v>0</v>
      </c>
      <c r="EB14" s="17">
        <f t="shared" ref="EB14:EB18" si="111">IFERROR(EB6/ED6,0)</f>
        <v>0</v>
      </c>
      <c r="EC14" s="17">
        <f t="shared" ref="EC14:EC18" si="112">IFERROR(EC6/ED6,0)</f>
        <v>0</v>
      </c>
      <c r="ED14" s="18">
        <f t="shared" ref="ED14:ED18" si="113">IFERROR(ED6/ED6,0)</f>
        <v>0</v>
      </c>
      <c r="EF14" s="19">
        <f t="shared" ref="EF14:EF18" si="114">IFERROR(EF6/EP6,0)</f>
        <v>0</v>
      </c>
      <c r="EG14" s="17">
        <f t="shared" ref="EG14:EG18" si="115">IFERROR(EG6/EP6,0)</f>
        <v>0</v>
      </c>
      <c r="EH14" s="17">
        <f t="shared" ref="EH14:EH18" si="116">IFERROR(EH6/EP6,0)</f>
        <v>0</v>
      </c>
      <c r="EI14" s="17">
        <f t="shared" ref="EI14:EI18" si="117">IFERROR(EI6/EP6,0)</f>
        <v>0</v>
      </c>
      <c r="EJ14" s="17">
        <f t="shared" ref="EJ14:EJ18" si="118">IFERROR(EJ6/EP6,0)</f>
        <v>0</v>
      </c>
      <c r="EK14" s="17">
        <f t="shared" ref="EK14:EK18" si="119">IFERROR(EK6/EP6,0)</f>
        <v>0</v>
      </c>
      <c r="EL14" s="17">
        <f t="shared" ref="EL14:EL18" si="120">IFERROR(EL6/EP6,0)</f>
        <v>0</v>
      </c>
      <c r="EM14" s="17">
        <f t="shared" ref="EM14:EM18" si="121">IFERROR(EM6/EP6,0)</f>
        <v>0</v>
      </c>
      <c r="EN14" s="17">
        <f t="shared" ref="EN14:EN18" si="122">IFERROR(EN6/EP6,0)</f>
        <v>0</v>
      </c>
      <c r="EO14" s="17">
        <f t="shared" ref="EO14:EO18" si="123">IFERROR(EO6/EP6,0)</f>
        <v>0</v>
      </c>
      <c r="EP14" s="18">
        <f t="shared" ref="EP14:EP18" si="124">IFERROR(EP6/EP6,0)</f>
        <v>0</v>
      </c>
      <c r="ER14" s="19">
        <f t="shared" ref="ER14:ER18" si="125">IFERROR(ER6/FB6,0)</f>
        <v>0</v>
      </c>
      <c r="ES14" s="17">
        <f t="shared" ref="ES14:ES18" si="126">IFERROR(ES6/FB6,0)</f>
        <v>0</v>
      </c>
      <c r="ET14" s="17">
        <f t="shared" ref="ET14:ET18" si="127">IFERROR(ET6/FB6,0)</f>
        <v>0</v>
      </c>
      <c r="EU14" s="17">
        <f t="shared" ref="EU14:EU18" si="128">IFERROR(EU6/FB6,0)</f>
        <v>0</v>
      </c>
      <c r="EV14" s="17">
        <f t="shared" ref="EV14:EV18" si="129">IFERROR(EV6/FB6,0)</f>
        <v>0</v>
      </c>
      <c r="EW14" s="17">
        <f t="shared" ref="EW14:EW18" si="130">IFERROR(EW6/FB6,0)</f>
        <v>0</v>
      </c>
      <c r="EX14" s="17">
        <f t="shared" ref="EX14:EX18" si="131">IFERROR(EX6/FB6,0)</f>
        <v>0</v>
      </c>
      <c r="EY14" s="17">
        <f t="shared" ref="EY14:EY18" si="132">IFERROR(EY6/FB6,0)</f>
        <v>0</v>
      </c>
      <c r="EZ14" s="17">
        <f t="shared" ref="EZ14:EZ18" si="133">IFERROR(EZ6/FB6,0)</f>
        <v>0</v>
      </c>
      <c r="FA14" s="17">
        <f t="shared" ref="FA14:FA18" si="134">IFERROR(FA6/FB6,0)</f>
        <v>0</v>
      </c>
      <c r="FB14" s="18">
        <f t="shared" ref="FB14:FB18" si="135">IFERROR(FB6/FB6,0)</f>
        <v>0</v>
      </c>
    </row>
    <row r="15" spans="1:158" s="14" customFormat="1" x14ac:dyDescent="0.35">
      <c r="B15" s="14" t="s">
        <v>69</v>
      </c>
      <c r="D15" s="17">
        <f>IFERROR(D7/N7,0)</f>
        <v>0</v>
      </c>
      <c r="E15" s="19">
        <f>IFERROR(E7/N7,0)</f>
        <v>0.92693409742120347</v>
      </c>
      <c r="F15" s="17">
        <f>IFERROR(F7/N7,0)</f>
        <v>4.8710601719197708E-2</v>
      </c>
      <c r="G15" s="17">
        <f>IFERROR(G7/N7,0)</f>
        <v>0</v>
      </c>
      <c r="H15" s="17">
        <f>IFERROR(H7/N7,0)</f>
        <v>7.1633237822349557E-3</v>
      </c>
      <c r="I15" s="17">
        <f>IFERROR(I7/N7,0)</f>
        <v>0</v>
      </c>
      <c r="J15" s="17">
        <f>IFERROR(J7/N7,0)</f>
        <v>1.7191977077363897E-2</v>
      </c>
      <c r="K15" s="17">
        <f>IFERROR(K7/N7,0)</f>
        <v>0</v>
      </c>
      <c r="L15" s="17">
        <f>IFERROR(L7/N7,0)</f>
        <v>0</v>
      </c>
      <c r="M15" s="17">
        <f>IFERROR(M7/N7,0)</f>
        <v>0</v>
      </c>
      <c r="N15" s="29">
        <f>IFERROR(N7/N7,0)</f>
        <v>1</v>
      </c>
      <c r="P15" s="17">
        <f>IFERROR(P7/Z7,0)</f>
        <v>0</v>
      </c>
      <c r="Q15" s="19">
        <f>IFERROR(Q7/Z7,0)</f>
        <v>0</v>
      </c>
      <c r="R15" s="17">
        <f>IFERROR(R7/Z7,0)</f>
        <v>0</v>
      </c>
      <c r="S15" s="17">
        <f>IFERROR(S7/Z7,0)</f>
        <v>0</v>
      </c>
      <c r="T15" s="17">
        <f>IFERROR(T7/Z7,0)</f>
        <v>0</v>
      </c>
      <c r="U15" s="17">
        <f>IFERROR(U7/Z7,0)</f>
        <v>0</v>
      </c>
      <c r="V15" s="17">
        <f>IFERROR(V7/Z7,0)</f>
        <v>0</v>
      </c>
      <c r="W15" s="17">
        <f>IFERROR(W7/Z7,0)</f>
        <v>0</v>
      </c>
      <c r="X15" s="17">
        <f>IFERROR(X7/Z7,0)</f>
        <v>0</v>
      </c>
      <c r="Y15" s="17">
        <f>IFERROR(Y7/Z7,0)</f>
        <v>0</v>
      </c>
      <c r="Z15" s="18">
        <f>IFERROR(Z7/Z7,0)</f>
        <v>0</v>
      </c>
      <c r="AB15" s="17">
        <f>IFERROR(AB7/AL7,0)</f>
        <v>0</v>
      </c>
      <c r="AC15" s="19">
        <f>IFERROR(AC7/AL7,0)</f>
        <v>0</v>
      </c>
      <c r="AD15" s="17">
        <f>IFERROR(AD7/AL7,0)</f>
        <v>0</v>
      </c>
      <c r="AE15" s="17">
        <f>IFERROR(AE7/AL7,0)</f>
        <v>0</v>
      </c>
      <c r="AF15" s="17">
        <f>IFERROR(AF7/AL7,0)</f>
        <v>0</v>
      </c>
      <c r="AG15" s="17">
        <f>IFERROR(AG7/AL7,0)</f>
        <v>0</v>
      </c>
      <c r="AH15" s="17">
        <f>IFERROR(AH7/AL7,0)</f>
        <v>0</v>
      </c>
      <c r="AI15" s="17">
        <f>IFERROR(AI7/AL7,0)</f>
        <v>0</v>
      </c>
      <c r="AJ15" s="17">
        <f>IFERROR(AJ7/AL7,0)</f>
        <v>0</v>
      </c>
      <c r="AK15" s="17">
        <f>IFERROR(AK7/AL7,0)</f>
        <v>0</v>
      </c>
      <c r="AL15" s="18">
        <f>IFERROR(AL7/AL7,0)</f>
        <v>0</v>
      </c>
      <c r="AN15" s="17">
        <f t="shared" si="26"/>
        <v>0</v>
      </c>
      <c r="AO15" s="19">
        <f t="shared" si="27"/>
        <v>0.92693409742120347</v>
      </c>
      <c r="AP15" s="17">
        <f t="shared" si="28"/>
        <v>4.8710601719197708E-2</v>
      </c>
      <c r="AQ15" s="17">
        <f t="shared" si="29"/>
        <v>0</v>
      </c>
      <c r="AR15" s="17">
        <f t="shared" si="30"/>
        <v>7.1633237822349557E-3</v>
      </c>
      <c r="AS15" s="17">
        <f t="shared" si="31"/>
        <v>0</v>
      </c>
      <c r="AT15" s="17">
        <f t="shared" si="32"/>
        <v>1.7191977077363897E-2</v>
      </c>
      <c r="AU15" s="17">
        <f t="shared" si="33"/>
        <v>0</v>
      </c>
      <c r="AV15" s="17">
        <f t="shared" si="34"/>
        <v>0</v>
      </c>
      <c r="AW15" s="17">
        <f t="shared" si="35"/>
        <v>0</v>
      </c>
      <c r="AX15" s="18">
        <f t="shared" si="36"/>
        <v>1</v>
      </c>
      <c r="AZ15" s="17">
        <f t="shared" si="37"/>
        <v>0</v>
      </c>
      <c r="BA15" s="19">
        <f t="shared" si="38"/>
        <v>0</v>
      </c>
      <c r="BB15" s="17">
        <f t="shared" si="39"/>
        <v>0</v>
      </c>
      <c r="BC15" s="17">
        <f t="shared" si="40"/>
        <v>0</v>
      </c>
      <c r="BD15" s="17">
        <f t="shared" si="41"/>
        <v>0</v>
      </c>
      <c r="BE15" s="17">
        <f t="shared" si="42"/>
        <v>0</v>
      </c>
      <c r="BF15" s="17">
        <f t="shared" si="43"/>
        <v>0</v>
      </c>
      <c r="BG15" s="17">
        <f t="shared" si="44"/>
        <v>0</v>
      </c>
      <c r="BH15" s="17">
        <f t="shared" si="45"/>
        <v>0</v>
      </c>
      <c r="BI15" s="17">
        <f t="shared" si="46"/>
        <v>0</v>
      </c>
      <c r="BJ15" s="18">
        <f t="shared" si="47"/>
        <v>0</v>
      </c>
      <c r="BL15" s="17">
        <f t="shared" si="48"/>
        <v>0</v>
      </c>
      <c r="BM15" s="19">
        <f t="shared" si="49"/>
        <v>0</v>
      </c>
      <c r="BN15" s="17">
        <f t="shared" si="50"/>
        <v>0</v>
      </c>
      <c r="BO15" s="17">
        <f t="shared" si="51"/>
        <v>0</v>
      </c>
      <c r="BP15" s="17">
        <f t="shared" si="52"/>
        <v>0</v>
      </c>
      <c r="BQ15" s="17">
        <f t="shared" si="53"/>
        <v>0</v>
      </c>
      <c r="BR15" s="17">
        <f t="shared" si="54"/>
        <v>0</v>
      </c>
      <c r="BS15" s="17">
        <f t="shared" si="55"/>
        <v>0</v>
      </c>
      <c r="BT15" s="17">
        <f t="shared" si="56"/>
        <v>0</v>
      </c>
      <c r="BU15" s="17">
        <f t="shared" si="57"/>
        <v>0</v>
      </c>
      <c r="BV15" s="18">
        <f t="shared" si="58"/>
        <v>0</v>
      </c>
      <c r="BX15" s="17">
        <f t="shared" si="59"/>
        <v>0</v>
      </c>
      <c r="BY15" s="19">
        <f t="shared" si="60"/>
        <v>0</v>
      </c>
      <c r="BZ15" s="17">
        <f t="shared" si="61"/>
        <v>0</v>
      </c>
      <c r="CA15" s="17">
        <f t="shared" si="62"/>
        <v>0</v>
      </c>
      <c r="CB15" s="17">
        <f t="shared" si="63"/>
        <v>0</v>
      </c>
      <c r="CC15" s="17">
        <f t="shared" si="64"/>
        <v>0</v>
      </c>
      <c r="CD15" s="17">
        <f t="shared" si="65"/>
        <v>0</v>
      </c>
      <c r="CE15" s="17">
        <f t="shared" si="66"/>
        <v>0</v>
      </c>
      <c r="CF15" s="17">
        <f t="shared" si="67"/>
        <v>0</v>
      </c>
      <c r="CG15" s="17">
        <f t="shared" si="68"/>
        <v>0</v>
      </c>
      <c r="CH15" s="18">
        <f t="shared" si="69"/>
        <v>0</v>
      </c>
      <c r="CJ15" s="17">
        <f t="shared" si="70"/>
        <v>0</v>
      </c>
      <c r="CK15" s="19">
        <f t="shared" si="71"/>
        <v>0</v>
      </c>
      <c r="CL15" s="17">
        <f t="shared" si="72"/>
        <v>0</v>
      </c>
      <c r="CM15" s="17">
        <f t="shared" si="73"/>
        <v>0</v>
      </c>
      <c r="CN15" s="17">
        <f t="shared" si="74"/>
        <v>0</v>
      </c>
      <c r="CO15" s="17">
        <f t="shared" si="75"/>
        <v>0</v>
      </c>
      <c r="CP15" s="17">
        <f t="shared" si="76"/>
        <v>0</v>
      </c>
      <c r="CQ15" s="17">
        <f t="shared" si="77"/>
        <v>0</v>
      </c>
      <c r="CR15" s="17">
        <f t="shared" si="78"/>
        <v>0</v>
      </c>
      <c r="CS15" s="17">
        <f t="shared" si="79"/>
        <v>0</v>
      </c>
      <c r="CT15" s="18">
        <f t="shared" si="80"/>
        <v>0</v>
      </c>
      <c r="CV15" s="17">
        <f t="shared" si="81"/>
        <v>0</v>
      </c>
      <c r="CW15" s="19">
        <f t="shared" si="82"/>
        <v>0</v>
      </c>
      <c r="CX15" s="17">
        <f t="shared" si="83"/>
        <v>0</v>
      </c>
      <c r="CY15" s="17">
        <f t="shared" si="84"/>
        <v>0</v>
      </c>
      <c r="CZ15" s="17">
        <f t="shared" si="85"/>
        <v>0</v>
      </c>
      <c r="DA15" s="17">
        <f t="shared" si="86"/>
        <v>0</v>
      </c>
      <c r="DB15" s="17">
        <f t="shared" si="87"/>
        <v>0</v>
      </c>
      <c r="DC15" s="17">
        <f t="shared" si="88"/>
        <v>0</v>
      </c>
      <c r="DD15" s="17">
        <f t="shared" si="89"/>
        <v>0</v>
      </c>
      <c r="DE15" s="17">
        <f t="shared" si="90"/>
        <v>0</v>
      </c>
      <c r="DF15" s="18">
        <f t="shared" si="91"/>
        <v>0</v>
      </c>
      <c r="DH15" s="17">
        <f t="shared" si="92"/>
        <v>0</v>
      </c>
      <c r="DI15" s="19">
        <f t="shared" si="93"/>
        <v>0</v>
      </c>
      <c r="DJ15" s="17">
        <f t="shared" si="94"/>
        <v>0</v>
      </c>
      <c r="DK15" s="17">
        <f t="shared" si="95"/>
        <v>0</v>
      </c>
      <c r="DL15" s="17">
        <f t="shared" si="96"/>
        <v>0</v>
      </c>
      <c r="DM15" s="17">
        <f t="shared" si="97"/>
        <v>0</v>
      </c>
      <c r="DN15" s="17">
        <f t="shared" si="98"/>
        <v>0</v>
      </c>
      <c r="DO15" s="17">
        <f t="shared" si="99"/>
        <v>0</v>
      </c>
      <c r="DP15" s="17">
        <f t="shared" si="100"/>
        <v>0</v>
      </c>
      <c r="DQ15" s="17">
        <f t="shared" si="101"/>
        <v>0</v>
      </c>
      <c r="DR15" s="18">
        <f t="shared" si="102"/>
        <v>0</v>
      </c>
      <c r="DT15" s="17">
        <f t="shared" si="103"/>
        <v>0</v>
      </c>
      <c r="DU15" s="19">
        <f t="shared" si="104"/>
        <v>0</v>
      </c>
      <c r="DV15" s="17">
        <f t="shared" si="105"/>
        <v>0</v>
      </c>
      <c r="DW15" s="17">
        <f t="shared" si="106"/>
        <v>0</v>
      </c>
      <c r="DX15" s="17">
        <f t="shared" si="107"/>
        <v>0</v>
      </c>
      <c r="DY15" s="17">
        <f t="shared" si="108"/>
        <v>0</v>
      </c>
      <c r="DZ15" s="17">
        <f t="shared" si="109"/>
        <v>0</v>
      </c>
      <c r="EA15" s="17">
        <f t="shared" si="110"/>
        <v>0</v>
      </c>
      <c r="EB15" s="17">
        <f t="shared" si="111"/>
        <v>0</v>
      </c>
      <c r="EC15" s="17">
        <f t="shared" si="112"/>
        <v>0</v>
      </c>
      <c r="ED15" s="18">
        <f t="shared" si="113"/>
        <v>0</v>
      </c>
      <c r="EF15" s="17">
        <f t="shared" si="114"/>
        <v>0</v>
      </c>
      <c r="EG15" s="19">
        <f t="shared" si="115"/>
        <v>0</v>
      </c>
      <c r="EH15" s="17">
        <f t="shared" si="116"/>
        <v>0</v>
      </c>
      <c r="EI15" s="17">
        <f t="shared" si="117"/>
        <v>0</v>
      </c>
      <c r="EJ15" s="17">
        <f t="shared" si="118"/>
        <v>0</v>
      </c>
      <c r="EK15" s="17">
        <f t="shared" si="119"/>
        <v>0</v>
      </c>
      <c r="EL15" s="17">
        <f t="shared" si="120"/>
        <v>0</v>
      </c>
      <c r="EM15" s="17">
        <f t="shared" si="121"/>
        <v>0</v>
      </c>
      <c r="EN15" s="17">
        <f t="shared" si="122"/>
        <v>0</v>
      </c>
      <c r="EO15" s="17">
        <f t="shared" si="123"/>
        <v>0</v>
      </c>
      <c r="EP15" s="18">
        <f t="shared" si="124"/>
        <v>0</v>
      </c>
      <c r="ER15" s="17">
        <f t="shared" si="125"/>
        <v>0</v>
      </c>
      <c r="ES15" s="19">
        <f t="shared" si="126"/>
        <v>0</v>
      </c>
      <c r="ET15" s="17">
        <f t="shared" si="127"/>
        <v>0</v>
      </c>
      <c r="EU15" s="17">
        <f t="shared" si="128"/>
        <v>0</v>
      </c>
      <c r="EV15" s="17">
        <f t="shared" si="129"/>
        <v>0</v>
      </c>
      <c r="EW15" s="17">
        <f t="shared" si="130"/>
        <v>0</v>
      </c>
      <c r="EX15" s="17">
        <f t="shared" si="131"/>
        <v>0</v>
      </c>
      <c r="EY15" s="17">
        <f t="shared" si="132"/>
        <v>0</v>
      </c>
      <c r="EZ15" s="17">
        <f t="shared" si="133"/>
        <v>0</v>
      </c>
      <c r="FA15" s="17">
        <f t="shared" si="134"/>
        <v>0</v>
      </c>
      <c r="FB15" s="18">
        <f t="shared" si="135"/>
        <v>0</v>
      </c>
    </row>
    <row r="16" spans="1:158" s="14" customFormat="1" x14ac:dyDescent="0.35">
      <c r="B16" s="14" t="s">
        <v>70</v>
      </c>
      <c r="D16" s="17">
        <f>IFERROR(D8/N8,0)</f>
        <v>0</v>
      </c>
      <c r="E16" s="17">
        <f>IFERROR(E8/N8,0)</f>
        <v>2.0089021130381059E-2</v>
      </c>
      <c r="F16" s="19">
        <f>IFERROR(F8/N8,0)</f>
        <v>0.9538451254272533</v>
      </c>
      <c r="G16" s="17">
        <f>IFERROR(G8/N8,0)</f>
        <v>0</v>
      </c>
      <c r="H16" s="17">
        <f>IFERROR(H8/N8,0)</f>
        <v>1.4568374102184737E-2</v>
      </c>
      <c r="I16" s="17">
        <f>IFERROR(I8/N8,0)</f>
        <v>0</v>
      </c>
      <c r="J16" s="17">
        <f>IFERROR(J8/N8,0)</f>
        <v>9.2010783803272024E-4</v>
      </c>
      <c r="K16" s="17">
        <f>IFERROR(K8/N8,0)</f>
        <v>7.9742679296169079E-3</v>
      </c>
      <c r="L16" s="17">
        <f>IFERROR(L8/N8,0)</f>
        <v>2.6031035725312818E-3</v>
      </c>
      <c r="M16" s="17">
        <f>IFERROR(M8/N8,0)</f>
        <v>0</v>
      </c>
      <c r="N16" s="29">
        <f>IFERROR(N8/N8,0)</f>
        <v>1</v>
      </c>
      <c r="P16" s="17">
        <f>IFERROR(P8/Z8,0)</f>
        <v>0</v>
      </c>
      <c r="Q16" s="17">
        <f>IFERROR(Q8/Z8,0)</f>
        <v>0</v>
      </c>
      <c r="R16" s="19">
        <f>IFERROR(R8/Z8,0)</f>
        <v>0.97959434801270673</v>
      </c>
      <c r="S16" s="17">
        <f>IFERROR(S8/Z8,0)</f>
        <v>0</v>
      </c>
      <c r="T16" s="17">
        <f>IFERROR(T8/Z8,0)</f>
        <v>8.1681482264311499E-3</v>
      </c>
      <c r="U16" s="17">
        <f>IFERROR(U8/Z8,0)</f>
        <v>0</v>
      </c>
      <c r="V16" s="17">
        <f>IFERROR(V8/Z8,0)</f>
        <v>1.1668783180615926E-3</v>
      </c>
      <c r="W16" s="17">
        <f>IFERROR(W8/Z8,0)</f>
        <v>7.0012699083695559E-3</v>
      </c>
      <c r="X16" s="17">
        <f>IFERROR(X8/Z8,0)</f>
        <v>4.0693555344309337E-3</v>
      </c>
      <c r="Y16" s="17">
        <f>IFERROR(Y8/Z8,0)</f>
        <v>0</v>
      </c>
      <c r="Z16" s="18">
        <f>IFERROR(Z8/Z8,0)</f>
        <v>1</v>
      </c>
      <c r="AB16" s="17">
        <f>IFERROR(AB8/AL8,0)</f>
        <v>0</v>
      </c>
      <c r="AC16" s="17">
        <f>IFERROR(AC8/AL8,0)</f>
        <v>0.10499359795134441</v>
      </c>
      <c r="AD16" s="19">
        <f>IFERROR(AD8/AL8,0)</f>
        <v>0.83482714468629959</v>
      </c>
      <c r="AE16" s="17">
        <f>IFERROR(AE8/AL8,0)</f>
        <v>0</v>
      </c>
      <c r="AF16" s="17">
        <f>IFERROR(AF8/AL8,0)</f>
        <v>1.2804097311139562E-2</v>
      </c>
      <c r="AG16" s="17">
        <f>IFERROR(AG8/AL8,0)</f>
        <v>0</v>
      </c>
      <c r="AH16" s="17">
        <f>IFERROR(AH8/AL8,0)</f>
        <v>1.2804097311139562E-3</v>
      </c>
      <c r="AI16" s="17">
        <f>IFERROR(AI8/AL8,0)</f>
        <v>3.7131882202304733E-2</v>
      </c>
      <c r="AJ16" s="17">
        <f>IFERROR(AJ8/AL8,0)</f>
        <v>8.9628681177976923E-3</v>
      </c>
      <c r="AK16" s="17">
        <f>IFERROR(AK8/AL8,0)</f>
        <v>0</v>
      </c>
      <c r="AL16" s="18">
        <f>IFERROR(AL8/AL8,0)</f>
        <v>1</v>
      </c>
      <c r="AN16" s="17">
        <f t="shared" si="26"/>
        <v>0</v>
      </c>
      <c r="AO16" s="17">
        <f t="shared" si="27"/>
        <v>8.8248954946586154E-3</v>
      </c>
      <c r="AP16" s="19">
        <f t="shared" si="28"/>
        <v>0.96934509986065953</v>
      </c>
      <c r="AQ16" s="17">
        <f t="shared" si="29"/>
        <v>0</v>
      </c>
      <c r="AR16" s="17">
        <f t="shared" si="30"/>
        <v>1.6256386437529025E-2</v>
      </c>
      <c r="AS16" s="17">
        <f t="shared" si="31"/>
        <v>0</v>
      </c>
      <c r="AT16" s="17">
        <f t="shared" si="32"/>
        <v>1.3934045517882026E-3</v>
      </c>
      <c r="AU16" s="17">
        <f t="shared" si="33"/>
        <v>2.7868091035764052E-3</v>
      </c>
      <c r="AV16" s="17">
        <f t="shared" si="34"/>
        <v>1.3934045517882026E-3</v>
      </c>
      <c r="AW16" s="17">
        <f t="shared" si="35"/>
        <v>0</v>
      </c>
      <c r="AX16" s="18">
        <f t="shared" si="36"/>
        <v>1</v>
      </c>
      <c r="AZ16" s="17">
        <f t="shared" si="37"/>
        <v>0</v>
      </c>
      <c r="BA16" s="17">
        <f t="shared" si="38"/>
        <v>1.6017084890549912E-2</v>
      </c>
      <c r="BB16" s="19">
        <f t="shared" si="39"/>
        <v>0.96209289909236517</v>
      </c>
      <c r="BC16" s="17">
        <f t="shared" si="40"/>
        <v>0</v>
      </c>
      <c r="BD16" s="17">
        <f t="shared" si="41"/>
        <v>1.9220501868659898E-2</v>
      </c>
      <c r="BE16" s="17">
        <f t="shared" si="42"/>
        <v>0</v>
      </c>
      <c r="BF16" s="17">
        <f t="shared" si="43"/>
        <v>0</v>
      </c>
      <c r="BG16" s="17">
        <f t="shared" si="44"/>
        <v>2.6695141484249863E-3</v>
      </c>
      <c r="BH16" s="17">
        <f t="shared" si="45"/>
        <v>0</v>
      </c>
      <c r="BI16" s="17">
        <f t="shared" si="46"/>
        <v>0</v>
      </c>
      <c r="BJ16" s="18">
        <f t="shared" si="47"/>
        <v>1</v>
      </c>
      <c r="BL16" s="17">
        <f t="shared" si="48"/>
        <v>0</v>
      </c>
      <c r="BM16" s="17">
        <f t="shared" si="49"/>
        <v>0</v>
      </c>
      <c r="BN16" s="19">
        <f t="shared" si="50"/>
        <v>0</v>
      </c>
      <c r="BO16" s="17">
        <f t="shared" si="51"/>
        <v>0</v>
      </c>
      <c r="BP16" s="17">
        <f t="shared" si="52"/>
        <v>0</v>
      </c>
      <c r="BQ16" s="17">
        <f t="shared" si="53"/>
        <v>0</v>
      </c>
      <c r="BR16" s="17">
        <f t="shared" si="54"/>
        <v>0</v>
      </c>
      <c r="BS16" s="17">
        <f t="shared" si="55"/>
        <v>0</v>
      </c>
      <c r="BT16" s="17">
        <f t="shared" si="56"/>
        <v>0</v>
      </c>
      <c r="BU16" s="17">
        <f t="shared" si="57"/>
        <v>0</v>
      </c>
      <c r="BV16" s="18">
        <f t="shared" si="58"/>
        <v>0</v>
      </c>
      <c r="BX16" s="17">
        <f t="shared" si="59"/>
        <v>0</v>
      </c>
      <c r="BY16" s="17">
        <f t="shared" si="60"/>
        <v>0</v>
      </c>
      <c r="BZ16" s="19">
        <f t="shared" si="61"/>
        <v>0</v>
      </c>
      <c r="CA16" s="17">
        <f t="shared" si="62"/>
        <v>0</v>
      </c>
      <c r="CB16" s="17">
        <f t="shared" si="63"/>
        <v>0</v>
      </c>
      <c r="CC16" s="17">
        <f t="shared" si="64"/>
        <v>0</v>
      </c>
      <c r="CD16" s="17">
        <f t="shared" si="65"/>
        <v>0</v>
      </c>
      <c r="CE16" s="17">
        <f t="shared" si="66"/>
        <v>0</v>
      </c>
      <c r="CF16" s="17">
        <f t="shared" si="67"/>
        <v>0</v>
      </c>
      <c r="CG16" s="17">
        <f t="shared" si="68"/>
        <v>0</v>
      </c>
      <c r="CH16" s="18">
        <f t="shared" si="69"/>
        <v>0</v>
      </c>
      <c r="CJ16" s="17">
        <f t="shared" si="70"/>
        <v>0</v>
      </c>
      <c r="CK16" s="17">
        <f t="shared" si="71"/>
        <v>0</v>
      </c>
      <c r="CL16" s="19">
        <f t="shared" si="72"/>
        <v>0</v>
      </c>
      <c r="CM16" s="17">
        <f t="shared" si="73"/>
        <v>0</v>
      </c>
      <c r="CN16" s="17">
        <f t="shared" si="74"/>
        <v>0</v>
      </c>
      <c r="CO16" s="17">
        <f t="shared" si="75"/>
        <v>0</v>
      </c>
      <c r="CP16" s="17">
        <f t="shared" si="76"/>
        <v>0</v>
      </c>
      <c r="CQ16" s="17">
        <f t="shared" si="77"/>
        <v>0</v>
      </c>
      <c r="CR16" s="17">
        <f t="shared" si="78"/>
        <v>0</v>
      </c>
      <c r="CS16" s="17">
        <f t="shared" si="79"/>
        <v>0</v>
      </c>
      <c r="CT16" s="18">
        <f t="shared" si="80"/>
        <v>0</v>
      </c>
      <c r="CV16" s="17">
        <f t="shared" si="81"/>
        <v>0</v>
      </c>
      <c r="CW16" s="17">
        <f t="shared" si="82"/>
        <v>0</v>
      </c>
      <c r="CX16" s="19">
        <f t="shared" si="83"/>
        <v>0</v>
      </c>
      <c r="CY16" s="17">
        <f t="shared" si="84"/>
        <v>0</v>
      </c>
      <c r="CZ16" s="17">
        <f t="shared" si="85"/>
        <v>0</v>
      </c>
      <c r="DA16" s="17">
        <f t="shared" si="86"/>
        <v>0</v>
      </c>
      <c r="DB16" s="17">
        <f t="shared" si="87"/>
        <v>0</v>
      </c>
      <c r="DC16" s="17">
        <f t="shared" si="88"/>
        <v>0</v>
      </c>
      <c r="DD16" s="17">
        <f t="shared" si="89"/>
        <v>0</v>
      </c>
      <c r="DE16" s="17">
        <f t="shared" si="90"/>
        <v>0</v>
      </c>
      <c r="DF16" s="18">
        <f t="shared" si="91"/>
        <v>0</v>
      </c>
      <c r="DH16" s="17">
        <f t="shared" si="92"/>
        <v>0</v>
      </c>
      <c r="DI16" s="17">
        <f t="shared" si="93"/>
        <v>0</v>
      </c>
      <c r="DJ16" s="19">
        <f t="shared" si="94"/>
        <v>0</v>
      </c>
      <c r="DK16" s="17">
        <f t="shared" si="95"/>
        <v>0</v>
      </c>
      <c r="DL16" s="17">
        <f t="shared" si="96"/>
        <v>0</v>
      </c>
      <c r="DM16" s="17">
        <f t="shared" si="97"/>
        <v>0</v>
      </c>
      <c r="DN16" s="17">
        <f t="shared" si="98"/>
        <v>0</v>
      </c>
      <c r="DO16" s="17">
        <f t="shared" si="99"/>
        <v>0</v>
      </c>
      <c r="DP16" s="17">
        <f t="shared" si="100"/>
        <v>0</v>
      </c>
      <c r="DQ16" s="17">
        <f t="shared" si="101"/>
        <v>0</v>
      </c>
      <c r="DR16" s="18">
        <f t="shared" si="102"/>
        <v>0</v>
      </c>
      <c r="DT16" s="17">
        <f t="shared" si="103"/>
        <v>0</v>
      </c>
      <c r="DU16" s="17">
        <f t="shared" si="104"/>
        <v>0</v>
      </c>
      <c r="DV16" s="19">
        <f t="shared" si="105"/>
        <v>0</v>
      </c>
      <c r="DW16" s="17">
        <f t="shared" si="106"/>
        <v>0</v>
      </c>
      <c r="DX16" s="17">
        <f t="shared" si="107"/>
        <v>0</v>
      </c>
      <c r="DY16" s="17">
        <f t="shared" si="108"/>
        <v>0</v>
      </c>
      <c r="DZ16" s="17">
        <f t="shared" si="109"/>
        <v>0</v>
      </c>
      <c r="EA16" s="17">
        <f t="shared" si="110"/>
        <v>0</v>
      </c>
      <c r="EB16" s="17">
        <f t="shared" si="111"/>
        <v>0</v>
      </c>
      <c r="EC16" s="17">
        <f t="shared" si="112"/>
        <v>0</v>
      </c>
      <c r="ED16" s="18">
        <f t="shared" si="113"/>
        <v>0</v>
      </c>
      <c r="EF16" s="17">
        <f t="shared" si="114"/>
        <v>0</v>
      </c>
      <c r="EG16" s="17">
        <f t="shared" si="115"/>
        <v>0</v>
      </c>
      <c r="EH16" s="19">
        <f t="shared" si="116"/>
        <v>0</v>
      </c>
      <c r="EI16" s="17">
        <f t="shared" si="117"/>
        <v>0</v>
      </c>
      <c r="EJ16" s="17">
        <f t="shared" si="118"/>
        <v>0</v>
      </c>
      <c r="EK16" s="17">
        <f t="shared" si="119"/>
        <v>0</v>
      </c>
      <c r="EL16" s="17">
        <f t="shared" si="120"/>
        <v>0</v>
      </c>
      <c r="EM16" s="17">
        <f t="shared" si="121"/>
        <v>0</v>
      </c>
      <c r="EN16" s="17">
        <f t="shared" si="122"/>
        <v>0</v>
      </c>
      <c r="EO16" s="17">
        <f t="shared" si="123"/>
        <v>0</v>
      </c>
      <c r="EP16" s="18">
        <f t="shared" si="124"/>
        <v>0</v>
      </c>
      <c r="ER16" s="17">
        <f t="shared" si="125"/>
        <v>0</v>
      </c>
      <c r="ES16" s="17">
        <f t="shared" si="126"/>
        <v>0</v>
      </c>
      <c r="ET16" s="19">
        <f t="shared" si="127"/>
        <v>0</v>
      </c>
      <c r="EU16" s="17">
        <f t="shared" si="128"/>
        <v>0</v>
      </c>
      <c r="EV16" s="17">
        <f t="shared" si="129"/>
        <v>0</v>
      </c>
      <c r="EW16" s="17">
        <f t="shared" si="130"/>
        <v>0</v>
      </c>
      <c r="EX16" s="17">
        <f t="shared" si="131"/>
        <v>0</v>
      </c>
      <c r="EY16" s="17">
        <f t="shared" si="132"/>
        <v>0</v>
      </c>
      <c r="EZ16" s="17">
        <f t="shared" si="133"/>
        <v>0</v>
      </c>
      <c r="FA16" s="17">
        <f t="shared" si="134"/>
        <v>0</v>
      </c>
      <c r="FB16" s="18">
        <f t="shared" si="135"/>
        <v>0</v>
      </c>
    </row>
    <row r="17" spans="2:158" s="14" customFormat="1" x14ac:dyDescent="0.35">
      <c r="B17" s="14" t="s">
        <v>71</v>
      </c>
      <c r="D17" s="17">
        <f>IFERROR(D9/N9,0)</f>
        <v>0</v>
      </c>
      <c r="E17" s="17">
        <f>IFERROR(E9/N9,0)</f>
        <v>0</v>
      </c>
      <c r="F17" s="17">
        <f>IFERROR(F9/N9,0)</f>
        <v>0</v>
      </c>
      <c r="G17" s="17">
        <f>IFERROR(G9/N9,0)</f>
        <v>0</v>
      </c>
      <c r="H17" s="19">
        <f>IFERROR(H9/N9,0)</f>
        <v>0.98045602605863191</v>
      </c>
      <c r="I17" s="17">
        <f>IFERROR(I9/N9,0)</f>
        <v>0</v>
      </c>
      <c r="J17" s="17">
        <f>IFERROR(J9/N9,0)</f>
        <v>0</v>
      </c>
      <c r="K17" s="17">
        <f>IFERROR(K9/N9,0)</f>
        <v>0</v>
      </c>
      <c r="L17" s="17">
        <f>IFERROR(L9/N9,0)</f>
        <v>1.9543973941368076E-2</v>
      </c>
      <c r="M17" s="17">
        <f>IFERROR(M9/N9,0)</f>
        <v>0</v>
      </c>
      <c r="N17" s="29">
        <f>IFERROR(N9/N9,0)</f>
        <v>1</v>
      </c>
      <c r="P17" s="17">
        <f>IFERROR(P9/Z9,0)</f>
        <v>0</v>
      </c>
      <c r="Q17" s="17">
        <f>IFERROR(Q9/Z9,0)</f>
        <v>0</v>
      </c>
      <c r="R17" s="17">
        <f>IFERROR(R9/Z9,0)</f>
        <v>0</v>
      </c>
      <c r="S17" s="17">
        <f>IFERROR(S9/Z9,0)</f>
        <v>0</v>
      </c>
      <c r="T17" s="19">
        <f>IFERROR(T9/Z9,0)</f>
        <v>0.9941860465116279</v>
      </c>
      <c r="U17" s="17">
        <f>IFERROR(U9/Z9,0)</f>
        <v>0</v>
      </c>
      <c r="V17" s="17">
        <f>IFERROR(V9/Z9,0)</f>
        <v>0</v>
      </c>
      <c r="W17" s="17">
        <f>IFERROR(W9/Z9,0)</f>
        <v>0</v>
      </c>
      <c r="X17" s="17">
        <f>IFERROR(X9/Z9,0)</f>
        <v>5.8139534883720929E-3</v>
      </c>
      <c r="Y17" s="17">
        <f>IFERROR(Y9/Z9,0)</f>
        <v>0</v>
      </c>
      <c r="Z17" s="18">
        <f>IFERROR(Z9/Z9,0)</f>
        <v>1</v>
      </c>
      <c r="AB17" s="17">
        <f>IFERROR(AB9/AL9,0)</f>
        <v>0</v>
      </c>
      <c r="AC17" s="17">
        <f>IFERROR(AC9/AL9,0)</f>
        <v>0</v>
      </c>
      <c r="AD17" s="17">
        <f>IFERROR(AD9/AL9,0)</f>
        <v>0</v>
      </c>
      <c r="AE17" s="17">
        <f>IFERROR(AE9/AL9,0)</f>
        <v>0</v>
      </c>
      <c r="AF17" s="19">
        <f>IFERROR(AF9/AL9,0)</f>
        <v>0</v>
      </c>
      <c r="AG17" s="17">
        <f>IFERROR(AG9/AL9,0)</f>
        <v>0</v>
      </c>
      <c r="AH17" s="17">
        <f>IFERROR(AH9/AL9,0)</f>
        <v>0</v>
      </c>
      <c r="AI17" s="17">
        <f>IFERROR(AI9/AL9,0)</f>
        <v>0</v>
      </c>
      <c r="AJ17" s="17">
        <f>IFERROR(AJ9/AL9,0)</f>
        <v>0</v>
      </c>
      <c r="AK17" s="17">
        <f>IFERROR(AK9/AL9,0)</f>
        <v>0</v>
      </c>
      <c r="AL17" s="18">
        <f>IFERROR(AL9/AL9,0)</f>
        <v>0</v>
      </c>
      <c r="AN17" s="17">
        <f t="shared" si="26"/>
        <v>0</v>
      </c>
      <c r="AO17" s="17">
        <f t="shared" si="27"/>
        <v>0</v>
      </c>
      <c r="AP17" s="17">
        <f t="shared" si="28"/>
        <v>0</v>
      </c>
      <c r="AQ17" s="17">
        <f t="shared" si="29"/>
        <v>0</v>
      </c>
      <c r="AR17" s="19">
        <f t="shared" si="30"/>
        <v>0.91497975708502033</v>
      </c>
      <c r="AS17" s="17">
        <f t="shared" si="31"/>
        <v>0</v>
      </c>
      <c r="AT17" s="17">
        <f t="shared" si="32"/>
        <v>0</v>
      </c>
      <c r="AU17" s="17">
        <f t="shared" si="33"/>
        <v>0</v>
      </c>
      <c r="AV17" s="17">
        <f t="shared" si="34"/>
        <v>8.5020242914979755E-2</v>
      </c>
      <c r="AW17" s="17">
        <f t="shared" si="35"/>
        <v>0</v>
      </c>
      <c r="AX17" s="18">
        <f t="shared" si="36"/>
        <v>1</v>
      </c>
      <c r="AZ17" s="17">
        <f t="shared" si="37"/>
        <v>0</v>
      </c>
      <c r="BA17" s="17">
        <f t="shared" si="38"/>
        <v>0</v>
      </c>
      <c r="BB17" s="17">
        <f t="shared" si="39"/>
        <v>0</v>
      </c>
      <c r="BC17" s="17">
        <f t="shared" si="40"/>
        <v>0</v>
      </c>
      <c r="BD17" s="19">
        <f t="shared" si="41"/>
        <v>0.99258474576271183</v>
      </c>
      <c r="BE17" s="17">
        <f t="shared" si="42"/>
        <v>0</v>
      </c>
      <c r="BF17" s="17">
        <f t="shared" si="43"/>
        <v>0</v>
      </c>
      <c r="BG17" s="17">
        <f t="shared" si="44"/>
        <v>0</v>
      </c>
      <c r="BH17" s="17">
        <f t="shared" si="45"/>
        <v>7.4152542372881358E-3</v>
      </c>
      <c r="BI17" s="17">
        <f t="shared" si="46"/>
        <v>0</v>
      </c>
      <c r="BJ17" s="18">
        <f t="shared" si="47"/>
        <v>1</v>
      </c>
      <c r="BL17" s="17">
        <f t="shared" si="48"/>
        <v>0</v>
      </c>
      <c r="BM17" s="17">
        <f t="shared" si="49"/>
        <v>0</v>
      </c>
      <c r="BN17" s="17">
        <f t="shared" si="50"/>
        <v>0</v>
      </c>
      <c r="BO17" s="17">
        <f t="shared" si="51"/>
        <v>0</v>
      </c>
      <c r="BP17" s="19">
        <f t="shared" si="52"/>
        <v>0</v>
      </c>
      <c r="BQ17" s="17">
        <f t="shared" si="53"/>
        <v>0</v>
      </c>
      <c r="BR17" s="17">
        <f t="shared" si="54"/>
        <v>0</v>
      </c>
      <c r="BS17" s="17">
        <f t="shared" si="55"/>
        <v>0</v>
      </c>
      <c r="BT17" s="17">
        <f t="shared" si="56"/>
        <v>0</v>
      </c>
      <c r="BU17" s="17">
        <f t="shared" si="57"/>
        <v>0</v>
      </c>
      <c r="BV17" s="18">
        <f t="shared" si="58"/>
        <v>0</v>
      </c>
      <c r="BX17" s="17">
        <f t="shared" si="59"/>
        <v>0</v>
      </c>
      <c r="BY17" s="17">
        <f t="shared" si="60"/>
        <v>0</v>
      </c>
      <c r="BZ17" s="17">
        <f t="shared" si="61"/>
        <v>0</v>
      </c>
      <c r="CA17" s="17">
        <f t="shared" si="62"/>
        <v>0</v>
      </c>
      <c r="CB17" s="19">
        <f t="shared" si="63"/>
        <v>0</v>
      </c>
      <c r="CC17" s="17">
        <f t="shared" si="64"/>
        <v>0</v>
      </c>
      <c r="CD17" s="17">
        <f t="shared" si="65"/>
        <v>0</v>
      </c>
      <c r="CE17" s="17">
        <f t="shared" si="66"/>
        <v>0</v>
      </c>
      <c r="CF17" s="17">
        <f t="shared" si="67"/>
        <v>0</v>
      </c>
      <c r="CG17" s="17">
        <f t="shared" si="68"/>
        <v>0</v>
      </c>
      <c r="CH17" s="18">
        <f t="shared" si="69"/>
        <v>0</v>
      </c>
      <c r="CJ17" s="17">
        <f t="shared" si="70"/>
        <v>0</v>
      </c>
      <c r="CK17" s="17">
        <f t="shared" si="71"/>
        <v>0</v>
      </c>
      <c r="CL17" s="17">
        <f t="shared" si="72"/>
        <v>0</v>
      </c>
      <c r="CM17" s="17">
        <f t="shared" si="73"/>
        <v>0</v>
      </c>
      <c r="CN17" s="19">
        <f t="shared" si="74"/>
        <v>0</v>
      </c>
      <c r="CO17" s="17">
        <f t="shared" si="75"/>
        <v>0</v>
      </c>
      <c r="CP17" s="17">
        <f t="shared" si="76"/>
        <v>0</v>
      </c>
      <c r="CQ17" s="17">
        <f t="shared" si="77"/>
        <v>0</v>
      </c>
      <c r="CR17" s="17">
        <f t="shared" si="78"/>
        <v>0</v>
      </c>
      <c r="CS17" s="17">
        <f t="shared" si="79"/>
        <v>0</v>
      </c>
      <c r="CT17" s="18">
        <f t="shared" si="80"/>
        <v>0</v>
      </c>
      <c r="CV17" s="17">
        <f t="shared" si="81"/>
        <v>0</v>
      </c>
      <c r="CW17" s="17">
        <f t="shared" si="82"/>
        <v>0</v>
      </c>
      <c r="CX17" s="17">
        <f t="shared" si="83"/>
        <v>0</v>
      </c>
      <c r="CY17" s="17">
        <f t="shared" si="84"/>
        <v>0</v>
      </c>
      <c r="CZ17" s="19">
        <f t="shared" si="85"/>
        <v>0</v>
      </c>
      <c r="DA17" s="17">
        <f t="shared" si="86"/>
        <v>0</v>
      </c>
      <c r="DB17" s="17">
        <f t="shared" si="87"/>
        <v>0</v>
      </c>
      <c r="DC17" s="17">
        <f t="shared" si="88"/>
        <v>0</v>
      </c>
      <c r="DD17" s="17">
        <f t="shared" si="89"/>
        <v>0</v>
      </c>
      <c r="DE17" s="17">
        <f t="shared" si="90"/>
        <v>0</v>
      </c>
      <c r="DF17" s="18">
        <f t="shared" si="91"/>
        <v>0</v>
      </c>
      <c r="DH17" s="17">
        <f t="shared" si="92"/>
        <v>0</v>
      </c>
      <c r="DI17" s="17">
        <f t="shared" si="93"/>
        <v>0</v>
      </c>
      <c r="DJ17" s="17">
        <f t="shared" si="94"/>
        <v>0</v>
      </c>
      <c r="DK17" s="17">
        <f t="shared" si="95"/>
        <v>0</v>
      </c>
      <c r="DL17" s="19">
        <f t="shared" si="96"/>
        <v>0</v>
      </c>
      <c r="DM17" s="17">
        <f t="shared" si="97"/>
        <v>0</v>
      </c>
      <c r="DN17" s="17">
        <f t="shared" si="98"/>
        <v>0</v>
      </c>
      <c r="DO17" s="17">
        <f t="shared" si="99"/>
        <v>0</v>
      </c>
      <c r="DP17" s="17">
        <f t="shared" si="100"/>
        <v>0</v>
      </c>
      <c r="DQ17" s="17">
        <f t="shared" si="101"/>
        <v>0</v>
      </c>
      <c r="DR17" s="18">
        <f t="shared" si="102"/>
        <v>0</v>
      </c>
      <c r="DT17" s="17">
        <f t="shared" si="103"/>
        <v>0</v>
      </c>
      <c r="DU17" s="17">
        <f t="shared" si="104"/>
        <v>0</v>
      </c>
      <c r="DV17" s="17">
        <f t="shared" si="105"/>
        <v>0</v>
      </c>
      <c r="DW17" s="17">
        <f t="shared" si="106"/>
        <v>0</v>
      </c>
      <c r="DX17" s="19">
        <f t="shared" si="107"/>
        <v>0</v>
      </c>
      <c r="DY17" s="17">
        <f t="shared" si="108"/>
        <v>0</v>
      </c>
      <c r="DZ17" s="17">
        <f t="shared" si="109"/>
        <v>0</v>
      </c>
      <c r="EA17" s="17">
        <f t="shared" si="110"/>
        <v>0</v>
      </c>
      <c r="EB17" s="17">
        <f t="shared" si="111"/>
        <v>0</v>
      </c>
      <c r="EC17" s="17">
        <f t="shared" si="112"/>
        <v>0</v>
      </c>
      <c r="ED17" s="18">
        <f t="shared" si="113"/>
        <v>0</v>
      </c>
      <c r="EF17" s="17">
        <f t="shared" si="114"/>
        <v>0</v>
      </c>
      <c r="EG17" s="17">
        <f t="shared" si="115"/>
        <v>0</v>
      </c>
      <c r="EH17" s="17">
        <f t="shared" si="116"/>
        <v>0</v>
      </c>
      <c r="EI17" s="17">
        <f t="shared" si="117"/>
        <v>0</v>
      </c>
      <c r="EJ17" s="19">
        <f t="shared" si="118"/>
        <v>0</v>
      </c>
      <c r="EK17" s="17">
        <f t="shared" si="119"/>
        <v>0</v>
      </c>
      <c r="EL17" s="17">
        <f t="shared" si="120"/>
        <v>0</v>
      </c>
      <c r="EM17" s="17">
        <f t="shared" si="121"/>
        <v>0</v>
      </c>
      <c r="EN17" s="17">
        <f t="shared" si="122"/>
        <v>0</v>
      </c>
      <c r="EO17" s="17">
        <f t="shared" si="123"/>
        <v>0</v>
      </c>
      <c r="EP17" s="18">
        <f t="shared" si="124"/>
        <v>0</v>
      </c>
      <c r="ER17" s="17">
        <f t="shared" si="125"/>
        <v>0</v>
      </c>
      <c r="ES17" s="17">
        <f t="shared" si="126"/>
        <v>0</v>
      </c>
      <c r="ET17" s="17">
        <f t="shared" si="127"/>
        <v>0</v>
      </c>
      <c r="EU17" s="17">
        <f t="shared" si="128"/>
        <v>0</v>
      </c>
      <c r="EV17" s="19">
        <f t="shared" si="129"/>
        <v>0</v>
      </c>
      <c r="EW17" s="17">
        <f t="shared" si="130"/>
        <v>0</v>
      </c>
      <c r="EX17" s="17">
        <f t="shared" si="131"/>
        <v>0</v>
      </c>
      <c r="EY17" s="17">
        <f t="shared" si="132"/>
        <v>0</v>
      </c>
      <c r="EZ17" s="17">
        <f t="shared" si="133"/>
        <v>0</v>
      </c>
      <c r="FA17" s="17">
        <f t="shared" si="134"/>
        <v>0</v>
      </c>
      <c r="FB17" s="18">
        <f t="shared" si="135"/>
        <v>0</v>
      </c>
    </row>
    <row r="18" spans="2:158" x14ac:dyDescent="0.35">
      <c r="B18" s="30" t="s">
        <v>98</v>
      </c>
      <c r="C18" s="31"/>
      <c r="D18" s="32">
        <f>IFERROR(D10/N10,0)</f>
        <v>0.17407448068744436</v>
      </c>
      <c r="E18" s="32">
        <f>IFERROR(E10/N10,0)</f>
        <v>7.5463139234184656E-2</v>
      </c>
      <c r="F18" s="32">
        <f>IFERROR(F10/N10,0)</f>
        <v>0.5830569174940623</v>
      </c>
      <c r="G18" s="32">
        <f>IFERROR(G10/N10,0)</f>
        <v>0</v>
      </c>
      <c r="H18" s="32">
        <f>IFERROR(H10/N10,0)</f>
        <v>0.15472258363229763</v>
      </c>
      <c r="I18" s="32">
        <f>IFERROR(I10/N10,0)</f>
        <v>1.8518561775260039E-4</v>
      </c>
      <c r="J18" s="32">
        <f>IFERROR(J10/N10,0)</f>
        <v>2.9629698840416062E-3</v>
      </c>
      <c r="K18" s="32">
        <f>IFERROR(K10/N10,0)</f>
        <v>4.8148260615676099E-3</v>
      </c>
      <c r="L18" s="32">
        <f>IFERROR(L10/N10,0)</f>
        <v>4.7198973886492029E-3</v>
      </c>
      <c r="M18" s="32">
        <f>IFERROR(M10/N10,0)</f>
        <v>0</v>
      </c>
      <c r="N18" s="33">
        <f>IFERROR(N10/N10,0)</f>
        <v>1</v>
      </c>
      <c r="P18" s="32">
        <f>IFERROR(P10/Z10,0)</f>
        <v>0.11610293600018259</v>
      </c>
      <c r="Q18" s="32">
        <f>IFERROR(Q10/Z10,0)</f>
        <v>4.2373334306635991E-4</v>
      </c>
      <c r="R18" s="32">
        <f>IFERROR(R10/Z10,0)</f>
        <v>0.71144828300841811</v>
      </c>
      <c r="S18" s="32">
        <f>IFERROR(S10/Z10,0)</f>
        <v>0</v>
      </c>
      <c r="T18" s="32">
        <f>IFERROR(T10/Z10,0)</f>
        <v>0.16144240370828311</v>
      </c>
      <c r="U18" s="32">
        <f>IFERROR(U10/Z10,0)</f>
        <v>0</v>
      </c>
      <c r="V18" s="32">
        <f>IFERROR(V10/Z10,0)</f>
        <v>1.6949333722654396E-3</v>
      </c>
      <c r="W18" s="32">
        <f>IFERROR(W10/Z10,0)</f>
        <v>5.0848001167963187E-3</v>
      </c>
      <c r="X18" s="32">
        <f>IFERROR(X10/Z10,0)</f>
        <v>3.8029104509880651E-3</v>
      </c>
      <c r="Y18" s="32">
        <f>IFERROR(Y10/Z10,0)</f>
        <v>0</v>
      </c>
      <c r="Z18" s="33">
        <f>IFERROR(Z10/Z10,0)</f>
        <v>1</v>
      </c>
      <c r="AB18" s="32">
        <f>IFERROR(AB10/AL10,0)</f>
        <v>0.24728260869565216</v>
      </c>
      <c r="AC18" s="32">
        <f>IFERROR(AC10/AL10,0)</f>
        <v>9.5108695652173919E-2</v>
      </c>
      <c r="AD18" s="32">
        <f>IFERROR(AD10/AL10,0)</f>
        <v>0.59057971014492761</v>
      </c>
      <c r="AE18" s="32">
        <f>IFERROR(AE10/AL10,0)</f>
        <v>0</v>
      </c>
      <c r="AF18" s="32">
        <f>IFERROR(AF10/AL10,0)</f>
        <v>2.8079710144927536E-2</v>
      </c>
      <c r="AG18" s="32">
        <f>IFERROR(AG10/AL10,0)</f>
        <v>0</v>
      </c>
      <c r="AH18" s="32">
        <f>IFERROR(AH10/AL10,0)</f>
        <v>4.528985507246377E-3</v>
      </c>
      <c r="AI18" s="32">
        <f>IFERROR(AI10/AL10,0)</f>
        <v>2.6268115942028984E-2</v>
      </c>
      <c r="AJ18" s="32">
        <f>IFERROR(AJ10/AL10,0)</f>
        <v>8.152173913043478E-3</v>
      </c>
      <c r="AK18" s="32">
        <f>IFERROR(AK10/AL10,0)</f>
        <v>0</v>
      </c>
      <c r="AL18" s="33">
        <f>IFERROR(AL10/AL10,0)</f>
        <v>1</v>
      </c>
      <c r="AN18" s="32">
        <f>IFERROR(AN10/AX10,0)</f>
        <v>0.15246392594609312</v>
      </c>
      <c r="AO18" s="32">
        <f>IFERROR(AO10/AX10,0)</f>
        <v>0.18159542608222162</v>
      </c>
      <c r="AP18" s="32">
        <f>IFERROR(AP10/AX10,0)</f>
        <v>0.57745711952082768</v>
      </c>
      <c r="AQ18" s="32">
        <f>IFERROR(AQ10/AX10,0)</f>
        <v>0</v>
      </c>
      <c r="AR18" s="32">
        <f>IFERROR(AR10/AX10,0)</f>
        <v>7.4598420909338409E-2</v>
      </c>
      <c r="AS18" s="32">
        <f>IFERROR(AS10/AX10,0)</f>
        <v>0</v>
      </c>
      <c r="AT18" s="32">
        <f>IFERROR(AT10/AX10,0)</f>
        <v>5.7173972229784915E-3</v>
      </c>
      <c r="AU18" s="32">
        <f>IFERROR(AU10/AX10,0)</f>
        <v>1.6335420637081405E-3</v>
      </c>
      <c r="AV18" s="32">
        <f>IFERROR(AV10/AX10,0)</f>
        <v>6.5341682548325621E-3</v>
      </c>
      <c r="AW18" s="32">
        <f>IFERROR(AW10/AX10,0)</f>
        <v>0</v>
      </c>
      <c r="AX18" s="33">
        <f>IFERROR(AX10/AX10,0)</f>
        <v>1</v>
      </c>
      <c r="AZ18" s="32">
        <f>IFERROR(AZ10/BJ10,0)</f>
        <v>0.21102921102921104</v>
      </c>
      <c r="BA18" s="32">
        <f>IFERROR(BA10/BJ10,0)</f>
        <v>1.1466011466011464E-2</v>
      </c>
      <c r="BB18" s="32">
        <f>IFERROR(BB10/BJ10,0)</f>
        <v>0.50368550368550369</v>
      </c>
      <c r="BC18" s="32">
        <f>IFERROR(BC10/BJ10,0)</f>
        <v>0</v>
      </c>
      <c r="BD18" s="32">
        <f>IFERROR(BD10/BJ10,0)</f>
        <v>0.26890526890526889</v>
      </c>
      <c r="BE18" s="32">
        <f>IFERROR(BE10/BJ10,0)</f>
        <v>5.4600054600054593E-4</v>
      </c>
      <c r="BF18" s="32">
        <f>IFERROR(BF10/BJ10,0)</f>
        <v>5.4600054600054593E-4</v>
      </c>
      <c r="BG18" s="32">
        <f>IFERROR(BG10/BJ10,0)</f>
        <v>1.3650013650013651E-3</v>
      </c>
      <c r="BH18" s="32">
        <f>IFERROR(BH10/BJ10,0)</f>
        <v>2.4570024570024565E-3</v>
      </c>
      <c r="BI18" s="32">
        <f>IFERROR(BI10/BJ10,0)</f>
        <v>0</v>
      </c>
      <c r="BJ18" s="33">
        <f>IFERROR(BJ10/BJ10,0)</f>
        <v>1</v>
      </c>
      <c r="BL18" s="32">
        <f t="shared" si="48"/>
        <v>0</v>
      </c>
      <c r="BM18" s="32">
        <f t="shared" si="49"/>
        <v>0</v>
      </c>
      <c r="BN18" s="32">
        <f t="shared" si="50"/>
        <v>0</v>
      </c>
      <c r="BO18" s="32">
        <f t="shared" si="51"/>
        <v>0</v>
      </c>
      <c r="BP18" s="32">
        <f t="shared" si="52"/>
        <v>0</v>
      </c>
      <c r="BQ18" s="32">
        <f t="shared" si="53"/>
        <v>0</v>
      </c>
      <c r="BR18" s="32">
        <f t="shared" si="54"/>
        <v>0</v>
      </c>
      <c r="BS18" s="32">
        <f t="shared" si="55"/>
        <v>0</v>
      </c>
      <c r="BT18" s="32">
        <f t="shared" si="56"/>
        <v>0</v>
      </c>
      <c r="BU18" s="32">
        <f t="shared" si="57"/>
        <v>0</v>
      </c>
      <c r="BV18" s="33">
        <f t="shared" si="58"/>
        <v>0</v>
      </c>
      <c r="BX18" s="32">
        <f t="shared" si="59"/>
        <v>0</v>
      </c>
      <c r="BY18" s="32">
        <f t="shared" si="60"/>
        <v>0</v>
      </c>
      <c r="BZ18" s="32">
        <f t="shared" si="61"/>
        <v>0</v>
      </c>
      <c r="CA18" s="32">
        <f t="shared" si="62"/>
        <v>0</v>
      </c>
      <c r="CB18" s="32">
        <f t="shared" si="63"/>
        <v>0</v>
      </c>
      <c r="CC18" s="32">
        <f t="shared" si="64"/>
        <v>0</v>
      </c>
      <c r="CD18" s="32">
        <f t="shared" si="65"/>
        <v>0</v>
      </c>
      <c r="CE18" s="32">
        <f t="shared" si="66"/>
        <v>0</v>
      </c>
      <c r="CF18" s="32">
        <f t="shared" si="67"/>
        <v>0</v>
      </c>
      <c r="CG18" s="32">
        <f t="shared" si="68"/>
        <v>0</v>
      </c>
      <c r="CH18" s="33">
        <f t="shared" si="69"/>
        <v>0</v>
      </c>
      <c r="CJ18" s="32">
        <f t="shared" si="70"/>
        <v>0</v>
      </c>
      <c r="CK18" s="32">
        <f t="shared" si="71"/>
        <v>0</v>
      </c>
      <c r="CL18" s="32">
        <f t="shared" si="72"/>
        <v>0</v>
      </c>
      <c r="CM18" s="32">
        <f t="shared" si="73"/>
        <v>0</v>
      </c>
      <c r="CN18" s="32">
        <f t="shared" si="74"/>
        <v>0</v>
      </c>
      <c r="CO18" s="32">
        <f t="shared" si="75"/>
        <v>0</v>
      </c>
      <c r="CP18" s="32">
        <f t="shared" si="76"/>
        <v>0</v>
      </c>
      <c r="CQ18" s="32">
        <f t="shared" si="77"/>
        <v>0</v>
      </c>
      <c r="CR18" s="32">
        <f t="shared" si="78"/>
        <v>0</v>
      </c>
      <c r="CS18" s="32">
        <f t="shared" si="79"/>
        <v>0</v>
      </c>
      <c r="CT18" s="33">
        <f t="shared" si="80"/>
        <v>0</v>
      </c>
      <c r="CV18" s="32">
        <f t="shared" si="81"/>
        <v>0</v>
      </c>
      <c r="CW18" s="32">
        <f t="shared" si="82"/>
        <v>0</v>
      </c>
      <c r="CX18" s="32">
        <f t="shared" si="83"/>
        <v>0</v>
      </c>
      <c r="CY18" s="32">
        <f t="shared" si="84"/>
        <v>0</v>
      </c>
      <c r="CZ18" s="32">
        <f t="shared" si="85"/>
        <v>0</v>
      </c>
      <c r="DA18" s="32">
        <f t="shared" si="86"/>
        <v>0</v>
      </c>
      <c r="DB18" s="32">
        <f t="shared" si="87"/>
        <v>0</v>
      </c>
      <c r="DC18" s="32">
        <f t="shared" si="88"/>
        <v>0</v>
      </c>
      <c r="DD18" s="32">
        <f t="shared" si="89"/>
        <v>0</v>
      </c>
      <c r="DE18" s="32">
        <f t="shared" si="90"/>
        <v>0</v>
      </c>
      <c r="DF18" s="33">
        <f t="shared" si="91"/>
        <v>0</v>
      </c>
      <c r="DH18" s="32">
        <f t="shared" si="92"/>
        <v>0</v>
      </c>
      <c r="DI18" s="32">
        <f t="shared" si="93"/>
        <v>0</v>
      </c>
      <c r="DJ18" s="32">
        <f t="shared" si="94"/>
        <v>0</v>
      </c>
      <c r="DK18" s="32">
        <f t="shared" si="95"/>
        <v>0</v>
      </c>
      <c r="DL18" s="32">
        <f t="shared" si="96"/>
        <v>0</v>
      </c>
      <c r="DM18" s="32">
        <f t="shared" si="97"/>
        <v>0</v>
      </c>
      <c r="DN18" s="32">
        <f t="shared" si="98"/>
        <v>0</v>
      </c>
      <c r="DO18" s="32">
        <f t="shared" si="99"/>
        <v>0</v>
      </c>
      <c r="DP18" s="32">
        <f t="shared" si="100"/>
        <v>0</v>
      </c>
      <c r="DQ18" s="32">
        <f t="shared" si="101"/>
        <v>0</v>
      </c>
      <c r="DR18" s="33">
        <f t="shared" si="102"/>
        <v>0</v>
      </c>
      <c r="DT18" s="32">
        <f t="shared" si="103"/>
        <v>0</v>
      </c>
      <c r="DU18" s="32">
        <f t="shared" si="104"/>
        <v>0</v>
      </c>
      <c r="DV18" s="32">
        <f t="shared" si="105"/>
        <v>0</v>
      </c>
      <c r="DW18" s="32">
        <f t="shared" si="106"/>
        <v>0</v>
      </c>
      <c r="DX18" s="32">
        <f t="shared" si="107"/>
        <v>0</v>
      </c>
      <c r="DY18" s="32">
        <f t="shared" si="108"/>
        <v>0</v>
      </c>
      <c r="DZ18" s="32">
        <f t="shared" si="109"/>
        <v>0</v>
      </c>
      <c r="EA18" s="32">
        <f t="shared" si="110"/>
        <v>0</v>
      </c>
      <c r="EB18" s="32">
        <f t="shared" si="111"/>
        <v>0</v>
      </c>
      <c r="EC18" s="32">
        <f t="shared" si="112"/>
        <v>0</v>
      </c>
      <c r="ED18" s="33">
        <f t="shared" si="113"/>
        <v>0</v>
      </c>
      <c r="EF18" s="32">
        <f t="shared" si="114"/>
        <v>0</v>
      </c>
      <c r="EG18" s="32">
        <f t="shared" si="115"/>
        <v>0</v>
      </c>
      <c r="EH18" s="32">
        <f t="shared" si="116"/>
        <v>0</v>
      </c>
      <c r="EI18" s="32">
        <f t="shared" si="117"/>
        <v>0</v>
      </c>
      <c r="EJ18" s="32">
        <f t="shared" si="118"/>
        <v>0</v>
      </c>
      <c r="EK18" s="32">
        <f t="shared" si="119"/>
        <v>0</v>
      </c>
      <c r="EL18" s="32">
        <f t="shared" si="120"/>
        <v>0</v>
      </c>
      <c r="EM18" s="32">
        <f t="shared" si="121"/>
        <v>0</v>
      </c>
      <c r="EN18" s="32">
        <f t="shared" si="122"/>
        <v>0</v>
      </c>
      <c r="EO18" s="32">
        <f t="shared" si="123"/>
        <v>0</v>
      </c>
      <c r="EP18" s="33">
        <f t="shared" si="124"/>
        <v>0</v>
      </c>
      <c r="ER18" s="32">
        <f t="shared" si="125"/>
        <v>0</v>
      </c>
      <c r="ES18" s="32">
        <f t="shared" si="126"/>
        <v>0</v>
      </c>
      <c r="ET18" s="32">
        <f t="shared" si="127"/>
        <v>0</v>
      </c>
      <c r="EU18" s="32">
        <f t="shared" si="128"/>
        <v>0</v>
      </c>
      <c r="EV18" s="32">
        <f t="shared" si="129"/>
        <v>0</v>
      </c>
      <c r="EW18" s="32">
        <f t="shared" si="130"/>
        <v>0</v>
      </c>
      <c r="EX18" s="32">
        <f t="shared" si="131"/>
        <v>0</v>
      </c>
      <c r="EY18" s="32">
        <f t="shared" si="132"/>
        <v>0</v>
      </c>
      <c r="EZ18" s="32">
        <f t="shared" si="133"/>
        <v>0</v>
      </c>
      <c r="FA18" s="32">
        <f t="shared" si="134"/>
        <v>0</v>
      </c>
      <c r="FB18" s="33">
        <f t="shared" si="135"/>
        <v>0</v>
      </c>
    </row>
    <row r="19" spans="2:158" x14ac:dyDescent="0.35">
      <c r="L19" s="2"/>
    </row>
    <row r="20" spans="2:158" ht="15" thickBot="1" x14ac:dyDescent="0.4">
      <c r="B20" s="15" t="s">
        <v>97</v>
      </c>
      <c r="L20" s="2"/>
    </row>
    <row r="21" spans="2:158" x14ac:dyDescent="0.35">
      <c r="B21" s="14" t="s">
        <v>68</v>
      </c>
      <c r="D21" s="26">
        <f>D6/D$10</f>
        <v>1</v>
      </c>
      <c r="E21" s="23">
        <f t="shared" ref="E21:O21" si="136">E6/E$10</f>
        <v>4.5398773006134971E-2</v>
      </c>
      <c r="F21" s="23">
        <f t="shared" si="136"/>
        <v>6.8286485628076864E-3</v>
      </c>
      <c r="G21" s="23" t="e">
        <f t="shared" si="136"/>
        <v>#DIV/0!</v>
      </c>
      <c r="H21" s="23">
        <f t="shared" si="136"/>
        <v>3.949730700179533E-2</v>
      </c>
      <c r="I21" s="27">
        <f t="shared" si="136"/>
        <v>1</v>
      </c>
      <c r="J21" s="23">
        <f t="shared" si="136"/>
        <v>0.4375</v>
      </c>
      <c r="K21" s="23">
        <f t="shared" si="136"/>
        <v>0</v>
      </c>
      <c r="L21" s="23">
        <f t="shared" si="136"/>
        <v>7.8470188016353901E-2</v>
      </c>
      <c r="M21" s="23" t="e">
        <f t="shared" si="136"/>
        <v>#DIV/0!</v>
      </c>
      <c r="N21" s="28">
        <f t="shared" si="136"/>
        <v>0.18944488696091019</v>
      </c>
      <c r="O21" s="23" t="e">
        <f t="shared" si="136"/>
        <v>#DIV/0!</v>
      </c>
      <c r="P21" s="26">
        <f t="shared" ref="P21:Y21" si="137">P6/P$10</f>
        <v>1</v>
      </c>
      <c r="Q21" s="23">
        <f t="shared" si="137"/>
        <v>1</v>
      </c>
      <c r="R21" s="23">
        <f t="shared" si="137"/>
        <v>0</v>
      </c>
      <c r="S21" s="23" t="e">
        <f t="shared" si="137"/>
        <v>#DIV/0!</v>
      </c>
      <c r="T21" s="23">
        <f t="shared" si="137"/>
        <v>6.5616797900262466E-2</v>
      </c>
      <c r="U21" s="27" t="e">
        <f>U6/U$10</f>
        <v>#DIV/0!</v>
      </c>
      <c r="V21" s="23">
        <f t="shared" si="137"/>
        <v>0.5</v>
      </c>
      <c r="W21" s="23">
        <f t="shared" si="137"/>
        <v>0</v>
      </c>
      <c r="X21" s="23">
        <f t="shared" si="137"/>
        <v>0</v>
      </c>
      <c r="Y21" s="23" t="e">
        <f t="shared" si="137"/>
        <v>#DIV/0!</v>
      </c>
      <c r="Z21" s="28">
        <f t="shared" ref="Z21:BK21" si="138">Z6/Z$10</f>
        <v>0.12796746960604066</v>
      </c>
      <c r="AA21" s="23" t="e">
        <f t="shared" si="138"/>
        <v>#DIV/0!</v>
      </c>
      <c r="AB21" s="26">
        <f t="shared" si="138"/>
        <v>1</v>
      </c>
      <c r="AC21" s="23">
        <f t="shared" si="138"/>
        <v>0.21904761904761905</v>
      </c>
      <c r="AD21" s="23">
        <f t="shared" si="138"/>
        <v>0</v>
      </c>
      <c r="AE21" s="23" t="e">
        <f t="shared" si="138"/>
        <v>#DIV/0!</v>
      </c>
      <c r="AF21" s="23">
        <f t="shared" si="138"/>
        <v>0.67741935483870963</v>
      </c>
      <c r="AG21" s="27" t="e">
        <f t="shared" si="138"/>
        <v>#DIV/0!</v>
      </c>
      <c r="AH21" s="23">
        <f t="shared" si="138"/>
        <v>0.8</v>
      </c>
      <c r="AI21" s="23">
        <f t="shared" si="138"/>
        <v>0</v>
      </c>
      <c r="AJ21" s="23">
        <f t="shared" si="138"/>
        <v>0.22222222222222221</v>
      </c>
      <c r="AK21" s="23" t="e">
        <f t="shared" si="138"/>
        <v>#DIV/0!</v>
      </c>
      <c r="AL21" s="28">
        <f t="shared" si="138"/>
        <v>0.29257246376811596</v>
      </c>
      <c r="AM21" s="23" t="e">
        <f t="shared" si="138"/>
        <v>#DIV/0!</v>
      </c>
      <c r="AN21" s="26">
        <f t="shared" si="138"/>
        <v>1</v>
      </c>
      <c r="AO21" s="23">
        <f t="shared" si="138"/>
        <v>1.4992503748125937E-3</v>
      </c>
      <c r="AP21" s="23">
        <f t="shared" si="138"/>
        <v>0</v>
      </c>
      <c r="AQ21" s="23" t="e">
        <f t="shared" si="138"/>
        <v>#DIV/0!</v>
      </c>
      <c r="AR21" s="23">
        <f t="shared" si="138"/>
        <v>2.9197080291970802E-2</v>
      </c>
      <c r="AS21" s="27" t="e">
        <f t="shared" si="138"/>
        <v>#DIV/0!</v>
      </c>
      <c r="AT21" s="23">
        <f t="shared" si="138"/>
        <v>0.28571428571428575</v>
      </c>
      <c r="AU21" s="23">
        <f t="shared" si="138"/>
        <v>0</v>
      </c>
      <c r="AV21" s="23">
        <f t="shared" si="138"/>
        <v>0</v>
      </c>
      <c r="AW21" s="23" t="e">
        <f t="shared" si="138"/>
        <v>#DIV/0!</v>
      </c>
      <c r="AX21" s="28">
        <f t="shared" si="138"/>
        <v>0.15654778110536346</v>
      </c>
      <c r="AY21" s="23" t="e">
        <f t="shared" si="138"/>
        <v>#DIV/0!</v>
      </c>
      <c r="AZ21" s="26">
        <f t="shared" si="138"/>
        <v>1</v>
      </c>
      <c r="BA21" s="23">
        <f t="shared" si="138"/>
        <v>0.2857142857142857</v>
      </c>
      <c r="BB21" s="23">
        <f t="shared" si="138"/>
        <v>2.3306233062330619E-2</v>
      </c>
      <c r="BC21" s="23" t="e">
        <f t="shared" si="138"/>
        <v>#DIV/0!</v>
      </c>
      <c r="BD21" s="23">
        <f t="shared" si="138"/>
        <v>1.2182741116751269E-2</v>
      </c>
      <c r="BE21" s="27">
        <f t="shared" si="138"/>
        <v>1</v>
      </c>
      <c r="BF21" s="23">
        <f t="shared" si="138"/>
        <v>1</v>
      </c>
      <c r="BG21" s="23">
        <f t="shared" si="138"/>
        <v>0</v>
      </c>
      <c r="BH21" s="23">
        <f t="shared" si="138"/>
        <v>0.22222222222222221</v>
      </c>
      <c r="BI21" s="23" t="e">
        <f t="shared" si="138"/>
        <v>#DIV/0!</v>
      </c>
      <c r="BJ21" s="28">
        <f t="shared" si="138"/>
        <v>0.23095823095823095</v>
      </c>
      <c r="BK21" s="23" t="e">
        <f t="shared" si="138"/>
        <v>#DIV/0!</v>
      </c>
      <c r="BL21" s="26"/>
      <c r="BM21" s="23"/>
      <c r="BN21" s="23"/>
      <c r="BO21" s="23"/>
      <c r="BP21" s="23"/>
      <c r="BQ21" s="27"/>
      <c r="BR21" s="23"/>
      <c r="BS21" s="23"/>
      <c r="BT21" s="23"/>
      <c r="BU21" s="23"/>
      <c r="BV21" s="28"/>
    </row>
    <row r="22" spans="2:158" x14ac:dyDescent="0.35">
      <c r="B22" s="14" t="s">
        <v>69</v>
      </c>
      <c r="D22" s="23">
        <f t="shared" ref="D22:O24" si="139">D7/D$10</f>
        <v>0</v>
      </c>
      <c r="E22" s="26">
        <f t="shared" si="139"/>
        <v>0.79386503067484659</v>
      </c>
      <c r="F22" s="23">
        <f t="shared" si="139"/>
        <v>5.3993965380339844E-3</v>
      </c>
      <c r="G22" s="23" t="e">
        <f t="shared" si="139"/>
        <v>#DIV/0!</v>
      </c>
      <c r="H22" s="23">
        <f t="shared" si="139"/>
        <v>2.9922202274087367E-3</v>
      </c>
      <c r="I22" s="23">
        <f t="shared" si="139"/>
        <v>0</v>
      </c>
      <c r="J22" s="27">
        <f t="shared" si="139"/>
        <v>0.375</v>
      </c>
      <c r="K22" s="23">
        <f t="shared" si="139"/>
        <v>0</v>
      </c>
      <c r="L22" s="23">
        <f t="shared" si="139"/>
        <v>0</v>
      </c>
      <c r="M22" s="23" t="e">
        <f t="shared" si="139"/>
        <v>#DIV/0!</v>
      </c>
      <c r="N22" s="28">
        <f t="shared" si="139"/>
        <v>6.4629780595657535E-2</v>
      </c>
      <c r="O22" s="23" t="e">
        <f t="shared" si="139"/>
        <v>#DIV/0!</v>
      </c>
      <c r="P22" s="23">
        <f t="shared" ref="P22:Y22" si="140">P7/P$10</f>
        <v>0</v>
      </c>
      <c r="Q22" s="26">
        <f t="shared" si="140"/>
        <v>0</v>
      </c>
      <c r="R22" s="23">
        <f t="shared" si="140"/>
        <v>0</v>
      </c>
      <c r="S22" s="23" t="e">
        <f t="shared" si="140"/>
        <v>#DIV/0!</v>
      </c>
      <c r="T22" s="23">
        <f t="shared" si="140"/>
        <v>0</v>
      </c>
      <c r="U22" s="23" t="e">
        <f t="shared" si="140"/>
        <v>#DIV/0!</v>
      </c>
      <c r="V22" s="27">
        <f t="shared" si="140"/>
        <v>0</v>
      </c>
      <c r="W22" s="23">
        <f t="shared" si="140"/>
        <v>0</v>
      </c>
      <c r="X22" s="23">
        <f t="shared" si="140"/>
        <v>0</v>
      </c>
      <c r="Y22" s="23" t="e">
        <f t="shared" si="140"/>
        <v>#DIV/0!</v>
      </c>
      <c r="Z22" s="28">
        <f t="shared" ref="Z22:BK22" si="141">Z7/Z$10</f>
        <v>0</v>
      </c>
      <c r="AA22" s="23" t="e">
        <f t="shared" si="141"/>
        <v>#DIV/0!</v>
      </c>
      <c r="AB22" s="23">
        <f t="shared" si="141"/>
        <v>0</v>
      </c>
      <c r="AC22" s="26">
        <f t="shared" si="141"/>
        <v>0</v>
      </c>
      <c r="AD22" s="23">
        <f t="shared" si="141"/>
        <v>0</v>
      </c>
      <c r="AE22" s="23" t="e">
        <f t="shared" si="141"/>
        <v>#DIV/0!</v>
      </c>
      <c r="AF22" s="23">
        <f t="shared" si="141"/>
        <v>0</v>
      </c>
      <c r="AG22" s="23" t="e">
        <f t="shared" si="141"/>
        <v>#DIV/0!</v>
      </c>
      <c r="AH22" s="27">
        <f t="shared" si="141"/>
        <v>0</v>
      </c>
      <c r="AI22" s="23">
        <f t="shared" si="141"/>
        <v>0</v>
      </c>
      <c r="AJ22" s="23">
        <f t="shared" si="141"/>
        <v>0</v>
      </c>
      <c r="AK22" s="23" t="e">
        <f t="shared" si="141"/>
        <v>#DIV/0!</v>
      </c>
      <c r="AL22" s="28">
        <f t="shared" si="141"/>
        <v>0</v>
      </c>
      <c r="AM22" s="23" t="e">
        <f t="shared" si="141"/>
        <v>#DIV/0!</v>
      </c>
      <c r="AN22" s="23">
        <f t="shared" si="141"/>
        <v>0</v>
      </c>
      <c r="AO22" s="26">
        <f t="shared" si="141"/>
        <v>0.97001499250374812</v>
      </c>
      <c r="AP22" s="23">
        <f t="shared" si="141"/>
        <v>1.6030174446016031E-2</v>
      </c>
      <c r="AQ22" s="23" t="e">
        <f t="shared" si="141"/>
        <v>#DIV/0!</v>
      </c>
      <c r="AR22" s="23">
        <f t="shared" si="141"/>
        <v>1.824817518248175E-2</v>
      </c>
      <c r="AS22" s="23" t="e">
        <f t="shared" si="141"/>
        <v>#DIV/0!</v>
      </c>
      <c r="AT22" s="27">
        <f t="shared" si="141"/>
        <v>0.5714285714285714</v>
      </c>
      <c r="AU22" s="23">
        <f t="shared" si="141"/>
        <v>0</v>
      </c>
      <c r="AV22" s="23">
        <f t="shared" si="141"/>
        <v>0</v>
      </c>
      <c r="AW22" s="23" t="e">
        <f t="shared" si="141"/>
        <v>#DIV/0!</v>
      </c>
      <c r="AX22" s="28">
        <f t="shared" si="141"/>
        <v>0.19003539341138034</v>
      </c>
      <c r="AY22" s="23" t="e">
        <f t="shared" si="141"/>
        <v>#DIV/0!</v>
      </c>
      <c r="AZ22" s="23">
        <f t="shared" si="141"/>
        <v>0</v>
      </c>
      <c r="BA22" s="26">
        <f t="shared" si="141"/>
        <v>0</v>
      </c>
      <c r="BB22" s="23">
        <f t="shared" si="141"/>
        <v>0</v>
      </c>
      <c r="BC22" s="23" t="e">
        <f t="shared" si="141"/>
        <v>#DIV/0!</v>
      </c>
      <c r="BD22" s="23">
        <f t="shared" si="141"/>
        <v>0</v>
      </c>
      <c r="BE22" s="23">
        <f t="shared" si="141"/>
        <v>0</v>
      </c>
      <c r="BF22" s="27">
        <f t="shared" si="141"/>
        <v>0</v>
      </c>
      <c r="BG22" s="23">
        <f t="shared" si="141"/>
        <v>0</v>
      </c>
      <c r="BH22" s="23">
        <f t="shared" si="141"/>
        <v>0</v>
      </c>
      <c r="BI22" s="23" t="e">
        <f t="shared" si="141"/>
        <v>#DIV/0!</v>
      </c>
      <c r="BJ22" s="28">
        <f t="shared" si="141"/>
        <v>0</v>
      </c>
      <c r="BK22" s="23" t="e">
        <f t="shared" si="141"/>
        <v>#DIV/0!</v>
      </c>
      <c r="BL22" s="23"/>
      <c r="BM22" s="26"/>
      <c r="BN22" s="23"/>
      <c r="BO22" s="23"/>
      <c r="BP22" s="23"/>
      <c r="BQ22" s="23"/>
      <c r="BR22" s="27"/>
      <c r="BS22" s="23"/>
      <c r="BT22" s="23"/>
      <c r="BU22" s="23"/>
      <c r="BV22" s="28"/>
    </row>
    <row r="23" spans="2:158" x14ac:dyDescent="0.35">
      <c r="B23" s="14" t="s">
        <v>70</v>
      </c>
      <c r="D23" s="23">
        <f t="shared" si="139"/>
        <v>0</v>
      </c>
      <c r="E23" s="23">
        <f t="shared" si="139"/>
        <v>0.16073619631901839</v>
      </c>
      <c r="F23" s="26">
        <f t="shared" si="139"/>
        <v>0.98777195489915837</v>
      </c>
      <c r="G23" s="23" t="e">
        <f t="shared" si="139"/>
        <v>#DIV/0!</v>
      </c>
      <c r="H23" s="23">
        <f t="shared" si="139"/>
        <v>5.6852184320766011E-2</v>
      </c>
      <c r="I23" s="23">
        <f t="shared" si="139"/>
        <v>0</v>
      </c>
      <c r="J23" s="23">
        <f t="shared" si="139"/>
        <v>0.1875</v>
      </c>
      <c r="K23" s="27">
        <f t="shared" si="139"/>
        <v>1</v>
      </c>
      <c r="L23" s="23">
        <f t="shared" si="139"/>
        <v>0.33300340186099187</v>
      </c>
      <c r="M23" s="23" t="e">
        <f t="shared" si="139"/>
        <v>#DIV/0!</v>
      </c>
      <c r="N23" s="28">
        <f t="shared" si="139"/>
        <v>0.60379537081831147</v>
      </c>
      <c r="O23" s="23" t="e">
        <f t="shared" si="139"/>
        <v>#DIV/0!</v>
      </c>
      <c r="P23" s="23">
        <f t="shared" ref="P23:Y23" si="142">P8/P$10</f>
        <v>0</v>
      </c>
      <c r="Q23" s="23">
        <f t="shared" si="142"/>
        <v>0</v>
      </c>
      <c r="R23" s="26">
        <f t="shared" si="142"/>
        <v>1</v>
      </c>
      <c r="S23" s="23" t="e">
        <f t="shared" si="142"/>
        <v>#DIV/0!</v>
      </c>
      <c r="T23" s="23">
        <f t="shared" si="142"/>
        <v>3.6745406824146988E-2</v>
      </c>
      <c r="U23" s="23" t="e">
        <f t="shared" si="142"/>
        <v>#DIV/0!</v>
      </c>
      <c r="V23" s="23">
        <f t="shared" si="142"/>
        <v>0.5</v>
      </c>
      <c r="W23" s="27">
        <f t="shared" si="142"/>
        <v>1</v>
      </c>
      <c r="X23" s="23">
        <f t="shared" si="142"/>
        <v>0.77715313125174112</v>
      </c>
      <c r="Y23" s="23" t="e">
        <f t="shared" si="142"/>
        <v>#DIV/0!</v>
      </c>
      <c r="Z23" s="28">
        <f t="shared" ref="Z23:BK23" si="143">Z8/Z$10</f>
        <v>0.7262682603791315</v>
      </c>
      <c r="AA23" s="23" t="e">
        <f t="shared" si="143"/>
        <v>#DIV/0!</v>
      </c>
      <c r="AB23" s="23">
        <f t="shared" si="143"/>
        <v>0</v>
      </c>
      <c r="AC23" s="23">
        <f t="shared" si="143"/>
        <v>0.78095238095238095</v>
      </c>
      <c r="AD23" s="26">
        <f t="shared" si="143"/>
        <v>1</v>
      </c>
      <c r="AE23" s="23" t="e">
        <f t="shared" si="143"/>
        <v>#DIV/0!</v>
      </c>
      <c r="AF23" s="23">
        <f t="shared" si="143"/>
        <v>0.32258064516129031</v>
      </c>
      <c r="AG23" s="23" t="e">
        <f t="shared" si="143"/>
        <v>#DIV/0!</v>
      </c>
      <c r="AH23" s="23">
        <f t="shared" si="143"/>
        <v>0.2</v>
      </c>
      <c r="AI23" s="27">
        <f t="shared" si="143"/>
        <v>1</v>
      </c>
      <c r="AJ23" s="23">
        <f t="shared" si="143"/>
        <v>0.77777777777777768</v>
      </c>
      <c r="AK23" s="23" t="e">
        <f t="shared" si="143"/>
        <v>#DIV/0!</v>
      </c>
      <c r="AL23" s="28">
        <f t="shared" si="143"/>
        <v>0.70742753623188415</v>
      </c>
      <c r="AM23" s="23" t="e">
        <f t="shared" si="143"/>
        <v>#DIV/0!</v>
      </c>
      <c r="AN23" s="23">
        <f t="shared" si="143"/>
        <v>0</v>
      </c>
      <c r="AO23" s="23">
        <f t="shared" si="143"/>
        <v>2.8485757121439279E-2</v>
      </c>
      <c r="AP23" s="26">
        <f t="shared" si="143"/>
        <v>0.98396982555398393</v>
      </c>
      <c r="AQ23" s="23" t="e">
        <f t="shared" si="143"/>
        <v>#DIV/0!</v>
      </c>
      <c r="AR23" s="23">
        <f t="shared" si="143"/>
        <v>0.12773722627737225</v>
      </c>
      <c r="AS23" s="23" t="e">
        <f t="shared" si="143"/>
        <v>#DIV/0!</v>
      </c>
      <c r="AT23" s="23">
        <f t="shared" si="143"/>
        <v>0.14285714285714285</v>
      </c>
      <c r="AU23" s="27">
        <f t="shared" si="143"/>
        <v>1</v>
      </c>
      <c r="AV23" s="23">
        <f t="shared" si="143"/>
        <v>0.125</v>
      </c>
      <c r="AW23" s="23" t="e">
        <f t="shared" si="143"/>
        <v>#DIV/0!</v>
      </c>
      <c r="AX23" s="28">
        <f t="shared" si="143"/>
        <v>0.58616934386060437</v>
      </c>
      <c r="AY23" s="23" t="e">
        <f t="shared" si="143"/>
        <v>#DIV/0!</v>
      </c>
      <c r="AZ23" s="23">
        <f t="shared" si="143"/>
        <v>0</v>
      </c>
      <c r="BA23" s="23">
        <f t="shared" si="143"/>
        <v>0.71428571428571419</v>
      </c>
      <c r="BB23" s="26">
        <f t="shared" si="143"/>
        <v>0.97669376693766941</v>
      </c>
      <c r="BC23" s="23" t="e">
        <f t="shared" si="143"/>
        <v>#DIV/0!</v>
      </c>
      <c r="BD23" s="23">
        <f t="shared" si="143"/>
        <v>3.654822335025381E-2</v>
      </c>
      <c r="BE23" s="23">
        <f t="shared" si="143"/>
        <v>0</v>
      </c>
      <c r="BF23" s="23">
        <f t="shared" si="143"/>
        <v>0</v>
      </c>
      <c r="BG23" s="27">
        <f t="shared" si="143"/>
        <v>1</v>
      </c>
      <c r="BH23" s="23">
        <f t="shared" si="143"/>
        <v>0</v>
      </c>
      <c r="BI23" s="23" t="e">
        <f t="shared" si="143"/>
        <v>#DIV/0!</v>
      </c>
      <c r="BJ23" s="28">
        <f t="shared" si="143"/>
        <v>0.51132951132951143</v>
      </c>
      <c r="BK23" s="23" t="e">
        <f t="shared" si="143"/>
        <v>#DIV/0!</v>
      </c>
      <c r="BL23" s="23"/>
      <c r="BM23" s="23"/>
      <c r="BN23" s="26"/>
      <c r="BO23" s="23"/>
      <c r="BP23" s="23"/>
      <c r="BQ23" s="23"/>
      <c r="BR23" s="23"/>
      <c r="BS23" s="27"/>
      <c r="BT23" s="23"/>
      <c r="BU23" s="23"/>
      <c r="BV23" s="28"/>
    </row>
    <row r="24" spans="2:158" x14ac:dyDescent="0.35">
      <c r="B24" s="14" t="s">
        <v>71</v>
      </c>
      <c r="D24" s="23">
        <f t="shared" si="139"/>
        <v>0</v>
      </c>
      <c r="E24" s="23">
        <f t="shared" si="139"/>
        <v>0</v>
      </c>
      <c r="F24" s="23">
        <f t="shared" si="139"/>
        <v>0</v>
      </c>
      <c r="G24" s="23" t="e">
        <f t="shared" si="139"/>
        <v>#DIV/0!</v>
      </c>
      <c r="H24" s="26">
        <f t="shared" si="139"/>
        <v>0.90065828845002993</v>
      </c>
      <c r="I24" s="23">
        <f t="shared" si="139"/>
        <v>0</v>
      </c>
      <c r="J24" s="23">
        <f t="shared" si="139"/>
        <v>0</v>
      </c>
      <c r="K24" s="23">
        <f t="shared" si="139"/>
        <v>0</v>
      </c>
      <c r="L24" s="27">
        <f t="shared" si="139"/>
        <v>0.58852641012265428</v>
      </c>
      <c r="M24" s="23" t="e">
        <f t="shared" si="139"/>
        <v>#DIV/0!</v>
      </c>
      <c r="N24" s="28">
        <f t="shared" si="139"/>
        <v>0.14212996162512079</v>
      </c>
      <c r="O24" s="23" t="e">
        <f t="shared" si="139"/>
        <v>#DIV/0!</v>
      </c>
      <c r="P24" s="23">
        <f t="shared" ref="P24:Y24" si="144">P9/P$10</f>
        <v>0</v>
      </c>
      <c r="Q24" s="23">
        <f t="shared" si="144"/>
        <v>0</v>
      </c>
      <c r="R24" s="23">
        <f t="shared" si="144"/>
        <v>0</v>
      </c>
      <c r="S24" s="23" t="e">
        <f t="shared" si="144"/>
        <v>#DIV/0!</v>
      </c>
      <c r="T24" s="26">
        <f t="shared" si="144"/>
        <v>0.89763779527559051</v>
      </c>
      <c r="U24" s="23" t="e">
        <f t="shared" si="144"/>
        <v>#DIV/0!</v>
      </c>
      <c r="V24" s="23">
        <f t="shared" si="144"/>
        <v>0</v>
      </c>
      <c r="W24" s="23">
        <f t="shared" si="144"/>
        <v>0</v>
      </c>
      <c r="X24" s="27">
        <f t="shared" si="144"/>
        <v>0.22284686874825901</v>
      </c>
      <c r="Y24" s="23" t="e">
        <f t="shared" si="144"/>
        <v>#DIV/0!</v>
      </c>
      <c r="Z24" s="28">
        <f t="shared" ref="Z24:BK24" si="145">Z9/Z$10</f>
        <v>0.14576427001482781</v>
      </c>
      <c r="AA24" s="23" t="e">
        <f t="shared" si="145"/>
        <v>#DIV/0!</v>
      </c>
      <c r="AB24" s="23">
        <f t="shared" si="145"/>
        <v>0</v>
      </c>
      <c r="AC24" s="23">
        <f t="shared" si="145"/>
        <v>0</v>
      </c>
      <c r="AD24" s="23">
        <f t="shared" si="145"/>
        <v>0</v>
      </c>
      <c r="AE24" s="23" t="e">
        <f t="shared" si="145"/>
        <v>#DIV/0!</v>
      </c>
      <c r="AF24" s="26">
        <f t="shared" si="145"/>
        <v>0</v>
      </c>
      <c r="AG24" s="23" t="e">
        <f t="shared" si="145"/>
        <v>#DIV/0!</v>
      </c>
      <c r="AH24" s="23">
        <f t="shared" si="145"/>
        <v>0</v>
      </c>
      <c r="AI24" s="23">
        <f t="shared" si="145"/>
        <v>0</v>
      </c>
      <c r="AJ24" s="27">
        <f t="shared" si="145"/>
        <v>0</v>
      </c>
      <c r="AK24" s="23" t="e">
        <f t="shared" si="145"/>
        <v>#DIV/0!</v>
      </c>
      <c r="AL24" s="28">
        <f t="shared" si="145"/>
        <v>0</v>
      </c>
      <c r="AM24" s="23" t="e">
        <f t="shared" si="145"/>
        <v>#DIV/0!</v>
      </c>
      <c r="AN24" s="23">
        <f t="shared" si="145"/>
        <v>0</v>
      </c>
      <c r="AO24" s="23">
        <f t="shared" si="145"/>
        <v>0</v>
      </c>
      <c r="AP24" s="23">
        <f t="shared" si="145"/>
        <v>0</v>
      </c>
      <c r="AQ24" s="23" t="e">
        <f t="shared" si="145"/>
        <v>#DIV/0!</v>
      </c>
      <c r="AR24" s="26">
        <f t="shared" si="145"/>
        <v>0.82481751824817529</v>
      </c>
      <c r="AS24" s="23" t="e">
        <f t="shared" si="145"/>
        <v>#DIV/0!</v>
      </c>
      <c r="AT24" s="23">
        <f t="shared" si="145"/>
        <v>0</v>
      </c>
      <c r="AU24" s="23">
        <f t="shared" si="145"/>
        <v>0</v>
      </c>
      <c r="AV24" s="27">
        <f t="shared" si="145"/>
        <v>0.875</v>
      </c>
      <c r="AW24" s="23" t="e">
        <f t="shared" si="145"/>
        <v>#DIV/0!</v>
      </c>
      <c r="AX24" s="28">
        <f t="shared" si="145"/>
        <v>6.7247481622651789E-2</v>
      </c>
      <c r="AY24" s="23" t="e">
        <f t="shared" si="145"/>
        <v>#DIV/0!</v>
      </c>
      <c r="AZ24" s="23">
        <f t="shared" si="145"/>
        <v>0</v>
      </c>
      <c r="BA24" s="23">
        <f t="shared" si="145"/>
        <v>0</v>
      </c>
      <c r="BB24" s="23">
        <f t="shared" si="145"/>
        <v>0</v>
      </c>
      <c r="BC24" s="23" t="e">
        <f t="shared" si="145"/>
        <v>#DIV/0!</v>
      </c>
      <c r="BD24" s="26">
        <f t="shared" si="145"/>
        <v>0.95126903553299491</v>
      </c>
      <c r="BE24" s="23">
        <f t="shared" si="145"/>
        <v>0</v>
      </c>
      <c r="BF24" s="23">
        <f t="shared" si="145"/>
        <v>0</v>
      </c>
      <c r="BG24" s="23">
        <f t="shared" si="145"/>
        <v>0</v>
      </c>
      <c r="BH24" s="27">
        <f t="shared" si="145"/>
        <v>0.77777777777777779</v>
      </c>
      <c r="BI24" s="23" t="e">
        <f t="shared" si="145"/>
        <v>#DIV/0!</v>
      </c>
      <c r="BJ24" s="28">
        <f t="shared" si="145"/>
        <v>0.2577122577122577</v>
      </c>
      <c r="BK24" s="23" t="e">
        <f t="shared" si="145"/>
        <v>#DIV/0!</v>
      </c>
      <c r="BL24" s="23"/>
      <c r="BM24" s="23"/>
      <c r="BN24" s="23"/>
      <c r="BO24" s="23"/>
      <c r="BP24" s="26"/>
      <c r="BQ24" s="23"/>
      <c r="BR24" s="23"/>
      <c r="BS24" s="23"/>
      <c r="BT24" s="27"/>
      <c r="BU24" s="23"/>
      <c r="BV24" s="28"/>
    </row>
    <row r="25" spans="2:158" x14ac:dyDescent="0.35">
      <c r="B25" s="25" t="s">
        <v>98</v>
      </c>
      <c r="D25" s="24">
        <f>D10/D$10</f>
        <v>1</v>
      </c>
      <c r="E25" s="24">
        <f t="shared" ref="E25:O25" si="146">E10/E$10</f>
        <v>1</v>
      </c>
      <c r="F25" s="24">
        <f t="shared" si="146"/>
        <v>1</v>
      </c>
      <c r="G25" s="24" t="e">
        <f t="shared" si="146"/>
        <v>#DIV/0!</v>
      </c>
      <c r="H25" s="24">
        <f t="shared" si="146"/>
        <v>1</v>
      </c>
      <c r="I25" s="24">
        <f t="shared" si="146"/>
        <v>1</v>
      </c>
      <c r="J25" s="24">
        <f t="shared" si="146"/>
        <v>1</v>
      </c>
      <c r="K25" s="24">
        <f t="shared" si="146"/>
        <v>1</v>
      </c>
      <c r="L25" s="24">
        <f t="shared" si="146"/>
        <v>1</v>
      </c>
      <c r="M25" s="24" t="e">
        <f t="shared" si="146"/>
        <v>#DIV/0!</v>
      </c>
      <c r="N25" s="28">
        <f t="shared" si="146"/>
        <v>1</v>
      </c>
      <c r="O25" s="24" t="e">
        <f t="shared" si="146"/>
        <v>#DIV/0!</v>
      </c>
      <c r="P25" s="24">
        <f t="shared" ref="P25:Y25" si="147">P10/P$10</f>
        <v>1</v>
      </c>
      <c r="Q25" s="24">
        <f t="shared" si="147"/>
        <v>1</v>
      </c>
      <c r="R25" s="24">
        <f t="shared" si="147"/>
        <v>1</v>
      </c>
      <c r="S25" s="24" t="e">
        <f t="shared" si="147"/>
        <v>#DIV/0!</v>
      </c>
      <c r="T25" s="24">
        <f t="shared" si="147"/>
        <v>1</v>
      </c>
      <c r="U25" s="24" t="e">
        <f t="shared" si="147"/>
        <v>#DIV/0!</v>
      </c>
      <c r="V25" s="24">
        <f t="shared" si="147"/>
        <v>1</v>
      </c>
      <c r="W25" s="24">
        <f t="shared" si="147"/>
        <v>1</v>
      </c>
      <c r="X25" s="24">
        <f t="shared" si="147"/>
        <v>1</v>
      </c>
      <c r="Y25" s="24" t="e">
        <f t="shared" si="147"/>
        <v>#DIV/0!</v>
      </c>
      <c r="Z25" s="28">
        <f t="shared" ref="Z25:BK25" si="148">Z10/Z$10</f>
        <v>1</v>
      </c>
      <c r="AA25" s="24" t="e">
        <f t="shared" si="148"/>
        <v>#DIV/0!</v>
      </c>
      <c r="AB25" s="24">
        <f t="shared" si="148"/>
        <v>1</v>
      </c>
      <c r="AC25" s="24">
        <f t="shared" si="148"/>
        <v>1</v>
      </c>
      <c r="AD25" s="24">
        <f t="shared" si="148"/>
        <v>1</v>
      </c>
      <c r="AE25" s="24" t="e">
        <f t="shared" si="148"/>
        <v>#DIV/0!</v>
      </c>
      <c r="AF25" s="24">
        <f t="shared" si="148"/>
        <v>1</v>
      </c>
      <c r="AG25" s="24" t="e">
        <f t="shared" si="148"/>
        <v>#DIV/0!</v>
      </c>
      <c r="AH25" s="24">
        <f t="shared" si="148"/>
        <v>1</v>
      </c>
      <c r="AI25" s="24">
        <f t="shared" si="148"/>
        <v>1</v>
      </c>
      <c r="AJ25" s="24">
        <f t="shared" si="148"/>
        <v>1</v>
      </c>
      <c r="AK25" s="24" t="e">
        <f t="shared" si="148"/>
        <v>#DIV/0!</v>
      </c>
      <c r="AL25" s="28">
        <f t="shared" si="148"/>
        <v>1</v>
      </c>
      <c r="AM25" s="24" t="e">
        <f t="shared" si="148"/>
        <v>#DIV/0!</v>
      </c>
      <c r="AN25" s="24">
        <f t="shared" si="148"/>
        <v>1</v>
      </c>
      <c r="AO25" s="24">
        <f t="shared" si="148"/>
        <v>1</v>
      </c>
      <c r="AP25" s="24">
        <f t="shared" si="148"/>
        <v>1</v>
      </c>
      <c r="AQ25" s="24" t="e">
        <f t="shared" si="148"/>
        <v>#DIV/0!</v>
      </c>
      <c r="AR25" s="24">
        <f t="shared" si="148"/>
        <v>1</v>
      </c>
      <c r="AS25" s="24" t="e">
        <f t="shared" si="148"/>
        <v>#DIV/0!</v>
      </c>
      <c r="AT25" s="24">
        <f t="shared" si="148"/>
        <v>1</v>
      </c>
      <c r="AU25" s="24">
        <f t="shared" si="148"/>
        <v>1</v>
      </c>
      <c r="AV25" s="24">
        <f t="shared" si="148"/>
        <v>1</v>
      </c>
      <c r="AW25" s="24" t="e">
        <f t="shared" si="148"/>
        <v>#DIV/0!</v>
      </c>
      <c r="AX25" s="28">
        <f t="shared" si="148"/>
        <v>1</v>
      </c>
      <c r="AY25" s="24" t="e">
        <f t="shared" si="148"/>
        <v>#DIV/0!</v>
      </c>
      <c r="AZ25" s="24">
        <f t="shared" si="148"/>
        <v>1</v>
      </c>
      <c r="BA25" s="24">
        <f t="shared" si="148"/>
        <v>1</v>
      </c>
      <c r="BB25" s="24">
        <f t="shared" si="148"/>
        <v>1</v>
      </c>
      <c r="BC25" s="24" t="e">
        <f t="shared" si="148"/>
        <v>#DIV/0!</v>
      </c>
      <c r="BD25" s="24">
        <f t="shared" si="148"/>
        <v>1</v>
      </c>
      <c r="BE25" s="24">
        <f t="shared" si="148"/>
        <v>1</v>
      </c>
      <c r="BF25" s="24">
        <f t="shared" si="148"/>
        <v>1</v>
      </c>
      <c r="BG25" s="24">
        <f t="shared" si="148"/>
        <v>1</v>
      </c>
      <c r="BH25" s="24">
        <f t="shared" si="148"/>
        <v>1</v>
      </c>
      <c r="BI25" s="24" t="e">
        <f t="shared" si="148"/>
        <v>#DIV/0!</v>
      </c>
      <c r="BJ25" s="28">
        <f t="shared" si="148"/>
        <v>1</v>
      </c>
      <c r="BK25" s="24" t="e">
        <f t="shared" si="148"/>
        <v>#DIV/0!</v>
      </c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8"/>
    </row>
    <row r="26" spans="2:158" x14ac:dyDescent="0.35">
      <c r="L26" s="2"/>
    </row>
    <row r="27" spans="2:158" x14ac:dyDescent="0.35">
      <c r="L27" s="2"/>
    </row>
    <row r="28" spans="2:158" x14ac:dyDescent="0.35">
      <c r="L28" s="2"/>
    </row>
    <row r="29" spans="2:158" x14ac:dyDescent="0.35">
      <c r="L29" s="2"/>
    </row>
    <row r="30" spans="2:158" x14ac:dyDescent="0.35">
      <c r="L30" s="2"/>
    </row>
    <row r="31" spans="2:158" x14ac:dyDescent="0.35">
      <c r="L31" s="2"/>
    </row>
    <row r="32" spans="2:158" x14ac:dyDescent="0.35">
      <c r="L32" s="2"/>
    </row>
    <row r="33" spans="12:12" x14ac:dyDescent="0.35">
      <c r="L33" s="2"/>
    </row>
    <row r="34" spans="12:12" x14ac:dyDescent="0.35">
      <c r="L34" s="2"/>
    </row>
    <row r="35" spans="12:12" x14ac:dyDescent="0.35">
      <c r="L35" s="2"/>
    </row>
    <row r="36" spans="12:12" x14ac:dyDescent="0.35">
      <c r="L36" s="2"/>
    </row>
    <row r="37" spans="12:12" x14ac:dyDescent="0.35">
      <c r="L37" s="2"/>
    </row>
    <row r="38" spans="12:12" x14ac:dyDescent="0.35">
      <c r="L38" s="2"/>
    </row>
    <row r="39" spans="12:12" x14ac:dyDescent="0.35">
      <c r="L39" s="2"/>
    </row>
    <row r="40" spans="12:12" x14ac:dyDescent="0.35">
      <c r="L40" s="2"/>
    </row>
    <row r="41" spans="12:12" x14ac:dyDescent="0.35">
      <c r="L41" s="2"/>
    </row>
  </sheetData>
  <mergeCells count="13">
    <mergeCell ref="BL4:BV4"/>
    <mergeCell ref="B4:B5"/>
    <mergeCell ref="P4:Z4"/>
    <mergeCell ref="AB4:AL4"/>
    <mergeCell ref="AN4:AX4"/>
    <mergeCell ref="AZ4:BJ4"/>
    <mergeCell ref="ER4:FB4"/>
    <mergeCell ref="BX4:CH4"/>
    <mergeCell ref="CJ4:CT4"/>
    <mergeCell ref="CV4:DF4"/>
    <mergeCell ref="DH4:DR4"/>
    <mergeCell ref="DT4:ED4"/>
    <mergeCell ref="EF4:E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2A38-03D0-4BE0-BC30-C55ADDA1AB23}">
  <sheetPr>
    <tabColor rgb="FFFFC000"/>
  </sheetPr>
  <dimension ref="A1:FB41"/>
  <sheetViews>
    <sheetView showGridLines="0" zoomScale="115" zoomScaleNormal="115" workbookViewId="0">
      <pane xSplit="2" ySplit="5" topLeftCell="C11" activePane="bottomRight" state="frozen"/>
      <selection pane="topRight" activeCell="C1" sqref="C1"/>
      <selection pane="bottomLeft" activeCell="A4" sqref="A4"/>
      <selection pane="bottomRight" activeCell="D18" sqref="D18:H18"/>
    </sheetView>
  </sheetViews>
  <sheetFormatPr defaultRowHeight="14.5" outlineLevelRow="1" outlineLevelCol="1" x14ac:dyDescent="0.35"/>
  <cols>
    <col min="1" max="1" width="3.08203125" style="5" hidden="1" customWidth="1" outlineLevel="1"/>
    <col min="2" max="2" width="14.9140625" customWidth="1" collapsed="1"/>
    <col min="3" max="3" width="0.75" customWidth="1"/>
    <col min="4" max="6" width="12.4140625" customWidth="1"/>
    <col min="7" max="7" width="12.4140625" hidden="1" customWidth="1"/>
    <col min="8" max="12" width="12.4140625" customWidth="1"/>
    <col min="13" max="13" width="12.4140625" hidden="1" customWidth="1"/>
    <col min="14" max="14" width="12.4140625" customWidth="1"/>
    <col min="15" max="15" width="0.75" customWidth="1"/>
    <col min="16" max="20" width="11.25" hidden="1" customWidth="1" outlineLevel="1"/>
    <col min="21" max="25" width="13" hidden="1" customWidth="1" outlineLevel="1"/>
    <col min="26" max="26" width="11.25" customWidth="1" collapsed="1"/>
    <col min="27" max="27" width="0.75" customWidth="1"/>
    <col min="28" max="32" width="11.25" hidden="1" customWidth="1" outlineLevel="1"/>
    <col min="33" max="37" width="13" hidden="1" customWidth="1" outlineLevel="1"/>
    <col min="38" max="38" width="11.25" customWidth="1" collapsed="1"/>
    <col min="39" max="39" width="0.75" customWidth="1"/>
    <col min="40" max="44" width="11.25" hidden="1" customWidth="1" outlineLevel="1"/>
    <col min="45" max="49" width="13" hidden="1" customWidth="1" outlineLevel="1"/>
    <col min="50" max="50" width="11.25" customWidth="1" collapsed="1"/>
    <col min="51" max="51" width="0.75" customWidth="1"/>
    <col min="52" max="56" width="11.25" hidden="1" customWidth="1" outlineLevel="1"/>
    <col min="57" max="61" width="13" hidden="1" customWidth="1" outlineLevel="1"/>
    <col min="62" max="62" width="11.25" customWidth="1" collapsed="1"/>
    <col min="63" max="63" width="0.75" customWidth="1"/>
    <col min="64" max="68" width="11.25" hidden="1" customWidth="1" outlineLevel="1"/>
    <col min="69" max="73" width="13" hidden="1" customWidth="1" outlineLevel="1"/>
    <col min="74" max="74" width="11.25" customWidth="1" collapsed="1"/>
    <col min="75" max="75" width="0.75" customWidth="1"/>
    <col min="76" max="80" width="11.25" hidden="1" customWidth="1" outlineLevel="1"/>
    <col min="81" max="85" width="13" hidden="1" customWidth="1" outlineLevel="1"/>
    <col min="86" max="86" width="11.25" customWidth="1" collapsed="1"/>
    <col min="87" max="87" width="0.75" customWidth="1"/>
    <col min="88" max="92" width="11.25" hidden="1" customWidth="1" outlineLevel="1"/>
    <col min="93" max="97" width="13" hidden="1" customWidth="1" outlineLevel="1"/>
    <col min="98" max="98" width="11.25" customWidth="1" collapsed="1"/>
    <col min="99" max="99" width="0.75" customWidth="1"/>
    <col min="100" max="104" width="11.25" hidden="1" customWidth="1" outlineLevel="1"/>
    <col min="105" max="109" width="13" hidden="1" customWidth="1" outlineLevel="1"/>
    <col min="110" max="110" width="11.25" customWidth="1" collapsed="1"/>
    <col min="111" max="111" width="0.75" customWidth="1"/>
    <col min="112" max="116" width="11.25" hidden="1" customWidth="1" outlineLevel="1"/>
    <col min="117" max="121" width="13" hidden="1" customWidth="1" outlineLevel="1"/>
    <col min="122" max="122" width="11.25" customWidth="1" collapsed="1"/>
    <col min="123" max="123" width="0.75" customWidth="1"/>
    <col min="124" max="128" width="11.25" hidden="1" customWidth="1" outlineLevel="1"/>
    <col min="129" max="133" width="13" hidden="1" customWidth="1" outlineLevel="1"/>
    <col min="134" max="134" width="11.25" customWidth="1" collapsed="1"/>
    <col min="135" max="135" width="0.75" customWidth="1"/>
    <col min="136" max="140" width="11.25" hidden="1" customWidth="1" outlineLevel="1"/>
    <col min="141" max="145" width="13" hidden="1" customWidth="1" outlineLevel="1"/>
    <col min="146" max="146" width="11.25" customWidth="1" collapsed="1"/>
    <col min="147" max="147" width="0.75" customWidth="1"/>
    <col min="148" max="152" width="11.25" hidden="1" customWidth="1" outlineLevel="1"/>
    <col min="153" max="157" width="13" hidden="1" customWidth="1" outlineLevel="1"/>
    <col min="158" max="158" width="11.25" customWidth="1" collapsed="1"/>
  </cols>
  <sheetData>
    <row r="1" spans="1:158" s="5" customFormat="1" x14ac:dyDescent="0.35">
      <c r="D1" s="5">
        <v>2025</v>
      </c>
      <c r="E1" s="5">
        <v>2025</v>
      </c>
      <c r="F1" s="5">
        <v>2025</v>
      </c>
      <c r="G1" s="5">
        <v>2025</v>
      </c>
      <c r="H1" s="5">
        <v>2025</v>
      </c>
      <c r="I1" s="5">
        <v>2025</v>
      </c>
      <c r="J1" s="5">
        <v>2025</v>
      </c>
      <c r="K1" s="5">
        <v>2025</v>
      </c>
      <c r="L1" s="5">
        <v>2025</v>
      </c>
      <c r="M1" s="5">
        <v>2025</v>
      </c>
      <c r="P1" s="5">
        <v>2025</v>
      </c>
      <c r="Q1" s="5">
        <v>2025</v>
      </c>
      <c r="R1" s="5">
        <v>2025</v>
      </c>
      <c r="S1" s="5">
        <v>2025</v>
      </c>
      <c r="T1" s="5">
        <v>2025</v>
      </c>
      <c r="U1" s="5">
        <v>2025</v>
      </c>
      <c r="V1" s="5">
        <v>2025</v>
      </c>
      <c r="W1" s="5">
        <v>2025</v>
      </c>
      <c r="X1" s="5">
        <v>2025</v>
      </c>
      <c r="Y1" s="5">
        <v>2025</v>
      </c>
      <c r="AB1" s="5">
        <v>2025</v>
      </c>
      <c r="AC1" s="5">
        <v>2025</v>
      </c>
      <c r="AD1" s="5">
        <v>2025</v>
      </c>
      <c r="AE1" s="5">
        <v>2025</v>
      </c>
      <c r="AF1" s="5">
        <v>2025</v>
      </c>
      <c r="AG1" s="5">
        <v>2025</v>
      </c>
      <c r="AH1" s="5">
        <v>2025</v>
      </c>
      <c r="AI1" s="5">
        <v>2025</v>
      </c>
      <c r="AJ1" s="5">
        <v>2025</v>
      </c>
      <c r="AK1" s="5">
        <v>2025</v>
      </c>
      <c r="AN1" s="5">
        <v>2025</v>
      </c>
      <c r="AO1" s="5">
        <v>2025</v>
      </c>
      <c r="AP1" s="5">
        <v>2025</v>
      </c>
      <c r="AQ1" s="5">
        <v>2025</v>
      </c>
      <c r="AR1" s="5">
        <v>2025</v>
      </c>
      <c r="AS1" s="5">
        <v>2025</v>
      </c>
      <c r="AT1" s="5">
        <v>2025</v>
      </c>
      <c r="AU1" s="5">
        <v>2025</v>
      </c>
      <c r="AV1" s="5">
        <v>2025</v>
      </c>
      <c r="AW1" s="5">
        <v>2025</v>
      </c>
      <c r="AZ1" s="5">
        <v>2025</v>
      </c>
      <c r="BA1" s="5">
        <v>2025</v>
      </c>
      <c r="BB1" s="5">
        <v>2025</v>
      </c>
      <c r="BC1" s="5">
        <v>2025</v>
      </c>
      <c r="BD1" s="5">
        <v>2025</v>
      </c>
      <c r="BE1" s="5">
        <v>2025</v>
      </c>
      <c r="BF1" s="5">
        <v>2025</v>
      </c>
      <c r="BG1" s="5">
        <v>2025</v>
      </c>
      <c r="BH1" s="5">
        <v>2025</v>
      </c>
      <c r="BI1" s="5">
        <v>2025</v>
      </c>
      <c r="BL1" s="5">
        <v>2025</v>
      </c>
      <c r="BM1" s="5">
        <v>2025</v>
      </c>
      <c r="BN1" s="5">
        <v>2025</v>
      </c>
      <c r="BO1" s="5">
        <v>2025</v>
      </c>
      <c r="BP1" s="5">
        <v>2025</v>
      </c>
      <c r="BQ1" s="5">
        <v>2025</v>
      </c>
      <c r="BR1" s="5">
        <v>2025</v>
      </c>
      <c r="BS1" s="5">
        <v>2025</v>
      </c>
      <c r="BT1" s="5">
        <v>2025</v>
      </c>
      <c r="BU1" s="5">
        <v>2025</v>
      </c>
      <c r="BX1" s="5">
        <v>2025</v>
      </c>
      <c r="BY1" s="5">
        <v>2025</v>
      </c>
      <c r="BZ1" s="5">
        <v>2025</v>
      </c>
      <c r="CA1" s="5">
        <v>2025</v>
      </c>
      <c r="CB1" s="5">
        <v>2025</v>
      </c>
      <c r="CC1" s="5">
        <v>2025</v>
      </c>
      <c r="CD1" s="5">
        <v>2025</v>
      </c>
      <c r="CE1" s="5">
        <v>2025</v>
      </c>
      <c r="CF1" s="5">
        <v>2025</v>
      </c>
      <c r="CG1" s="5">
        <v>2025</v>
      </c>
      <c r="CJ1" s="5">
        <v>2025</v>
      </c>
      <c r="CK1" s="5">
        <v>2025</v>
      </c>
      <c r="CL1" s="5">
        <v>2025</v>
      </c>
      <c r="CM1" s="5">
        <v>2025</v>
      </c>
      <c r="CN1" s="5">
        <v>2025</v>
      </c>
      <c r="CO1" s="5">
        <v>2025</v>
      </c>
      <c r="CP1" s="5">
        <v>2025</v>
      </c>
      <c r="CQ1" s="5">
        <v>2025</v>
      </c>
      <c r="CR1" s="5">
        <v>2025</v>
      </c>
      <c r="CS1" s="5">
        <v>2025</v>
      </c>
      <c r="CV1" s="5">
        <v>2025</v>
      </c>
      <c r="CW1" s="5">
        <v>2025</v>
      </c>
      <c r="CX1" s="5">
        <v>2025</v>
      </c>
      <c r="CY1" s="5">
        <v>2025</v>
      </c>
      <c r="CZ1" s="5">
        <v>2025</v>
      </c>
      <c r="DA1" s="5">
        <v>2025</v>
      </c>
      <c r="DB1" s="5">
        <v>2025</v>
      </c>
      <c r="DC1" s="5">
        <v>2025</v>
      </c>
      <c r="DD1" s="5">
        <v>2025</v>
      </c>
      <c r="DE1" s="5">
        <v>2025</v>
      </c>
      <c r="DH1" s="5">
        <v>2025</v>
      </c>
      <c r="DI1" s="5">
        <v>2025</v>
      </c>
      <c r="DJ1" s="5">
        <v>2025</v>
      </c>
      <c r="DK1" s="5">
        <v>2025</v>
      </c>
      <c r="DL1" s="5">
        <v>2025</v>
      </c>
      <c r="DM1" s="5">
        <v>2025</v>
      </c>
      <c r="DN1" s="5">
        <v>2025</v>
      </c>
      <c r="DO1" s="5">
        <v>2025</v>
      </c>
      <c r="DP1" s="5">
        <v>2025</v>
      </c>
      <c r="DQ1" s="5">
        <v>2025</v>
      </c>
      <c r="DT1" s="5">
        <v>2025</v>
      </c>
      <c r="DU1" s="5">
        <v>2025</v>
      </c>
      <c r="DV1" s="5">
        <v>2025</v>
      </c>
      <c r="DW1" s="5">
        <v>2025</v>
      </c>
      <c r="DX1" s="5">
        <v>2025</v>
      </c>
      <c r="DY1" s="5">
        <v>2025</v>
      </c>
      <c r="DZ1" s="5">
        <v>2025</v>
      </c>
      <c r="EA1" s="5">
        <v>2025</v>
      </c>
      <c r="EB1" s="5">
        <v>2025</v>
      </c>
      <c r="EC1" s="5">
        <v>2025</v>
      </c>
      <c r="EF1" s="5">
        <v>2025</v>
      </c>
      <c r="EG1" s="5">
        <v>2025</v>
      </c>
      <c r="EH1" s="5">
        <v>2025</v>
      </c>
      <c r="EI1" s="5">
        <v>2025</v>
      </c>
      <c r="EJ1" s="5">
        <v>2025</v>
      </c>
      <c r="EK1" s="5">
        <v>2025</v>
      </c>
      <c r="EL1" s="5">
        <v>2025</v>
      </c>
      <c r="EM1" s="5">
        <v>2025</v>
      </c>
      <c r="EN1" s="5">
        <v>2025</v>
      </c>
      <c r="EO1" s="5">
        <v>2025</v>
      </c>
      <c r="ER1" s="5">
        <v>2025</v>
      </c>
      <c r="ES1" s="5">
        <v>2025</v>
      </c>
      <c r="ET1" s="5">
        <v>2025</v>
      </c>
      <c r="EU1" s="5">
        <v>2025</v>
      </c>
      <c r="EV1" s="5">
        <v>2025</v>
      </c>
      <c r="EW1" s="5">
        <v>2025</v>
      </c>
      <c r="EX1" s="5">
        <v>2025</v>
      </c>
      <c r="EY1" s="5">
        <v>2025</v>
      </c>
      <c r="EZ1" s="5">
        <v>2025</v>
      </c>
      <c r="FA1" s="5">
        <v>2025</v>
      </c>
    </row>
    <row r="2" spans="1:158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AB2" s="5">
        <v>2</v>
      </c>
      <c r="AC2" s="5">
        <v>2</v>
      </c>
      <c r="AD2" s="5">
        <v>2</v>
      </c>
      <c r="AE2" s="5">
        <v>2</v>
      </c>
      <c r="AF2" s="5">
        <v>2</v>
      </c>
      <c r="AG2" s="5">
        <v>2</v>
      </c>
      <c r="AH2" s="5">
        <v>2</v>
      </c>
      <c r="AI2" s="5">
        <v>2</v>
      </c>
      <c r="AJ2" s="5">
        <v>2</v>
      </c>
      <c r="AK2" s="5">
        <v>2</v>
      </c>
      <c r="AN2" s="5">
        <v>3</v>
      </c>
      <c r="AO2" s="5">
        <v>3</v>
      </c>
      <c r="AP2" s="5">
        <v>3</v>
      </c>
      <c r="AQ2" s="5">
        <v>3</v>
      </c>
      <c r="AR2" s="5">
        <v>3</v>
      </c>
      <c r="AS2" s="5">
        <v>3</v>
      </c>
      <c r="AT2" s="5">
        <v>3</v>
      </c>
      <c r="AU2" s="5">
        <v>3</v>
      </c>
      <c r="AV2" s="5">
        <v>3</v>
      </c>
      <c r="AW2" s="5">
        <v>3</v>
      </c>
      <c r="AZ2" s="5">
        <v>4</v>
      </c>
      <c r="BA2" s="5">
        <v>4</v>
      </c>
      <c r="BB2" s="5">
        <v>4</v>
      </c>
      <c r="BC2" s="5">
        <v>4</v>
      </c>
      <c r="BD2" s="5">
        <v>4</v>
      </c>
      <c r="BE2" s="5">
        <v>4</v>
      </c>
      <c r="BF2" s="5">
        <v>4</v>
      </c>
      <c r="BG2" s="5">
        <v>4</v>
      </c>
      <c r="BH2" s="5">
        <v>4</v>
      </c>
      <c r="BI2" s="5">
        <v>4</v>
      </c>
      <c r="BL2" s="5">
        <v>5</v>
      </c>
      <c r="BM2" s="5">
        <v>5</v>
      </c>
      <c r="BN2" s="5">
        <v>5</v>
      </c>
      <c r="BO2" s="5">
        <v>5</v>
      </c>
      <c r="BP2" s="5">
        <v>5</v>
      </c>
      <c r="BQ2" s="5">
        <v>5</v>
      </c>
      <c r="BR2" s="5">
        <v>5</v>
      </c>
      <c r="BS2" s="5">
        <v>5</v>
      </c>
      <c r="BT2" s="5">
        <v>5</v>
      </c>
      <c r="BU2" s="5">
        <v>5</v>
      </c>
      <c r="BX2" s="5">
        <v>6</v>
      </c>
      <c r="BY2" s="5">
        <v>6</v>
      </c>
      <c r="BZ2" s="5">
        <v>6</v>
      </c>
      <c r="CA2" s="5">
        <v>6</v>
      </c>
      <c r="CB2" s="5">
        <v>6</v>
      </c>
      <c r="CC2" s="5">
        <v>6</v>
      </c>
      <c r="CD2" s="5">
        <v>6</v>
      </c>
      <c r="CE2" s="5">
        <v>6</v>
      </c>
      <c r="CF2" s="5">
        <v>6</v>
      </c>
      <c r="CG2" s="5">
        <v>6</v>
      </c>
      <c r="CJ2" s="5">
        <v>7</v>
      </c>
      <c r="CK2" s="5">
        <v>7</v>
      </c>
      <c r="CL2" s="5">
        <v>7</v>
      </c>
      <c r="CM2" s="5">
        <v>7</v>
      </c>
      <c r="CN2" s="5">
        <v>7</v>
      </c>
      <c r="CO2" s="5">
        <v>7</v>
      </c>
      <c r="CP2" s="5">
        <v>7</v>
      </c>
      <c r="CQ2" s="5">
        <v>7</v>
      </c>
      <c r="CR2" s="5">
        <v>7</v>
      </c>
      <c r="CS2" s="5">
        <v>7</v>
      </c>
      <c r="CV2" s="5">
        <v>8</v>
      </c>
      <c r="CW2" s="5">
        <v>8</v>
      </c>
      <c r="CX2" s="5">
        <v>8</v>
      </c>
      <c r="CY2" s="5">
        <v>8</v>
      </c>
      <c r="CZ2" s="5">
        <v>8</v>
      </c>
      <c r="DA2" s="5">
        <v>8</v>
      </c>
      <c r="DB2" s="5">
        <v>8</v>
      </c>
      <c r="DC2" s="5">
        <v>8</v>
      </c>
      <c r="DD2" s="5">
        <v>8</v>
      </c>
      <c r="DE2" s="5">
        <v>8</v>
      </c>
      <c r="DH2" s="5">
        <v>9</v>
      </c>
      <c r="DI2" s="5">
        <v>9</v>
      </c>
      <c r="DJ2" s="5">
        <v>9</v>
      </c>
      <c r="DK2" s="5">
        <v>9</v>
      </c>
      <c r="DL2" s="5">
        <v>9</v>
      </c>
      <c r="DM2" s="5">
        <v>9</v>
      </c>
      <c r="DN2" s="5">
        <v>9</v>
      </c>
      <c r="DO2" s="5">
        <v>9</v>
      </c>
      <c r="DP2" s="5">
        <v>9</v>
      </c>
      <c r="DQ2" s="5">
        <v>9</v>
      </c>
      <c r="DT2" s="5">
        <v>10</v>
      </c>
      <c r="DU2" s="5">
        <v>10</v>
      </c>
      <c r="DV2" s="5">
        <v>10</v>
      </c>
      <c r="DW2" s="5">
        <v>10</v>
      </c>
      <c r="DX2" s="5">
        <v>10</v>
      </c>
      <c r="DY2" s="5">
        <v>10</v>
      </c>
      <c r="DZ2" s="5">
        <v>10</v>
      </c>
      <c r="EA2" s="5">
        <v>10</v>
      </c>
      <c r="EB2" s="5">
        <v>10</v>
      </c>
      <c r="EC2" s="5">
        <v>10</v>
      </c>
      <c r="EF2" s="5">
        <v>11</v>
      </c>
      <c r="EG2" s="5">
        <v>11</v>
      </c>
      <c r="EH2" s="5">
        <v>11</v>
      </c>
      <c r="EI2" s="5">
        <v>11</v>
      </c>
      <c r="EJ2" s="5">
        <v>11</v>
      </c>
      <c r="EK2" s="5">
        <v>11</v>
      </c>
      <c r="EL2" s="5">
        <v>11</v>
      </c>
      <c r="EM2" s="5">
        <v>11</v>
      </c>
      <c r="EN2" s="5">
        <v>11</v>
      </c>
      <c r="EO2" s="5">
        <v>11</v>
      </c>
      <c r="ER2" s="5">
        <v>12</v>
      </c>
      <c r="ES2" s="5">
        <v>12</v>
      </c>
      <c r="ET2" s="5">
        <v>12</v>
      </c>
      <c r="EU2" s="5">
        <v>12</v>
      </c>
      <c r="EV2" s="5">
        <v>12</v>
      </c>
      <c r="EW2" s="5">
        <v>12</v>
      </c>
      <c r="EX2" s="5">
        <v>12</v>
      </c>
      <c r="EY2" s="5">
        <v>12</v>
      </c>
      <c r="EZ2" s="5">
        <v>12</v>
      </c>
      <c r="FA2" s="5">
        <v>12</v>
      </c>
    </row>
    <row r="3" spans="1:158" s="5" customFormat="1" outlineLevel="1" x14ac:dyDescent="0.35">
      <c r="D3" s="5" t="s">
        <v>68</v>
      </c>
      <c r="E3" s="5" t="s">
        <v>69</v>
      </c>
      <c r="F3" s="5" t="s">
        <v>70</v>
      </c>
      <c r="G3" s="5" t="s">
        <v>67</v>
      </c>
      <c r="H3" s="5" t="s">
        <v>71</v>
      </c>
      <c r="I3" s="5" t="s">
        <v>72</v>
      </c>
      <c r="J3" s="5" t="s">
        <v>73</v>
      </c>
      <c r="K3" s="5" t="s">
        <v>74</v>
      </c>
      <c r="L3" s="5" t="s">
        <v>75</v>
      </c>
      <c r="M3" s="5" t="s">
        <v>76</v>
      </c>
      <c r="P3" s="5" t="s">
        <v>68</v>
      </c>
      <c r="Q3" s="5" t="s">
        <v>69</v>
      </c>
      <c r="R3" s="5" t="s">
        <v>70</v>
      </c>
      <c r="S3" s="5" t="s">
        <v>67</v>
      </c>
      <c r="T3" s="5" t="s">
        <v>71</v>
      </c>
      <c r="U3" s="5" t="s">
        <v>72</v>
      </c>
      <c r="V3" s="5" t="s">
        <v>73</v>
      </c>
      <c r="W3" s="5" t="s">
        <v>74</v>
      </c>
      <c r="X3" s="5" t="s">
        <v>75</v>
      </c>
      <c r="Y3" s="5" t="s">
        <v>76</v>
      </c>
      <c r="AB3" s="5" t="s">
        <v>68</v>
      </c>
      <c r="AC3" s="5" t="s">
        <v>69</v>
      </c>
      <c r="AD3" s="5" t="s">
        <v>70</v>
      </c>
      <c r="AE3" s="5" t="s">
        <v>67</v>
      </c>
      <c r="AF3" s="5" t="s">
        <v>71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  <c r="AN3" s="5" t="s">
        <v>68</v>
      </c>
      <c r="AO3" s="5" t="s">
        <v>69</v>
      </c>
      <c r="AP3" s="5" t="s">
        <v>70</v>
      </c>
      <c r="AQ3" s="5" t="s">
        <v>67</v>
      </c>
      <c r="AR3" s="5" t="s">
        <v>71</v>
      </c>
      <c r="AS3" s="5" t="s">
        <v>72</v>
      </c>
      <c r="AT3" s="5" t="s">
        <v>73</v>
      </c>
      <c r="AU3" s="5" t="s">
        <v>74</v>
      </c>
      <c r="AV3" s="5" t="s">
        <v>75</v>
      </c>
      <c r="AW3" s="5" t="s">
        <v>76</v>
      </c>
      <c r="AZ3" s="5" t="s">
        <v>68</v>
      </c>
      <c r="BA3" s="5" t="s">
        <v>69</v>
      </c>
      <c r="BB3" s="5" t="s">
        <v>70</v>
      </c>
      <c r="BC3" s="5" t="s">
        <v>67</v>
      </c>
      <c r="BD3" s="5" t="s">
        <v>71</v>
      </c>
      <c r="BE3" s="5" t="s">
        <v>72</v>
      </c>
      <c r="BF3" s="5" t="s">
        <v>73</v>
      </c>
      <c r="BG3" s="5" t="s">
        <v>74</v>
      </c>
      <c r="BH3" s="5" t="s">
        <v>75</v>
      </c>
      <c r="BI3" s="5" t="s">
        <v>76</v>
      </c>
      <c r="BL3" s="5" t="s">
        <v>68</v>
      </c>
      <c r="BM3" s="5" t="s">
        <v>69</v>
      </c>
      <c r="BN3" s="5" t="s">
        <v>70</v>
      </c>
      <c r="BO3" s="5" t="s">
        <v>67</v>
      </c>
      <c r="BP3" s="5" t="s">
        <v>71</v>
      </c>
      <c r="BQ3" s="5" t="s">
        <v>72</v>
      </c>
      <c r="BR3" s="5" t="s">
        <v>73</v>
      </c>
      <c r="BS3" s="5" t="s">
        <v>74</v>
      </c>
      <c r="BT3" s="5" t="s">
        <v>75</v>
      </c>
      <c r="BU3" s="5" t="s">
        <v>76</v>
      </c>
      <c r="BX3" s="5" t="s">
        <v>68</v>
      </c>
      <c r="BY3" s="5" t="s">
        <v>69</v>
      </c>
      <c r="BZ3" s="5" t="s">
        <v>70</v>
      </c>
      <c r="CA3" s="5" t="s">
        <v>67</v>
      </c>
      <c r="CB3" s="5" t="s">
        <v>71</v>
      </c>
      <c r="CC3" s="5" t="s">
        <v>72</v>
      </c>
      <c r="CD3" s="5" t="s">
        <v>73</v>
      </c>
      <c r="CE3" s="5" t="s">
        <v>74</v>
      </c>
      <c r="CF3" s="5" t="s">
        <v>75</v>
      </c>
      <c r="CG3" s="5" t="s">
        <v>76</v>
      </c>
      <c r="CJ3" s="5" t="s">
        <v>68</v>
      </c>
      <c r="CK3" s="5" t="s">
        <v>69</v>
      </c>
      <c r="CL3" s="5" t="s">
        <v>70</v>
      </c>
      <c r="CM3" s="5" t="s">
        <v>67</v>
      </c>
      <c r="CN3" s="5" t="s">
        <v>71</v>
      </c>
      <c r="CO3" s="5" t="s">
        <v>72</v>
      </c>
      <c r="CP3" s="5" t="s">
        <v>73</v>
      </c>
      <c r="CQ3" s="5" t="s">
        <v>74</v>
      </c>
      <c r="CR3" s="5" t="s">
        <v>75</v>
      </c>
      <c r="CS3" s="5" t="s">
        <v>76</v>
      </c>
      <c r="CV3" s="5" t="s">
        <v>68</v>
      </c>
      <c r="CW3" s="5" t="s">
        <v>69</v>
      </c>
      <c r="CX3" s="5" t="s">
        <v>70</v>
      </c>
      <c r="CY3" s="5" t="s">
        <v>67</v>
      </c>
      <c r="CZ3" s="5" t="s">
        <v>71</v>
      </c>
      <c r="DA3" s="5" t="s">
        <v>72</v>
      </c>
      <c r="DB3" s="5" t="s">
        <v>73</v>
      </c>
      <c r="DC3" s="5" t="s">
        <v>74</v>
      </c>
      <c r="DD3" s="5" t="s">
        <v>75</v>
      </c>
      <c r="DE3" s="5" t="s">
        <v>76</v>
      </c>
      <c r="DH3" s="5" t="s">
        <v>68</v>
      </c>
      <c r="DI3" s="5" t="s">
        <v>69</v>
      </c>
      <c r="DJ3" s="5" t="s">
        <v>70</v>
      </c>
      <c r="DK3" s="5" t="s">
        <v>67</v>
      </c>
      <c r="DL3" s="5" t="s">
        <v>71</v>
      </c>
      <c r="DM3" s="5" t="s">
        <v>72</v>
      </c>
      <c r="DN3" s="5" t="s">
        <v>73</v>
      </c>
      <c r="DO3" s="5" t="s">
        <v>74</v>
      </c>
      <c r="DP3" s="5" t="s">
        <v>75</v>
      </c>
      <c r="DQ3" s="5" t="s">
        <v>76</v>
      </c>
      <c r="DT3" s="5" t="s">
        <v>68</v>
      </c>
      <c r="DU3" s="5" t="s">
        <v>69</v>
      </c>
      <c r="DV3" s="5" t="s">
        <v>70</v>
      </c>
      <c r="DW3" s="5" t="s">
        <v>67</v>
      </c>
      <c r="DX3" s="5" t="s">
        <v>71</v>
      </c>
      <c r="DY3" s="5" t="s">
        <v>72</v>
      </c>
      <c r="DZ3" s="5" t="s">
        <v>73</v>
      </c>
      <c r="EA3" s="5" t="s">
        <v>74</v>
      </c>
      <c r="EB3" s="5" t="s">
        <v>75</v>
      </c>
      <c r="EC3" s="5" t="s">
        <v>76</v>
      </c>
      <c r="EF3" s="5" t="s">
        <v>68</v>
      </c>
      <c r="EG3" s="5" t="s">
        <v>69</v>
      </c>
      <c r="EH3" s="5" t="s">
        <v>70</v>
      </c>
      <c r="EI3" s="5" t="s">
        <v>67</v>
      </c>
      <c r="EJ3" s="5" t="s">
        <v>71</v>
      </c>
      <c r="EK3" s="5" t="s">
        <v>72</v>
      </c>
      <c r="EL3" s="5" t="s">
        <v>73</v>
      </c>
      <c r="EM3" s="5" t="s">
        <v>74</v>
      </c>
      <c r="EN3" s="5" t="s">
        <v>75</v>
      </c>
      <c r="EO3" s="5" t="s">
        <v>76</v>
      </c>
      <c r="ER3" s="5" t="s">
        <v>68</v>
      </c>
      <c r="ES3" s="5" t="s">
        <v>69</v>
      </c>
      <c r="ET3" s="5" t="s">
        <v>70</v>
      </c>
      <c r="EU3" s="5" t="s">
        <v>67</v>
      </c>
      <c r="EV3" s="5" t="s">
        <v>71</v>
      </c>
      <c r="EW3" s="5" t="s">
        <v>72</v>
      </c>
      <c r="EX3" s="5" t="s">
        <v>73</v>
      </c>
      <c r="EY3" s="5" t="s">
        <v>74</v>
      </c>
      <c r="EZ3" s="5" t="s">
        <v>75</v>
      </c>
      <c r="FA3" s="5" t="s">
        <v>76</v>
      </c>
    </row>
    <row r="4" spans="1:158" x14ac:dyDescent="0.35">
      <c r="B4" s="21" t="s">
        <v>79</v>
      </c>
      <c r="D4" s="10" t="s">
        <v>96</v>
      </c>
      <c r="E4" s="10"/>
      <c r="F4" s="10"/>
      <c r="G4" s="10"/>
      <c r="H4" s="10"/>
      <c r="I4" s="10"/>
      <c r="J4" s="10"/>
      <c r="K4" s="10"/>
      <c r="L4" s="10"/>
      <c r="M4" s="10"/>
      <c r="N4" s="10"/>
      <c r="P4" s="20" t="s">
        <v>82</v>
      </c>
      <c r="Q4" s="20"/>
      <c r="R4" s="20"/>
      <c r="S4" s="20"/>
      <c r="T4" s="20"/>
      <c r="U4" s="20"/>
      <c r="V4" s="20"/>
      <c r="W4" s="20"/>
      <c r="X4" s="20"/>
      <c r="Y4" s="20"/>
      <c r="Z4" s="20"/>
      <c r="AB4" s="20" t="s">
        <v>83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N4" s="20" t="s">
        <v>84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Z4" s="20" t="s">
        <v>85</v>
      </c>
      <c r="BA4" s="20"/>
      <c r="BB4" s="20"/>
      <c r="BC4" s="20"/>
      <c r="BD4" s="20"/>
      <c r="BE4" s="20"/>
      <c r="BF4" s="20"/>
      <c r="BG4" s="20"/>
      <c r="BH4" s="20"/>
      <c r="BI4" s="20"/>
      <c r="BJ4" s="20"/>
      <c r="BL4" s="20" t="s">
        <v>86</v>
      </c>
      <c r="BM4" s="20"/>
      <c r="BN4" s="20"/>
      <c r="BO4" s="20"/>
      <c r="BP4" s="20"/>
      <c r="BQ4" s="20"/>
      <c r="BR4" s="20"/>
      <c r="BS4" s="20"/>
      <c r="BT4" s="20"/>
      <c r="BU4" s="20"/>
      <c r="BV4" s="20"/>
      <c r="BX4" s="20" t="s">
        <v>87</v>
      </c>
      <c r="BY4" s="20"/>
      <c r="BZ4" s="20"/>
      <c r="CA4" s="20"/>
      <c r="CB4" s="20"/>
      <c r="CC4" s="20"/>
      <c r="CD4" s="20"/>
      <c r="CE4" s="20"/>
      <c r="CF4" s="20"/>
      <c r="CG4" s="20"/>
      <c r="CH4" s="20"/>
      <c r="CJ4" s="20" t="s">
        <v>88</v>
      </c>
      <c r="CK4" s="20"/>
      <c r="CL4" s="20"/>
      <c r="CM4" s="20"/>
      <c r="CN4" s="20"/>
      <c r="CO4" s="20"/>
      <c r="CP4" s="20"/>
      <c r="CQ4" s="20"/>
      <c r="CR4" s="20"/>
      <c r="CS4" s="20"/>
      <c r="CT4" s="20"/>
      <c r="CV4" s="20" t="s">
        <v>89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H4" s="20" t="s">
        <v>90</v>
      </c>
      <c r="DI4" s="20"/>
      <c r="DJ4" s="20"/>
      <c r="DK4" s="20"/>
      <c r="DL4" s="20"/>
      <c r="DM4" s="20"/>
      <c r="DN4" s="20"/>
      <c r="DO4" s="20"/>
      <c r="DP4" s="20"/>
      <c r="DQ4" s="20"/>
      <c r="DR4" s="20"/>
      <c r="DT4" s="20" t="s">
        <v>91</v>
      </c>
      <c r="DU4" s="20"/>
      <c r="DV4" s="20"/>
      <c r="DW4" s="20"/>
      <c r="DX4" s="20"/>
      <c r="DY4" s="20"/>
      <c r="DZ4" s="20"/>
      <c r="EA4" s="20"/>
      <c r="EB4" s="20"/>
      <c r="EC4" s="20"/>
      <c r="ED4" s="20"/>
      <c r="EF4" s="20" t="s">
        <v>92</v>
      </c>
      <c r="EG4" s="20"/>
      <c r="EH4" s="20"/>
      <c r="EI4" s="20"/>
      <c r="EJ4" s="20"/>
      <c r="EK4" s="20"/>
      <c r="EL4" s="20"/>
      <c r="EM4" s="20"/>
      <c r="EN4" s="20"/>
      <c r="EO4" s="20"/>
      <c r="EP4" s="20"/>
      <c r="ER4" s="20" t="s">
        <v>93</v>
      </c>
      <c r="ES4" s="20"/>
      <c r="ET4" s="20"/>
      <c r="EU4" s="20"/>
      <c r="EV4" s="20"/>
      <c r="EW4" s="20"/>
      <c r="EX4" s="20"/>
      <c r="EY4" s="20"/>
      <c r="EZ4" s="20"/>
      <c r="FA4" s="20"/>
      <c r="FB4" s="20"/>
    </row>
    <row r="5" spans="1:158" x14ac:dyDescent="0.35">
      <c r="B5" s="22"/>
      <c r="D5" s="11" t="s">
        <v>68</v>
      </c>
      <c r="E5" s="11" t="s">
        <v>69</v>
      </c>
      <c r="F5" s="11" t="s">
        <v>70</v>
      </c>
      <c r="G5" s="11" t="s">
        <v>67</v>
      </c>
      <c r="H5" s="11" t="s">
        <v>71</v>
      </c>
      <c r="I5" s="11" t="s">
        <v>72</v>
      </c>
      <c r="J5" s="11" t="s">
        <v>73</v>
      </c>
      <c r="K5" s="11" t="s">
        <v>74</v>
      </c>
      <c r="L5" s="11" t="s">
        <v>75</v>
      </c>
      <c r="M5" s="11" t="s">
        <v>76</v>
      </c>
      <c r="N5" s="11" t="s">
        <v>78</v>
      </c>
      <c r="P5" s="12" t="s">
        <v>68</v>
      </c>
      <c r="Q5" s="12" t="s">
        <v>69</v>
      </c>
      <c r="R5" s="12" t="s">
        <v>70</v>
      </c>
      <c r="S5" s="12" t="s">
        <v>67</v>
      </c>
      <c r="T5" s="12" t="s">
        <v>71</v>
      </c>
      <c r="U5" s="12" t="s">
        <v>72</v>
      </c>
      <c r="V5" s="12" t="s">
        <v>73</v>
      </c>
      <c r="W5" s="12" t="s">
        <v>74</v>
      </c>
      <c r="X5" s="12" t="s">
        <v>75</v>
      </c>
      <c r="Y5" s="12" t="s">
        <v>76</v>
      </c>
      <c r="Z5" s="12" t="s">
        <v>78</v>
      </c>
      <c r="AB5" s="12" t="s">
        <v>68</v>
      </c>
      <c r="AC5" s="12" t="s">
        <v>69</v>
      </c>
      <c r="AD5" s="12" t="s">
        <v>70</v>
      </c>
      <c r="AE5" s="12" t="s">
        <v>67</v>
      </c>
      <c r="AF5" s="12" t="s">
        <v>71</v>
      </c>
      <c r="AG5" s="12" t="s">
        <v>72</v>
      </c>
      <c r="AH5" s="12" t="s">
        <v>73</v>
      </c>
      <c r="AI5" s="12" t="s">
        <v>74</v>
      </c>
      <c r="AJ5" s="12" t="s">
        <v>75</v>
      </c>
      <c r="AK5" s="12" t="s">
        <v>76</v>
      </c>
      <c r="AL5" s="12" t="s">
        <v>78</v>
      </c>
      <c r="AN5" s="12" t="s">
        <v>68</v>
      </c>
      <c r="AO5" s="12" t="s">
        <v>69</v>
      </c>
      <c r="AP5" s="12" t="s">
        <v>70</v>
      </c>
      <c r="AQ5" s="12" t="s">
        <v>67</v>
      </c>
      <c r="AR5" s="12" t="s">
        <v>71</v>
      </c>
      <c r="AS5" s="12" t="s">
        <v>72</v>
      </c>
      <c r="AT5" s="12" t="s">
        <v>73</v>
      </c>
      <c r="AU5" s="12" t="s">
        <v>74</v>
      </c>
      <c r="AV5" s="12" t="s">
        <v>75</v>
      </c>
      <c r="AW5" s="12" t="s">
        <v>76</v>
      </c>
      <c r="AX5" s="12" t="s">
        <v>78</v>
      </c>
      <c r="AZ5" s="12" t="s">
        <v>68</v>
      </c>
      <c r="BA5" s="12" t="s">
        <v>69</v>
      </c>
      <c r="BB5" s="12" t="s">
        <v>70</v>
      </c>
      <c r="BC5" s="12" t="s">
        <v>67</v>
      </c>
      <c r="BD5" s="12" t="s">
        <v>71</v>
      </c>
      <c r="BE5" s="12" t="s">
        <v>72</v>
      </c>
      <c r="BF5" s="12" t="s">
        <v>73</v>
      </c>
      <c r="BG5" s="12" t="s">
        <v>74</v>
      </c>
      <c r="BH5" s="12" t="s">
        <v>75</v>
      </c>
      <c r="BI5" s="12" t="s">
        <v>76</v>
      </c>
      <c r="BJ5" s="12" t="s">
        <v>78</v>
      </c>
      <c r="BL5" s="12" t="s">
        <v>68</v>
      </c>
      <c r="BM5" s="12" t="s">
        <v>69</v>
      </c>
      <c r="BN5" s="12" t="s">
        <v>70</v>
      </c>
      <c r="BO5" s="12" t="s">
        <v>67</v>
      </c>
      <c r="BP5" s="12" t="s">
        <v>71</v>
      </c>
      <c r="BQ5" s="12" t="s">
        <v>72</v>
      </c>
      <c r="BR5" s="12" t="s">
        <v>73</v>
      </c>
      <c r="BS5" s="12" t="s">
        <v>74</v>
      </c>
      <c r="BT5" s="12" t="s">
        <v>75</v>
      </c>
      <c r="BU5" s="12" t="s">
        <v>76</v>
      </c>
      <c r="BV5" s="12" t="s">
        <v>78</v>
      </c>
      <c r="BX5" s="12" t="s">
        <v>68</v>
      </c>
      <c r="BY5" s="12" t="s">
        <v>69</v>
      </c>
      <c r="BZ5" s="12" t="s">
        <v>70</v>
      </c>
      <c r="CA5" s="12" t="s">
        <v>67</v>
      </c>
      <c r="CB5" s="12" t="s">
        <v>71</v>
      </c>
      <c r="CC5" s="12" t="s">
        <v>72</v>
      </c>
      <c r="CD5" s="12" t="s">
        <v>73</v>
      </c>
      <c r="CE5" s="12" t="s">
        <v>74</v>
      </c>
      <c r="CF5" s="12" t="s">
        <v>75</v>
      </c>
      <c r="CG5" s="12" t="s">
        <v>76</v>
      </c>
      <c r="CH5" s="12" t="s">
        <v>78</v>
      </c>
      <c r="CJ5" s="12" t="s">
        <v>68</v>
      </c>
      <c r="CK5" s="12" t="s">
        <v>69</v>
      </c>
      <c r="CL5" s="12" t="s">
        <v>70</v>
      </c>
      <c r="CM5" s="12" t="s">
        <v>67</v>
      </c>
      <c r="CN5" s="12" t="s">
        <v>71</v>
      </c>
      <c r="CO5" s="12" t="s">
        <v>72</v>
      </c>
      <c r="CP5" s="12" t="s">
        <v>73</v>
      </c>
      <c r="CQ5" s="12" t="s">
        <v>74</v>
      </c>
      <c r="CR5" s="12" t="s">
        <v>75</v>
      </c>
      <c r="CS5" s="12" t="s">
        <v>76</v>
      </c>
      <c r="CT5" s="12" t="s">
        <v>78</v>
      </c>
      <c r="CV5" s="12" t="s">
        <v>68</v>
      </c>
      <c r="CW5" s="12" t="s">
        <v>69</v>
      </c>
      <c r="CX5" s="12" t="s">
        <v>70</v>
      </c>
      <c r="CY5" s="12" t="s">
        <v>67</v>
      </c>
      <c r="CZ5" s="12" t="s">
        <v>71</v>
      </c>
      <c r="DA5" s="12" t="s">
        <v>72</v>
      </c>
      <c r="DB5" s="12" t="s">
        <v>73</v>
      </c>
      <c r="DC5" s="12" t="s">
        <v>74</v>
      </c>
      <c r="DD5" s="12" t="s">
        <v>75</v>
      </c>
      <c r="DE5" s="12" t="s">
        <v>76</v>
      </c>
      <c r="DF5" s="12" t="s">
        <v>78</v>
      </c>
      <c r="DH5" s="12" t="s">
        <v>68</v>
      </c>
      <c r="DI5" s="12" t="s">
        <v>69</v>
      </c>
      <c r="DJ5" s="12" t="s">
        <v>70</v>
      </c>
      <c r="DK5" s="12" t="s">
        <v>67</v>
      </c>
      <c r="DL5" s="12" t="s">
        <v>71</v>
      </c>
      <c r="DM5" s="12" t="s">
        <v>72</v>
      </c>
      <c r="DN5" s="12" t="s">
        <v>73</v>
      </c>
      <c r="DO5" s="12" t="s">
        <v>74</v>
      </c>
      <c r="DP5" s="12" t="s">
        <v>75</v>
      </c>
      <c r="DQ5" s="12" t="s">
        <v>76</v>
      </c>
      <c r="DR5" s="12" t="s">
        <v>78</v>
      </c>
      <c r="DT5" s="12" t="s">
        <v>68</v>
      </c>
      <c r="DU5" s="12" t="s">
        <v>69</v>
      </c>
      <c r="DV5" s="12" t="s">
        <v>70</v>
      </c>
      <c r="DW5" s="12" t="s">
        <v>67</v>
      </c>
      <c r="DX5" s="12" t="s">
        <v>71</v>
      </c>
      <c r="DY5" s="12" t="s">
        <v>72</v>
      </c>
      <c r="DZ5" s="12" t="s">
        <v>73</v>
      </c>
      <c r="EA5" s="12" t="s">
        <v>74</v>
      </c>
      <c r="EB5" s="12" t="s">
        <v>75</v>
      </c>
      <c r="EC5" s="12" t="s">
        <v>76</v>
      </c>
      <c r="ED5" s="12" t="s">
        <v>78</v>
      </c>
      <c r="EF5" s="12" t="s">
        <v>68</v>
      </c>
      <c r="EG5" s="12" t="s">
        <v>69</v>
      </c>
      <c r="EH5" s="12" t="s">
        <v>70</v>
      </c>
      <c r="EI5" s="12" t="s">
        <v>67</v>
      </c>
      <c r="EJ5" s="12" t="s">
        <v>71</v>
      </c>
      <c r="EK5" s="12" t="s">
        <v>72</v>
      </c>
      <c r="EL5" s="12" t="s">
        <v>73</v>
      </c>
      <c r="EM5" s="12" t="s">
        <v>74</v>
      </c>
      <c r="EN5" s="12" t="s">
        <v>75</v>
      </c>
      <c r="EO5" s="12" t="s">
        <v>76</v>
      </c>
      <c r="EP5" s="12" t="s">
        <v>78</v>
      </c>
      <c r="ER5" s="12" t="s">
        <v>68</v>
      </c>
      <c r="ES5" s="12" t="s">
        <v>69</v>
      </c>
      <c r="ET5" s="12" t="s">
        <v>70</v>
      </c>
      <c r="EU5" s="12" t="s">
        <v>67</v>
      </c>
      <c r="EV5" s="12" t="s">
        <v>71</v>
      </c>
      <c r="EW5" s="12" t="s">
        <v>72</v>
      </c>
      <c r="EX5" s="12" t="s">
        <v>73</v>
      </c>
      <c r="EY5" s="12" t="s">
        <v>74</v>
      </c>
      <c r="EZ5" s="12" t="s">
        <v>75</v>
      </c>
      <c r="FA5" s="12" t="s">
        <v>76</v>
      </c>
      <c r="FB5" s="12" t="s">
        <v>78</v>
      </c>
    </row>
    <row r="6" spans="1:158" x14ac:dyDescent="0.35">
      <c r="A6" s="5" t="s">
        <v>68</v>
      </c>
      <c r="B6" t="s">
        <v>68</v>
      </c>
      <c r="D6" s="8" cm="1">
        <f t="array" ref="D6">IF(D$2="FY",SUMPRODUCT(Data[Nhập-SPC+SPP-NX]*(Data[Year]=D$1)*(Data[Main SKU name_GOM]=$A6)*(Data[SKU name_NHẬP_GOM]=D$3)),SUMPRODUCT(Data[Nhập-SPC+SPP-NX]*(Data[Year]=D$1)*(Data[Month]=D$2)*(Data[Main SKU name_GOM]=$A6)*(Data[SKU name_NHẬP_GOM]=D$3)))</f>
        <v>5643800</v>
      </c>
      <c r="E6" s="8" cm="1">
        <f t="array" ref="E6">IF(E$2="FY",SUMPRODUCT(Data[Nhập-SPC+SPP-NX]*(Data[Year]=E$1)*(Data[Main SKU name_GOM]=$A6)*(Data[SKU name_NHẬP_GOM]=E$3)),SUMPRODUCT(Data[Nhập-SPC+SPP-NX]*(Data[Year]=E$1)*(Data[Month]=E$2)*(Data[Main SKU name_GOM]=$A6)*(Data[SKU name_NHẬP_GOM]=E$3)))</f>
        <v>229900</v>
      </c>
      <c r="F6" s="8" cm="1">
        <f t="array" ref="F6">IF(F$2="FY",SUMPRODUCT(Data[Nhập-SPC+SPP-NX]*(Data[Year]=F$1)*(Data[Main SKU name_GOM]=$A6)*(Data[SKU name_NHẬP_GOM]=F$3)),SUMPRODUCT(Data[Nhập-SPC+SPP-NX]*(Data[Year]=F$1)*(Data[Month]=F$2)*(Data[Main SKU name_GOM]=$A6)*(Data[SKU name_NHẬP_GOM]=F$3)))</f>
        <v>138600</v>
      </c>
      <c r="G6" s="8" cm="1">
        <f t="array" ref="G6">IF(G$2="FY",SUMPRODUCT(Data[Nhập-SPC+SPP-NX]*(Data[Year]=G$1)*(Data[Main SKU name_GOM]=$A6)*(Data[SKU name_NHẬP_GOM]=G$3)),SUMPRODUCT(Data[Nhập-SPC+SPP-NX]*(Data[Year]=G$1)*(Data[Month]=G$2)*(Data[Main SKU name_GOM]=$A6)*(Data[SKU name_NHẬP_GOM]=G$3)))</f>
        <v>0</v>
      </c>
      <c r="H6" s="8" cm="1">
        <f t="array" ref="H6">IF(H$2="FY",SUMPRODUCT(Data[Nhập-SPC+SPP-NX]*(Data[Year]=H$1)*(Data[Main SKU name_GOM]=$A6)*(Data[SKU name_NHẬP_GOM]=H$3)),SUMPRODUCT(Data[Nhập-SPC+SPP-NX]*(Data[Year]=H$1)*(Data[Month]=H$2)*(Data[Main SKU name_GOM]=$A6)*(Data[SKU name_NHẬP_GOM]=H$3)))</f>
        <v>316800</v>
      </c>
      <c r="I6" s="8" cm="1">
        <f t="array" ref="I6">IF(I$2="FY",SUMPRODUCT(Data[Nhập-SPC+SPP-NX]*(Data[Year]=I$1)*(Data[Main SKU name_GOM]=$A6)*(Data[SKU name_NHẬP_GOM]=I$3)),SUMPRODUCT(Data[Nhập-SPC+SPP-NX]*(Data[Year]=I$1)*(Data[Month]=I$2)*(Data[Main SKU name_GOM]=$A6)*(Data[SKU name_NHẬP_GOM]=I$3)))</f>
        <v>88000</v>
      </c>
      <c r="J6" s="8" cm="1">
        <f t="array" ref="J6">IF(J$2="FY",SUMPRODUCT(Data[Nhập-SPC+SPP-NX]*(Data[Year]=J$1)*(Data[Main SKU name_GOM]=$A6)*(Data[SKU name_NHẬP_GOM]=J$3)),SUMPRODUCT(Data[Nhập-SPC+SPP-NX]*(Data[Year]=J$1)*(Data[Month]=J$2)*(Data[Main SKU name_GOM]=$A6)*(Data[SKU name_NHẬP_GOM]=J$3)))</f>
        <v>7700</v>
      </c>
      <c r="K6" s="8" cm="1">
        <f t="array" ref="K6">IF(K$2="FY",SUMPRODUCT(Data[Nhập-SPC+SPP-NX]*(Data[Year]=K$1)*(Data[Main SKU name_GOM]=$A6)*(Data[SKU name_NHẬP_GOM]=K$3)),SUMPRODUCT(Data[Nhập-SPC+SPP-NX]*(Data[Year]=K$1)*(Data[Month]=K$2)*(Data[Main SKU name_GOM]=$A6)*(Data[SKU name_NHẬP_GOM]=K$3)))</f>
        <v>39600</v>
      </c>
      <c r="L6" s="8" cm="1">
        <f t="array" ref="L6">IF(L$2="FY",SUMPRODUCT(Data[Nhập-SPC+SPP-NX]*(Data[Year]=L$1)*(Data[Main SKU name_GOM]=$A6)*(Data[SKU name_NHẬP_GOM]=L$3)),SUMPRODUCT(Data[Nhập-SPC+SPP-NX]*(Data[Year]=L$1)*(Data[Month]=L$2)*(Data[Main SKU name_GOM]=$A6)*(Data[SKU name_NHẬP_GOM]=L$3)))</f>
        <v>64300</v>
      </c>
      <c r="M6" s="8" cm="1">
        <f t="array" ref="M6">IF(M$2="FY",SUMPRODUCT(Data[Nhập-SPC+SPP-NX]*(Data[Year]=M$1)*(Data[Main SKU name_GOM]=$A6)*(Data[SKU name_NHẬP_GOM]=M$3)),SUMPRODUCT(Data[Nhập-SPC+SPP-NX]*(Data[Year]=M$1)*(Data[Month]=M$2)*(Data[Main SKU name_GOM]=$A6)*(Data[SKU name_NHẬP_GOM]=M$3)))</f>
        <v>0</v>
      </c>
      <c r="N6" s="13">
        <f>SUM(D6:M6)</f>
        <v>6528700</v>
      </c>
      <c r="P6" s="8" cm="1">
        <f t="array" ref="P6">IF(P$2="FY",SUMPRODUCT(Data[Nhập-SPC+SPP-NX]*(Data[Year]=P$1)*(Data[Main SKU name_GOM]=$A6)*(Data[SKU name_NHẬP_GOM]=P$3)),SUMPRODUCT(Data[Nhập-SPC+SPP-NX]*(Data[Year]=P$1)*(Data[Month]=P$2)*(Data[Main SKU name_GOM]=$A6)*(Data[SKU name_NHẬP_GOM]=P$3)))</f>
        <v>363000</v>
      </c>
      <c r="Q6" s="8" cm="1">
        <f t="array" ref="Q6">IF(Q$2="FY",SUMPRODUCT(Data[Nhập-SPC+SPP-NX]*(Data[Year]=Q$1)*(Data[Main SKU name_GOM]=$A6)*(Data[SKU name_NHẬP_GOM]=Q$3)),SUMPRODUCT(Data[Nhập-SPC+SPP-NX]*(Data[Year]=Q$1)*(Data[Month]=Q$2)*(Data[Main SKU name_GOM]=$A6)*(Data[SKU name_NHẬP_GOM]=Q$3)))</f>
        <v>4400</v>
      </c>
      <c r="R6" s="8" cm="1">
        <f t="array" ref="R6">IF(R$2="FY",SUMPRODUCT(Data[Nhập-SPC+SPP-NX]*(Data[Year]=R$1)*(Data[Main SKU name_GOM]=$A6)*(Data[SKU name_NHẬP_GOM]=R$3)),SUMPRODUCT(Data[Nhập-SPC+SPP-NX]*(Data[Year]=R$1)*(Data[Month]=R$2)*(Data[Main SKU name_GOM]=$A6)*(Data[SKU name_NHẬP_GOM]=R$3)))</f>
        <v>0</v>
      </c>
      <c r="S6" s="8" cm="1">
        <f t="array" ref="S6">IF(S$2="FY",SUMPRODUCT(Data[Nhập-SPC+SPP-NX]*(Data[Year]=S$1)*(Data[Main SKU name_GOM]=$A6)*(Data[SKU name_NHẬP_GOM]=S$3)),SUMPRODUCT(Data[Nhập-SPC+SPP-NX]*(Data[Year]=S$1)*(Data[Month]=S$2)*(Data[Main SKU name_GOM]=$A6)*(Data[SKU name_NHẬP_GOM]=S$3)))</f>
        <v>0</v>
      </c>
      <c r="T6" s="8" cm="1">
        <f t="array" ref="T6">IF(T$2="FY",SUMPRODUCT(Data[Nhập-SPC+SPP-NX]*(Data[Year]=T$1)*(Data[Main SKU name_GOM]=$A6)*(Data[SKU name_NHẬP_GOM]=T$3)),SUMPRODUCT(Data[Nhập-SPC+SPP-NX]*(Data[Year]=T$1)*(Data[Month]=T$2)*(Data[Main SKU name_GOM]=$A6)*(Data[SKU name_NHẬP_GOM]=T$3)))</f>
        <v>16500</v>
      </c>
      <c r="U6" s="8" cm="1">
        <f t="array" ref="U6">IF(U$2="FY",SUMPRODUCT(Data[Nhập-SPC+SPP-NX]*(Data[Year]=U$1)*(Data[Main SKU name_GOM]=$A6)*(Data[SKU name_NHẬP_GOM]=U$3)),SUMPRODUCT(Data[Nhập-SPC+SPP-NX]*(Data[Year]=U$1)*(Data[Month]=U$2)*(Data[Main SKU name_GOM]=$A6)*(Data[SKU name_NHẬP_GOM]=U$3)))</f>
        <v>1100</v>
      </c>
      <c r="V6" s="8" cm="1">
        <f t="array" ref="V6">IF(V$2="FY",SUMPRODUCT(Data[Nhập-SPC+SPP-NX]*(Data[Year]=V$1)*(Data[Main SKU name_GOM]=$A6)*(Data[SKU name_NHẬP_GOM]=V$3)),SUMPRODUCT(Data[Nhập-SPC+SPP-NX]*(Data[Year]=V$1)*(Data[Month]=V$2)*(Data[Main SKU name_GOM]=$A6)*(Data[SKU name_NHẬP_GOM]=V$3)))</f>
        <v>0</v>
      </c>
      <c r="W6" s="8" cm="1">
        <f t="array" ref="W6">IF(W$2="FY",SUMPRODUCT(Data[Nhập-SPC+SPP-NX]*(Data[Year]=W$1)*(Data[Main SKU name_GOM]=$A6)*(Data[SKU name_NHẬP_GOM]=W$3)),SUMPRODUCT(Data[Nhập-SPC+SPP-NX]*(Data[Year]=W$1)*(Data[Month]=W$2)*(Data[Main SKU name_GOM]=$A6)*(Data[SKU name_NHẬP_GOM]=W$3)))</f>
        <v>0</v>
      </c>
      <c r="X6" s="8" cm="1">
        <f t="array" ref="X6">IF(X$2="FY",SUMPRODUCT(Data[Nhập-SPC+SPP-NX]*(Data[Year]=X$1)*(Data[Main SKU name_GOM]=$A6)*(Data[SKU name_NHẬP_GOM]=X$3)),SUMPRODUCT(Data[Nhập-SPC+SPP-NX]*(Data[Year]=X$1)*(Data[Month]=X$2)*(Data[Main SKU name_GOM]=$A6)*(Data[SKU name_NHẬP_GOM]=X$3)))</f>
        <v>0</v>
      </c>
      <c r="Y6" s="8" cm="1">
        <f t="array" ref="Y6">IF(Y$2="FY",SUMPRODUCT(Data[Nhập-SPC+SPP-NX]*(Data[Year]=Y$1)*(Data[Main SKU name_GOM]=$A6)*(Data[SKU name_NHẬP_GOM]=Y$3)),SUMPRODUCT(Data[Nhập-SPC+SPP-NX]*(Data[Year]=Y$1)*(Data[Month]=Y$2)*(Data[Main SKU name_GOM]=$A6)*(Data[SKU name_NHẬP_GOM]=Y$3)))</f>
        <v>0</v>
      </c>
      <c r="Z6" s="8">
        <f>SUM(P6:Y6)</f>
        <v>385000</v>
      </c>
      <c r="AB6" s="8" cm="1">
        <f t="array" ref="AB6">IF(AB$2="FY",SUMPRODUCT(Data[Nhập-SPC+SPP-NX]*(Data[Year]=AB$1)*(Data[Main SKU name_GOM]=$A6)*(Data[SKU name_NHẬP_GOM]=AB$3)),SUMPRODUCT(Data[Nhập-SPC+SPP-NX]*(Data[Year]=AB$1)*(Data[Month]=AB$2)*(Data[Main SKU name_GOM]=$A6)*(Data[SKU name_NHẬP_GOM]=AB$3)))</f>
        <v>534600</v>
      </c>
      <c r="AC6" s="8" cm="1">
        <f t="array" ref="AC6">IF(AC$2="FY",SUMPRODUCT(Data[Nhập-SPC+SPP-NX]*(Data[Year]=AC$1)*(Data[Main SKU name_GOM]=$A6)*(Data[SKU name_NHẬP_GOM]=AC$3)),SUMPRODUCT(Data[Nhập-SPC+SPP-NX]*(Data[Year]=AC$1)*(Data[Month]=AC$2)*(Data[Main SKU name_GOM]=$A6)*(Data[SKU name_NHẬP_GOM]=AC$3)))</f>
        <v>1100</v>
      </c>
      <c r="AD6" s="8" cm="1">
        <f t="array" ref="AD6">IF(AD$2="FY",SUMPRODUCT(Data[Nhập-SPC+SPP-NX]*(Data[Year]=AD$1)*(Data[Main SKU name_GOM]=$A6)*(Data[SKU name_NHẬP_GOM]=AD$3)),SUMPRODUCT(Data[Nhập-SPC+SPP-NX]*(Data[Year]=AD$1)*(Data[Month]=AD$2)*(Data[Main SKU name_GOM]=$A6)*(Data[SKU name_NHẬP_GOM]=AD$3)))</f>
        <v>0</v>
      </c>
      <c r="AE6" s="8" cm="1">
        <f t="array" ref="AE6">IF(AE$2="FY",SUMPRODUCT(Data[Nhập-SPC+SPP-NX]*(Data[Year]=AE$1)*(Data[Main SKU name_GOM]=$A6)*(Data[SKU name_NHẬP_GOM]=AE$3)),SUMPRODUCT(Data[Nhập-SPC+SPP-NX]*(Data[Year]=AE$1)*(Data[Month]=AE$2)*(Data[Main SKU name_GOM]=$A6)*(Data[SKU name_NHẬP_GOM]=AE$3)))</f>
        <v>0</v>
      </c>
      <c r="AF6" s="8" cm="1">
        <f t="array" ref="AF6">IF(AF$2="FY",SUMPRODUCT(Data[Nhập-SPC+SPP-NX]*(Data[Year]=AF$1)*(Data[Main SKU name_GOM]=$A6)*(Data[SKU name_NHẬP_GOM]=AF$3)),SUMPRODUCT(Data[Nhập-SPC+SPP-NX]*(Data[Year]=AF$1)*(Data[Month]=AF$2)*(Data[Main SKU name_GOM]=$A6)*(Data[SKU name_NHẬP_GOM]=AF$3)))</f>
        <v>31899.999999999996</v>
      </c>
      <c r="AG6" s="8" cm="1">
        <f t="array" ref="AG6">IF(AG$2="FY",SUMPRODUCT(Data[Nhập-SPC+SPP-NX]*(Data[Year]=AG$1)*(Data[Main SKU name_GOM]=$A6)*(Data[SKU name_NHẬP_GOM]=AG$3)),SUMPRODUCT(Data[Nhập-SPC+SPP-NX]*(Data[Year]=AG$1)*(Data[Month]=AG$2)*(Data[Main SKU name_GOM]=$A6)*(Data[SKU name_NHẬP_GOM]=AG$3)))</f>
        <v>4400</v>
      </c>
      <c r="AH6" s="8" cm="1">
        <f t="array" ref="AH6">IF(AH$2="FY",SUMPRODUCT(Data[Nhập-SPC+SPP-NX]*(Data[Year]=AH$1)*(Data[Main SKU name_GOM]=$A6)*(Data[SKU name_NHẬP_GOM]=AH$3)),SUMPRODUCT(Data[Nhập-SPC+SPP-NX]*(Data[Year]=AH$1)*(Data[Month]=AH$2)*(Data[Main SKU name_GOM]=$A6)*(Data[SKU name_NHẬP_GOM]=AH$3)))</f>
        <v>0</v>
      </c>
      <c r="AI6" s="8" cm="1">
        <f t="array" ref="AI6">IF(AI$2="FY",SUMPRODUCT(Data[Nhập-SPC+SPP-NX]*(Data[Year]=AI$1)*(Data[Main SKU name_GOM]=$A6)*(Data[SKU name_NHẬP_GOM]=AI$3)),SUMPRODUCT(Data[Nhập-SPC+SPP-NX]*(Data[Year]=AI$1)*(Data[Month]=AI$2)*(Data[Main SKU name_GOM]=$A6)*(Data[SKU name_NHẬP_GOM]=AI$3)))</f>
        <v>0</v>
      </c>
      <c r="AJ6" s="8" cm="1">
        <f t="array" ref="AJ6">IF(AJ$2="FY",SUMPRODUCT(Data[Nhập-SPC+SPP-NX]*(Data[Year]=AJ$1)*(Data[Main SKU name_GOM]=$A6)*(Data[SKU name_NHẬP_GOM]=AJ$3)),SUMPRODUCT(Data[Nhập-SPC+SPP-NX]*(Data[Year]=AJ$1)*(Data[Month]=AJ$2)*(Data[Main SKU name_GOM]=$A6)*(Data[SKU name_NHẬP_GOM]=AJ$3)))</f>
        <v>2200</v>
      </c>
      <c r="AK6" s="8" cm="1">
        <f t="array" ref="AK6">IF(AK$2="FY",SUMPRODUCT(Data[Nhập-SPC+SPP-NX]*(Data[Year]=AK$1)*(Data[Main SKU name_GOM]=$A6)*(Data[SKU name_NHẬP_GOM]=AK$3)),SUMPRODUCT(Data[Nhập-SPC+SPP-NX]*(Data[Year]=AK$1)*(Data[Month]=AK$2)*(Data[Main SKU name_GOM]=$A6)*(Data[SKU name_NHẬP_GOM]=AK$3)))</f>
        <v>0</v>
      </c>
      <c r="AL6" s="8">
        <f>SUM(AB6:AK6)</f>
        <v>574200</v>
      </c>
      <c r="AN6" s="8" cm="1">
        <f t="array" ref="AN6">IF(AN$2="FY",SUMPRODUCT(Data[Nhập-SPC+SPP-NX]*(Data[Year]=AN$1)*(Data[Main SKU name_GOM]=$A6)*(Data[SKU name_NHẬP_GOM]=AN$3)),SUMPRODUCT(Data[Nhập-SPC+SPP-NX]*(Data[Year]=AN$1)*(Data[Month]=AN$2)*(Data[Main SKU name_GOM]=$A6)*(Data[SKU name_NHẬP_GOM]=AN$3)))</f>
        <v>0</v>
      </c>
      <c r="AO6" s="8" cm="1">
        <f t="array" ref="AO6">IF(AO$2="FY",SUMPRODUCT(Data[Nhập-SPC+SPP-NX]*(Data[Year]=AO$1)*(Data[Main SKU name_GOM]=$A6)*(Data[SKU name_NHẬP_GOM]=AO$3)),SUMPRODUCT(Data[Nhập-SPC+SPP-NX]*(Data[Year]=AO$1)*(Data[Month]=AO$2)*(Data[Main SKU name_GOM]=$A6)*(Data[SKU name_NHẬP_GOM]=AO$3)))</f>
        <v>0</v>
      </c>
      <c r="AP6" s="8" cm="1">
        <f t="array" ref="AP6">IF(AP$2="FY",SUMPRODUCT(Data[Nhập-SPC+SPP-NX]*(Data[Year]=AP$1)*(Data[Main SKU name_GOM]=$A6)*(Data[SKU name_NHẬP_GOM]=AP$3)),SUMPRODUCT(Data[Nhập-SPC+SPP-NX]*(Data[Year]=AP$1)*(Data[Month]=AP$2)*(Data[Main SKU name_GOM]=$A6)*(Data[SKU name_NHẬP_GOM]=AP$3)))</f>
        <v>0</v>
      </c>
      <c r="AQ6" s="8" cm="1">
        <f t="array" ref="AQ6">IF(AQ$2="FY",SUMPRODUCT(Data[Nhập-SPC+SPP-NX]*(Data[Year]=AQ$1)*(Data[Main SKU name_GOM]=$A6)*(Data[SKU name_NHẬP_GOM]=AQ$3)),SUMPRODUCT(Data[Nhập-SPC+SPP-NX]*(Data[Year]=AQ$1)*(Data[Month]=AQ$2)*(Data[Main SKU name_GOM]=$A6)*(Data[SKU name_NHẬP_GOM]=AQ$3)))</f>
        <v>0</v>
      </c>
      <c r="AR6" s="8" cm="1">
        <f t="array" ref="AR6">IF(AR$2="FY",SUMPRODUCT(Data[Nhập-SPC+SPP-NX]*(Data[Year]=AR$1)*(Data[Main SKU name_GOM]=$A6)*(Data[SKU name_NHẬP_GOM]=AR$3)),SUMPRODUCT(Data[Nhập-SPC+SPP-NX]*(Data[Year]=AR$1)*(Data[Month]=AR$2)*(Data[Main SKU name_GOM]=$A6)*(Data[SKU name_NHẬP_GOM]=AR$3)))</f>
        <v>0</v>
      </c>
      <c r="AS6" s="8" cm="1">
        <f t="array" ref="AS6">IF(AS$2="FY",SUMPRODUCT(Data[Nhập-SPC+SPP-NX]*(Data[Year]=AS$1)*(Data[Main SKU name_GOM]=$A6)*(Data[SKU name_NHẬP_GOM]=AS$3)),SUMPRODUCT(Data[Nhập-SPC+SPP-NX]*(Data[Year]=AS$1)*(Data[Month]=AS$2)*(Data[Main SKU name_GOM]=$A6)*(Data[SKU name_NHẬP_GOM]=AS$3)))</f>
        <v>0</v>
      </c>
      <c r="AT6" s="8" cm="1">
        <f t="array" ref="AT6">IF(AT$2="FY",SUMPRODUCT(Data[Nhập-SPC+SPP-NX]*(Data[Year]=AT$1)*(Data[Main SKU name_GOM]=$A6)*(Data[SKU name_NHẬP_GOM]=AT$3)),SUMPRODUCT(Data[Nhập-SPC+SPP-NX]*(Data[Year]=AT$1)*(Data[Month]=AT$2)*(Data[Main SKU name_GOM]=$A6)*(Data[SKU name_NHẬP_GOM]=AT$3)))</f>
        <v>0</v>
      </c>
      <c r="AU6" s="8" cm="1">
        <f t="array" ref="AU6">IF(AU$2="FY",SUMPRODUCT(Data[Nhập-SPC+SPP-NX]*(Data[Year]=AU$1)*(Data[Main SKU name_GOM]=$A6)*(Data[SKU name_NHẬP_GOM]=AU$3)),SUMPRODUCT(Data[Nhập-SPC+SPP-NX]*(Data[Year]=AU$1)*(Data[Month]=AU$2)*(Data[Main SKU name_GOM]=$A6)*(Data[SKU name_NHẬP_GOM]=AU$3)))</f>
        <v>0</v>
      </c>
      <c r="AV6" s="8" cm="1">
        <f t="array" ref="AV6">IF(AV$2="FY",SUMPRODUCT(Data[Nhập-SPC+SPP-NX]*(Data[Year]=AV$1)*(Data[Main SKU name_GOM]=$A6)*(Data[SKU name_NHẬP_GOM]=AV$3)),SUMPRODUCT(Data[Nhập-SPC+SPP-NX]*(Data[Year]=AV$1)*(Data[Month]=AV$2)*(Data[Main SKU name_GOM]=$A6)*(Data[SKU name_NHẬP_GOM]=AV$3)))</f>
        <v>0</v>
      </c>
      <c r="AW6" s="8" cm="1">
        <f t="array" ref="AW6">IF(AW$2="FY",SUMPRODUCT(Data[Nhập-SPC+SPP-NX]*(Data[Year]=AW$1)*(Data[Main SKU name_GOM]=$A6)*(Data[SKU name_NHẬP_GOM]=AW$3)),SUMPRODUCT(Data[Nhập-SPC+SPP-NX]*(Data[Year]=AW$1)*(Data[Month]=AW$2)*(Data[Main SKU name_GOM]=$A6)*(Data[SKU name_NHẬP_GOM]=AW$3)))</f>
        <v>0</v>
      </c>
      <c r="AX6" s="8">
        <f>SUM(AN6:AW6)</f>
        <v>0</v>
      </c>
      <c r="AZ6" s="8" cm="1">
        <f t="array" ref="AZ6">IF(AZ$2="FY",SUMPRODUCT(Data[Nhập-SPC+SPP-NX]*(Data[Year]=AZ$1)*(Data[Main SKU name_GOM]=$A6)*(Data[SKU name_NHẬP_GOM]=AZ$3)),SUMPRODUCT(Data[Nhập-SPC+SPP-NX]*(Data[Year]=AZ$1)*(Data[Month]=AZ$2)*(Data[Main SKU name_GOM]=$A6)*(Data[SKU name_NHẬP_GOM]=AZ$3)))</f>
        <v>3300</v>
      </c>
      <c r="BA6" s="8" cm="1">
        <f t="array" ref="BA6">IF(BA$2="FY",SUMPRODUCT(Data[Nhập-SPC+SPP-NX]*(Data[Year]=BA$1)*(Data[Main SKU name_GOM]=$A6)*(Data[SKU name_NHẬP_GOM]=BA$3)),SUMPRODUCT(Data[Nhập-SPC+SPP-NX]*(Data[Year]=BA$1)*(Data[Month]=BA$2)*(Data[Main SKU name_GOM]=$A6)*(Data[SKU name_NHẬP_GOM]=BA$3)))</f>
        <v>0</v>
      </c>
      <c r="BB6" s="8" cm="1">
        <f t="array" ref="BB6">IF(BB$2="FY",SUMPRODUCT(Data[Nhập-SPC+SPP-NX]*(Data[Year]=BB$1)*(Data[Main SKU name_GOM]=$A6)*(Data[SKU name_NHẬP_GOM]=BB$3)),SUMPRODUCT(Data[Nhập-SPC+SPP-NX]*(Data[Year]=BB$1)*(Data[Month]=BB$2)*(Data[Main SKU name_GOM]=$A6)*(Data[SKU name_NHẬP_GOM]=BB$3)))</f>
        <v>0</v>
      </c>
      <c r="BC6" s="8" cm="1">
        <f t="array" ref="BC6">IF(BC$2="FY",SUMPRODUCT(Data[Nhập-SPC+SPP-NX]*(Data[Year]=BC$1)*(Data[Main SKU name_GOM]=$A6)*(Data[SKU name_NHẬP_GOM]=BC$3)),SUMPRODUCT(Data[Nhập-SPC+SPP-NX]*(Data[Year]=BC$1)*(Data[Month]=BC$2)*(Data[Main SKU name_GOM]=$A6)*(Data[SKU name_NHẬP_GOM]=BC$3)))</f>
        <v>0</v>
      </c>
      <c r="BD6" s="8" cm="1">
        <f t="array" ref="BD6">IF(BD$2="FY",SUMPRODUCT(Data[Nhập-SPC+SPP-NX]*(Data[Year]=BD$1)*(Data[Main SKU name_GOM]=$A6)*(Data[SKU name_NHẬP_GOM]=BD$3)),SUMPRODUCT(Data[Nhập-SPC+SPP-NX]*(Data[Year]=BD$1)*(Data[Month]=BD$2)*(Data[Main SKU name_GOM]=$A6)*(Data[SKU name_NHẬP_GOM]=BD$3)))</f>
        <v>1100</v>
      </c>
      <c r="BE6" s="8" cm="1">
        <f t="array" ref="BE6">IF(BE$2="FY",SUMPRODUCT(Data[Nhập-SPC+SPP-NX]*(Data[Year]=BE$1)*(Data[Main SKU name_GOM]=$A6)*(Data[SKU name_NHẬP_GOM]=BE$3)),SUMPRODUCT(Data[Nhập-SPC+SPP-NX]*(Data[Year]=BE$1)*(Data[Month]=BE$2)*(Data[Main SKU name_GOM]=$A6)*(Data[SKU name_NHẬP_GOM]=BE$3)))</f>
        <v>0</v>
      </c>
      <c r="BF6" s="8" cm="1">
        <f t="array" ref="BF6">IF(BF$2="FY",SUMPRODUCT(Data[Nhập-SPC+SPP-NX]*(Data[Year]=BF$1)*(Data[Main SKU name_GOM]=$A6)*(Data[SKU name_NHẬP_GOM]=BF$3)),SUMPRODUCT(Data[Nhập-SPC+SPP-NX]*(Data[Year]=BF$1)*(Data[Month]=BF$2)*(Data[Main SKU name_GOM]=$A6)*(Data[SKU name_NHẬP_GOM]=BF$3)))</f>
        <v>0</v>
      </c>
      <c r="BG6" s="8" cm="1">
        <f t="array" ref="BG6">IF(BG$2="FY",SUMPRODUCT(Data[Nhập-SPC+SPP-NX]*(Data[Year]=BG$1)*(Data[Main SKU name_GOM]=$A6)*(Data[SKU name_NHẬP_GOM]=BG$3)),SUMPRODUCT(Data[Nhập-SPC+SPP-NX]*(Data[Year]=BG$1)*(Data[Month]=BG$2)*(Data[Main SKU name_GOM]=$A6)*(Data[SKU name_NHẬP_GOM]=BG$3)))</f>
        <v>0</v>
      </c>
      <c r="BH6" s="8" cm="1">
        <f t="array" ref="BH6">IF(BH$2="FY",SUMPRODUCT(Data[Nhập-SPC+SPP-NX]*(Data[Year]=BH$1)*(Data[Main SKU name_GOM]=$A6)*(Data[SKU name_NHẬP_GOM]=BH$3)),SUMPRODUCT(Data[Nhập-SPC+SPP-NX]*(Data[Year]=BH$1)*(Data[Month]=BH$2)*(Data[Main SKU name_GOM]=$A6)*(Data[SKU name_NHẬP_GOM]=BH$3)))</f>
        <v>0</v>
      </c>
      <c r="BI6" s="8" cm="1">
        <f t="array" ref="BI6">IF(BI$2="FY",SUMPRODUCT(Data[Nhập-SPC+SPP-NX]*(Data[Year]=BI$1)*(Data[Main SKU name_GOM]=$A6)*(Data[SKU name_NHẬP_GOM]=BI$3)),SUMPRODUCT(Data[Nhập-SPC+SPP-NX]*(Data[Year]=BI$1)*(Data[Month]=BI$2)*(Data[Main SKU name_GOM]=$A6)*(Data[SKU name_NHẬP_GOM]=BI$3)))</f>
        <v>0</v>
      </c>
      <c r="BJ6" s="8">
        <f>SUM(AZ6:BI6)</f>
        <v>4400</v>
      </c>
      <c r="BL6" s="8" cm="1">
        <f t="array" ref="BL6">IF(BL$2="FY",SUMPRODUCT(Data[Nhập-SPC+SPP-NX]*(Data[Year]=BL$1)*(Data[Main SKU name_GOM]=$A6)*(Data[SKU name_NHẬP_GOM]=BL$3)),SUMPRODUCT(Data[Nhập-SPC+SPP-NX]*(Data[Year]=BL$1)*(Data[Month]=BL$2)*(Data[Main SKU name_GOM]=$A6)*(Data[SKU name_NHẬP_GOM]=BL$3)))</f>
        <v>329999.99999999994</v>
      </c>
      <c r="BM6" s="8" cm="1">
        <f t="array" ref="BM6">IF(BM$2="FY",SUMPRODUCT(Data[Nhập-SPC+SPP-NX]*(Data[Year]=BM$1)*(Data[Main SKU name_GOM]=$A6)*(Data[SKU name_NHẬP_GOM]=BM$3)),SUMPRODUCT(Data[Nhập-SPC+SPP-NX]*(Data[Year]=BM$1)*(Data[Month]=BM$2)*(Data[Main SKU name_GOM]=$A6)*(Data[SKU name_NHẬP_GOM]=BM$3)))</f>
        <v>86900</v>
      </c>
      <c r="BN6" s="8" cm="1">
        <f t="array" ref="BN6">IF(BN$2="FY",SUMPRODUCT(Data[Nhập-SPC+SPP-NX]*(Data[Year]=BN$1)*(Data[Main SKU name_GOM]=$A6)*(Data[SKU name_NHẬP_GOM]=BN$3)),SUMPRODUCT(Data[Nhập-SPC+SPP-NX]*(Data[Year]=BN$1)*(Data[Month]=BN$2)*(Data[Main SKU name_GOM]=$A6)*(Data[SKU name_NHẬP_GOM]=BN$3)))</f>
        <v>0</v>
      </c>
      <c r="BO6" s="8" cm="1">
        <f t="array" ref="BO6">IF(BO$2="FY",SUMPRODUCT(Data[Nhập-SPC+SPP-NX]*(Data[Year]=BO$1)*(Data[Main SKU name_GOM]=$A6)*(Data[SKU name_NHẬP_GOM]=BO$3)),SUMPRODUCT(Data[Nhập-SPC+SPP-NX]*(Data[Year]=BO$1)*(Data[Month]=BO$2)*(Data[Main SKU name_GOM]=$A6)*(Data[SKU name_NHẬP_GOM]=BO$3)))</f>
        <v>0</v>
      </c>
      <c r="BP6" s="8" cm="1">
        <f t="array" ref="BP6">IF(BP$2="FY",SUMPRODUCT(Data[Nhập-SPC+SPP-NX]*(Data[Year]=BP$1)*(Data[Main SKU name_GOM]=$A6)*(Data[SKU name_NHẬP_GOM]=BP$3)),SUMPRODUCT(Data[Nhập-SPC+SPP-NX]*(Data[Year]=BP$1)*(Data[Month]=BP$2)*(Data[Main SKU name_GOM]=$A6)*(Data[SKU name_NHẬP_GOM]=BP$3)))</f>
        <v>12100</v>
      </c>
      <c r="BQ6" s="8" cm="1">
        <f t="array" ref="BQ6">IF(BQ$2="FY",SUMPRODUCT(Data[Nhập-SPC+SPP-NX]*(Data[Year]=BQ$1)*(Data[Main SKU name_GOM]=$A6)*(Data[SKU name_NHẬP_GOM]=BQ$3)),SUMPRODUCT(Data[Nhập-SPC+SPP-NX]*(Data[Year]=BQ$1)*(Data[Month]=BQ$2)*(Data[Main SKU name_GOM]=$A6)*(Data[SKU name_NHẬP_GOM]=BQ$3)))</f>
        <v>1100</v>
      </c>
      <c r="BR6" s="8" cm="1">
        <f t="array" ref="BR6">IF(BR$2="FY",SUMPRODUCT(Data[Nhập-SPC+SPP-NX]*(Data[Year]=BR$1)*(Data[Main SKU name_GOM]=$A6)*(Data[SKU name_NHẬP_GOM]=BR$3)),SUMPRODUCT(Data[Nhập-SPC+SPP-NX]*(Data[Year]=BR$1)*(Data[Month]=BR$2)*(Data[Main SKU name_GOM]=$A6)*(Data[SKU name_NHẬP_GOM]=BR$3)))</f>
        <v>0</v>
      </c>
      <c r="BS6" s="8" cm="1">
        <f t="array" ref="BS6">IF(BS$2="FY",SUMPRODUCT(Data[Nhập-SPC+SPP-NX]*(Data[Year]=BS$1)*(Data[Main SKU name_GOM]=$A6)*(Data[SKU name_NHẬP_GOM]=BS$3)),SUMPRODUCT(Data[Nhập-SPC+SPP-NX]*(Data[Year]=BS$1)*(Data[Month]=BS$2)*(Data[Main SKU name_GOM]=$A6)*(Data[SKU name_NHẬP_GOM]=BS$3)))</f>
        <v>14300</v>
      </c>
      <c r="BT6" s="8" cm="1">
        <f t="array" ref="BT6">IF(BT$2="FY",SUMPRODUCT(Data[Nhập-SPC+SPP-NX]*(Data[Year]=BT$1)*(Data[Main SKU name_GOM]=$A6)*(Data[SKU name_NHẬP_GOM]=BT$3)),SUMPRODUCT(Data[Nhập-SPC+SPP-NX]*(Data[Year]=BT$1)*(Data[Month]=BT$2)*(Data[Main SKU name_GOM]=$A6)*(Data[SKU name_NHẬP_GOM]=BT$3)))</f>
        <v>0</v>
      </c>
      <c r="BU6" s="8" cm="1">
        <f t="array" ref="BU6">IF(BU$2="FY",SUMPRODUCT(Data[Nhập-SPC+SPP-NX]*(Data[Year]=BU$1)*(Data[Main SKU name_GOM]=$A6)*(Data[SKU name_NHẬP_GOM]=BU$3)),SUMPRODUCT(Data[Nhập-SPC+SPP-NX]*(Data[Year]=BU$1)*(Data[Month]=BU$2)*(Data[Main SKU name_GOM]=$A6)*(Data[SKU name_NHẬP_GOM]=BU$3)))</f>
        <v>0</v>
      </c>
      <c r="BV6" s="8">
        <f>SUM(BL6:BU6)</f>
        <v>444399.99999999994</v>
      </c>
      <c r="BX6" s="8" cm="1">
        <f t="array" ref="BX6">IF(BX$2="FY",SUMPRODUCT(Data[Nhập-SPC+SPP-NX]*(Data[Year]=BX$1)*(Data[Main SKU name_GOM]=$A6)*(Data[SKU name_NHẬP_GOM]=BX$3)),SUMPRODUCT(Data[Nhập-SPC+SPP-NX]*(Data[Year]=BX$1)*(Data[Month]=BX$2)*(Data[Main SKU name_GOM]=$A6)*(Data[SKU name_NHẬP_GOM]=BX$3)))</f>
        <v>461999.99999999994</v>
      </c>
      <c r="BY6" s="8" cm="1">
        <f t="array" ref="BY6">IF(BY$2="FY",SUMPRODUCT(Data[Nhập-SPC+SPP-NX]*(Data[Year]=BY$1)*(Data[Main SKU name_GOM]=$A6)*(Data[SKU name_NHẬP_GOM]=BY$3)),SUMPRODUCT(Data[Nhập-SPC+SPP-NX]*(Data[Year]=BY$1)*(Data[Month]=BY$2)*(Data[Main SKU name_GOM]=$A6)*(Data[SKU name_NHẬP_GOM]=BY$3)))</f>
        <v>8800</v>
      </c>
      <c r="BZ6" s="8" cm="1">
        <f t="array" ref="BZ6">IF(BZ$2="FY",SUMPRODUCT(Data[Nhập-SPC+SPP-NX]*(Data[Year]=BZ$1)*(Data[Main SKU name_GOM]=$A6)*(Data[SKU name_NHẬP_GOM]=BZ$3)),SUMPRODUCT(Data[Nhập-SPC+SPP-NX]*(Data[Year]=BZ$1)*(Data[Month]=BZ$2)*(Data[Main SKU name_GOM]=$A6)*(Data[SKU name_NHẬP_GOM]=BZ$3)))</f>
        <v>0</v>
      </c>
      <c r="CA6" s="8" cm="1">
        <f t="array" ref="CA6">IF(CA$2="FY",SUMPRODUCT(Data[Nhập-SPC+SPP-NX]*(Data[Year]=CA$1)*(Data[Main SKU name_GOM]=$A6)*(Data[SKU name_NHẬP_GOM]=CA$3)),SUMPRODUCT(Data[Nhập-SPC+SPP-NX]*(Data[Year]=CA$1)*(Data[Month]=CA$2)*(Data[Main SKU name_GOM]=$A6)*(Data[SKU name_NHẬP_GOM]=CA$3)))</f>
        <v>0</v>
      </c>
      <c r="CB6" s="8" cm="1">
        <f t="array" ref="CB6">IF(CB$2="FY",SUMPRODUCT(Data[Nhập-SPC+SPP-NX]*(Data[Year]=CB$1)*(Data[Main SKU name_GOM]=$A6)*(Data[SKU name_NHẬP_GOM]=CB$3)),SUMPRODUCT(Data[Nhập-SPC+SPP-NX]*(Data[Year]=CB$1)*(Data[Month]=CB$2)*(Data[Main SKU name_GOM]=$A6)*(Data[SKU name_NHẬP_GOM]=CB$3)))</f>
        <v>6600</v>
      </c>
      <c r="CC6" s="8" cm="1">
        <f t="array" ref="CC6">IF(CC$2="FY",SUMPRODUCT(Data[Nhập-SPC+SPP-NX]*(Data[Year]=CC$1)*(Data[Main SKU name_GOM]=$A6)*(Data[SKU name_NHẬP_GOM]=CC$3)),SUMPRODUCT(Data[Nhập-SPC+SPP-NX]*(Data[Year]=CC$1)*(Data[Month]=CC$2)*(Data[Main SKU name_GOM]=$A6)*(Data[SKU name_NHẬP_GOM]=CC$3)))</f>
        <v>6600</v>
      </c>
      <c r="CD6" s="8" cm="1">
        <f t="array" ref="CD6">IF(CD$2="FY",SUMPRODUCT(Data[Nhập-SPC+SPP-NX]*(Data[Year]=CD$1)*(Data[Main SKU name_GOM]=$A6)*(Data[SKU name_NHẬP_GOM]=CD$3)),SUMPRODUCT(Data[Nhập-SPC+SPP-NX]*(Data[Year]=CD$1)*(Data[Month]=CD$2)*(Data[Main SKU name_GOM]=$A6)*(Data[SKU name_NHẬP_GOM]=CD$3)))</f>
        <v>4400</v>
      </c>
      <c r="CE6" s="8" cm="1">
        <f t="array" ref="CE6">IF(CE$2="FY",SUMPRODUCT(Data[Nhập-SPC+SPP-NX]*(Data[Year]=CE$1)*(Data[Main SKU name_GOM]=$A6)*(Data[SKU name_NHẬP_GOM]=CE$3)),SUMPRODUCT(Data[Nhập-SPC+SPP-NX]*(Data[Year]=CE$1)*(Data[Month]=CE$2)*(Data[Main SKU name_GOM]=$A6)*(Data[SKU name_NHẬP_GOM]=CE$3)))</f>
        <v>2200</v>
      </c>
      <c r="CF6" s="8" cm="1">
        <f t="array" ref="CF6">IF(CF$2="FY",SUMPRODUCT(Data[Nhập-SPC+SPP-NX]*(Data[Year]=CF$1)*(Data[Main SKU name_GOM]=$A6)*(Data[SKU name_NHẬP_GOM]=CF$3)),SUMPRODUCT(Data[Nhập-SPC+SPP-NX]*(Data[Year]=CF$1)*(Data[Month]=CF$2)*(Data[Main SKU name_GOM]=$A6)*(Data[SKU name_NHẬP_GOM]=CF$3)))</f>
        <v>6600</v>
      </c>
      <c r="CG6" s="8" cm="1">
        <f t="array" ref="CG6">IF(CG$2="FY",SUMPRODUCT(Data[Nhập-SPC+SPP-NX]*(Data[Year]=CG$1)*(Data[Main SKU name_GOM]=$A6)*(Data[SKU name_NHẬP_GOM]=CG$3)),SUMPRODUCT(Data[Nhập-SPC+SPP-NX]*(Data[Year]=CG$1)*(Data[Month]=CG$2)*(Data[Main SKU name_GOM]=$A6)*(Data[SKU name_NHẬP_GOM]=CG$3)))</f>
        <v>0</v>
      </c>
      <c r="CH6" s="8">
        <f>SUM(BX6:CG6)</f>
        <v>497199.99999999994</v>
      </c>
      <c r="CJ6" s="8" cm="1">
        <f t="array" ref="CJ6">IF(CJ$2="FY",SUMPRODUCT(Data[Nhập-SPC+SPP-NX]*(Data[Year]=CJ$1)*(Data[Main SKU name_GOM]=$A6)*(Data[SKU name_NHẬP_GOM]=CJ$3)),SUMPRODUCT(Data[Nhập-SPC+SPP-NX]*(Data[Year]=CJ$1)*(Data[Month]=CJ$2)*(Data[Main SKU name_GOM]=$A6)*(Data[SKU name_NHẬP_GOM]=CJ$3)))</f>
        <v>323400</v>
      </c>
      <c r="CK6" s="8" cm="1">
        <f t="array" ref="CK6">IF(CK$2="FY",SUMPRODUCT(Data[Nhập-SPC+SPP-NX]*(Data[Year]=CK$1)*(Data[Main SKU name_GOM]=$A6)*(Data[SKU name_NHẬP_GOM]=CK$3)),SUMPRODUCT(Data[Nhập-SPC+SPP-NX]*(Data[Year]=CK$1)*(Data[Month]=CK$2)*(Data[Main SKU name_GOM]=$A6)*(Data[SKU name_NHẬP_GOM]=CK$3)))</f>
        <v>0</v>
      </c>
      <c r="CL6" s="8" cm="1">
        <f t="array" ref="CL6">IF(CL$2="FY",SUMPRODUCT(Data[Nhập-SPC+SPP-NX]*(Data[Year]=CL$1)*(Data[Main SKU name_GOM]=$A6)*(Data[SKU name_NHẬP_GOM]=CL$3)),SUMPRODUCT(Data[Nhập-SPC+SPP-NX]*(Data[Year]=CL$1)*(Data[Month]=CL$2)*(Data[Main SKU name_GOM]=$A6)*(Data[SKU name_NHẬP_GOM]=CL$3)))</f>
        <v>0</v>
      </c>
      <c r="CM6" s="8" cm="1">
        <f t="array" ref="CM6">IF(CM$2="FY",SUMPRODUCT(Data[Nhập-SPC+SPP-NX]*(Data[Year]=CM$1)*(Data[Main SKU name_GOM]=$A6)*(Data[SKU name_NHẬP_GOM]=CM$3)),SUMPRODUCT(Data[Nhập-SPC+SPP-NX]*(Data[Year]=CM$1)*(Data[Month]=CM$2)*(Data[Main SKU name_GOM]=$A6)*(Data[SKU name_NHẬP_GOM]=CM$3)))</f>
        <v>0</v>
      </c>
      <c r="CN6" s="8" cm="1">
        <f t="array" ref="CN6">IF(CN$2="FY",SUMPRODUCT(Data[Nhập-SPC+SPP-NX]*(Data[Year]=CN$1)*(Data[Main SKU name_GOM]=$A6)*(Data[SKU name_NHẬP_GOM]=CN$3)),SUMPRODUCT(Data[Nhập-SPC+SPP-NX]*(Data[Year]=CN$1)*(Data[Month]=CN$2)*(Data[Main SKU name_GOM]=$A6)*(Data[SKU name_NHẬP_GOM]=CN$3)))</f>
        <v>24200</v>
      </c>
      <c r="CO6" s="8" cm="1">
        <f t="array" ref="CO6">IF(CO$2="FY",SUMPRODUCT(Data[Nhập-SPC+SPP-NX]*(Data[Year]=CO$1)*(Data[Main SKU name_GOM]=$A6)*(Data[SKU name_NHẬP_GOM]=CO$3)),SUMPRODUCT(Data[Nhập-SPC+SPP-NX]*(Data[Year]=CO$1)*(Data[Month]=CO$2)*(Data[Main SKU name_GOM]=$A6)*(Data[SKU name_NHẬP_GOM]=CO$3)))</f>
        <v>11000</v>
      </c>
      <c r="CP6" s="8" cm="1">
        <f t="array" ref="CP6">IF(CP$2="FY",SUMPRODUCT(Data[Nhập-SPC+SPP-NX]*(Data[Year]=CP$1)*(Data[Main SKU name_GOM]=$A6)*(Data[SKU name_NHẬP_GOM]=CP$3)),SUMPRODUCT(Data[Nhập-SPC+SPP-NX]*(Data[Year]=CP$1)*(Data[Month]=CP$2)*(Data[Main SKU name_GOM]=$A6)*(Data[SKU name_NHẬP_GOM]=CP$3)))</f>
        <v>0</v>
      </c>
      <c r="CQ6" s="8" cm="1">
        <f t="array" ref="CQ6">IF(CQ$2="FY",SUMPRODUCT(Data[Nhập-SPC+SPP-NX]*(Data[Year]=CQ$1)*(Data[Main SKU name_GOM]=$A6)*(Data[SKU name_NHẬP_GOM]=CQ$3)),SUMPRODUCT(Data[Nhập-SPC+SPP-NX]*(Data[Year]=CQ$1)*(Data[Month]=CQ$2)*(Data[Main SKU name_GOM]=$A6)*(Data[SKU name_NHẬP_GOM]=CQ$3)))</f>
        <v>0</v>
      </c>
      <c r="CR6" s="8" cm="1">
        <f t="array" ref="CR6">IF(CR$2="FY",SUMPRODUCT(Data[Nhập-SPC+SPP-NX]*(Data[Year]=CR$1)*(Data[Main SKU name_GOM]=$A6)*(Data[SKU name_NHẬP_GOM]=CR$3)),SUMPRODUCT(Data[Nhập-SPC+SPP-NX]*(Data[Year]=CR$1)*(Data[Month]=CR$2)*(Data[Main SKU name_GOM]=$A6)*(Data[SKU name_NHẬP_GOM]=CR$3)))</f>
        <v>6599.9999999999991</v>
      </c>
      <c r="CS6" s="8" cm="1">
        <f t="array" ref="CS6">IF(CS$2="FY",SUMPRODUCT(Data[Nhập-SPC+SPP-NX]*(Data[Year]=CS$1)*(Data[Main SKU name_GOM]=$A6)*(Data[SKU name_NHẬP_GOM]=CS$3)),SUMPRODUCT(Data[Nhập-SPC+SPP-NX]*(Data[Year]=CS$1)*(Data[Month]=CS$2)*(Data[Main SKU name_GOM]=$A6)*(Data[SKU name_NHẬP_GOM]=CS$3)))</f>
        <v>0</v>
      </c>
      <c r="CT6" s="8">
        <f>SUM(CJ6:CS6)</f>
        <v>365200</v>
      </c>
      <c r="CV6" s="8" cm="1">
        <f t="array" ref="CV6">IF(CV$2="FY",SUMPRODUCT(Data[Nhập-SPC+SPP-NX]*(Data[Year]=CV$1)*(Data[Main SKU name_GOM]=$A6)*(Data[SKU name_NHẬP_GOM]=CV$3)),SUMPRODUCT(Data[Nhập-SPC+SPP-NX]*(Data[Year]=CV$1)*(Data[Month]=CV$2)*(Data[Main SKU name_GOM]=$A6)*(Data[SKU name_NHẬP_GOM]=CV$3)))</f>
        <v>624800</v>
      </c>
      <c r="CW6" s="8" cm="1">
        <f t="array" ref="CW6">IF(CW$2="FY",SUMPRODUCT(Data[Nhập-SPC+SPP-NX]*(Data[Year]=CW$1)*(Data[Main SKU name_GOM]=$A6)*(Data[SKU name_NHẬP_GOM]=CW$3)),SUMPRODUCT(Data[Nhập-SPC+SPP-NX]*(Data[Year]=CW$1)*(Data[Month]=CW$2)*(Data[Main SKU name_GOM]=$A6)*(Data[SKU name_NHẬP_GOM]=CW$3)))</f>
        <v>29700</v>
      </c>
      <c r="CX6" s="8" cm="1">
        <f t="array" ref="CX6">IF(CX$2="FY",SUMPRODUCT(Data[Nhập-SPC+SPP-NX]*(Data[Year]=CX$1)*(Data[Main SKU name_GOM]=$A6)*(Data[SKU name_NHẬP_GOM]=CX$3)),SUMPRODUCT(Data[Nhập-SPC+SPP-NX]*(Data[Year]=CX$1)*(Data[Month]=CX$2)*(Data[Main SKU name_GOM]=$A6)*(Data[SKU name_NHẬP_GOM]=CX$3)))</f>
        <v>1100</v>
      </c>
      <c r="CY6" s="8" cm="1">
        <f t="array" ref="CY6">IF(CY$2="FY",SUMPRODUCT(Data[Nhập-SPC+SPP-NX]*(Data[Year]=CY$1)*(Data[Main SKU name_GOM]=$A6)*(Data[SKU name_NHẬP_GOM]=CY$3)),SUMPRODUCT(Data[Nhập-SPC+SPP-NX]*(Data[Year]=CY$1)*(Data[Month]=CY$2)*(Data[Main SKU name_GOM]=$A6)*(Data[SKU name_NHẬP_GOM]=CY$3)))</f>
        <v>0</v>
      </c>
      <c r="CZ6" s="8" cm="1">
        <f t="array" ref="CZ6">IF(CZ$2="FY",SUMPRODUCT(Data[Nhập-SPC+SPP-NX]*(Data[Year]=CZ$1)*(Data[Main SKU name_GOM]=$A6)*(Data[SKU name_NHẬP_GOM]=CZ$3)),SUMPRODUCT(Data[Nhập-SPC+SPP-NX]*(Data[Year]=CZ$1)*(Data[Month]=CZ$2)*(Data[Main SKU name_GOM]=$A6)*(Data[SKU name_NHẬP_GOM]=CZ$3)))</f>
        <v>40699.999999999993</v>
      </c>
      <c r="DA6" s="8" cm="1">
        <f t="array" ref="DA6">IF(DA$2="FY",SUMPRODUCT(Data[Nhập-SPC+SPP-NX]*(Data[Year]=DA$1)*(Data[Main SKU name_GOM]=$A6)*(Data[SKU name_NHẬP_GOM]=DA$3)),SUMPRODUCT(Data[Nhập-SPC+SPP-NX]*(Data[Year]=DA$1)*(Data[Month]=DA$2)*(Data[Main SKU name_GOM]=$A6)*(Data[SKU name_NHẬP_GOM]=DA$3)))</f>
        <v>0</v>
      </c>
      <c r="DB6" s="8" cm="1">
        <f t="array" ref="DB6">IF(DB$2="FY",SUMPRODUCT(Data[Nhập-SPC+SPP-NX]*(Data[Year]=DB$1)*(Data[Main SKU name_GOM]=$A6)*(Data[SKU name_NHẬP_GOM]=DB$3)),SUMPRODUCT(Data[Nhập-SPC+SPP-NX]*(Data[Year]=DB$1)*(Data[Month]=DB$2)*(Data[Main SKU name_GOM]=$A6)*(Data[SKU name_NHẬP_GOM]=DB$3)))</f>
        <v>1100</v>
      </c>
      <c r="DC6" s="8" cm="1">
        <f t="array" ref="DC6">IF(DC$2="FY",SUMPRODUCT(Data[Nhập-SPC+SPP-NX]*(Data[Year]=DC$1)*(Data[Main SKU name_GOM]=$A6)*(Data[SKU name_NHẬP_GOM]=DC$3)),SUMPRODUCT(Data[Nhập-SPC+SPP-NX]*(Data[Year]=DC$1)*(Data[Month]=DC$2)*(Data[Main SKU name_GOM]=$A6)*(Data[SKU name_NHẬP_GOM]=DC$3)))</f>
        <v>6599.9999999999991</v>
      </c>
      <c r="DD6" s="8" cm="1">
        <f t="array" ref="DD6">IF(DD$2="FY",SUMPRODUCT(Data[Nhập-SPC+SPP-NX]*(Data[Year]=DD$1)*(Data[Main SKU name_GOM]=$A6)*(Data[SKU name_NHẬP_GOM]=DD$3)),SUMPRODUCT(Data[Nhập-SPC+SPP-NX]*(Data[Year]=DD$1)*(Data[Month]=DD$2)*(Data[Main SKU name_GOM]=$A6)*(Data[SKU name_NHẬP_GOM]=DD$3)))</f>
        <v>10400</v>
      </c>
      <c r="DE6" s="8" cm="1">
        <f t="array" ref="DE6">IF(DE$2="FY",SUMPRODUCT(Data[Nhập-SPC+SPP-NX]*(Data[Year]=DE$1)*(Data[Main SKU name_GOM]=$A6)*(Data[SKU name_NHẬP_GOM]=DE$3)),SUMPRODUCT(Data[Nhập-SPC+SPP-NX]*(Data[Year]=DE$1)*(Data[Month]=DE$2)*(Data[Main SKU name_GOM]=$A6)*(Data[SKU name_NHẬP_GOM]=DE$3)))</f>
        <v>0</v>
      </c>
      <c r="DF6" s="8">
        <f>SUM(CV6:DE6)</f>
        <v>714400</v>
      </c>
      <c r="DH6" s="8" cm="1">
        <f t="array" ref="DH6">IF(DH$2="FY",SUMPRODUCT(Data[Nhập-SPC+SPP-NX]*(Data[Year]=DH$1)*(Data[Main SKU name_GOM]=$A6)*(Data[SKU name_NHẬP_GOM]=DH$3)),SUMPRODUCT(Data[Nhập-SPC+SPP-NX]*(Data[Year]=DH$1)*(Data[Month]=DH$2)*(Data[Main SKU name_GOM]=$A6)*(Data[SKU name_NHẬP_GOM]=DH$3)))</f>
        <v>358600</v>
      </c>
      <c r="DI6" s="8" cm="1">
        <f t="array" ref="DI6">IF(DI$2="FY",SUMPRODUCT(Data[Nhập-SPC+SPP-NX]*(Data[Year]=DI$1)*(Data[Main SKU name_GOM]=$A6)*(Data[SKU name_NHẬP_GOM]=DI$3)),SUMPRODUCT(Data[Nhập-SPC+SPP-NX]*(Data[Year]=DI$1)*(Data[Month]=DI$2)*(Data[Main SKU name_GOM]=$A6)*(Data[SKU name_NHẬP_GOM]=DI$3)))</f>
        <v>3300</v>
      </c>
      <c r="DJ6" s="8" cm="1">
        <f t="array" ref="DJ6">IF(DJ$2="FY",SUMPRODUCT(Data[Nhập-SPC+SPP-NX]*(Data[Year]=DJ$1)*(Data[Main SKU name_GOM]=$A6)*(Data[SKU name_NHẬP_GOM]=DJ$3)),SUMPRODUCT(Data[Nhập-SPC+SPP-NX]*(Data[Year]=DJ$1)*(Data[Month]=DJ$2)*(Data[Main SKU name_GOM]=$A6)*(Data[SKU name_NHẬP_GOM]=DJ$3)))</f>
        <v>3300</v>
      </c>
      <c r="DK6" s="8" cm="1">
        <f t="array" ref="DK6">IF(DK$2="FY",SUMPRODUCT(Data[Nhập-SPC+SPP-NX]*(Data[Year]=DK$1)*(Data[Main SKU name_GOM]=$A6)*(Data[SKU name_NHẬP_GOM]=DK$3)),SUMPRODUCT(Data[Nhập-SPC+SPP-NX]*(Data[Year]=DK$1)*(Data[Month]=DK$2)*(Data[Main SKU name_GOM]=$A6)*(Data[SKU name_NHẬP_GOM]=DK$3)))</f>
        <v>0</v>
      </c>
      <c r="DL6" s="8" cm="1">
        <f t="array" ref="DL6">IF(DL$2="FY",SUMPRODUCT(Data[Nhập-SPC+SPP-NX]*(Data[Year]=DL$1)*(Data[Main SKU name_GOM]=$A6)*(Data[SKU name_NHẬP_GOM]=DL$3)),SUMPRODUCT(Data[Nhập-SPC+SPP-NX]*(Data[Year]=DL$1)*(Data[Month]=DL$2)*(Data[Main SKU name_GOM]=$A6)*(Data[SKU name_NHẬP_GOM]=DL$3)))</f>
        <v>19800</v>
      </c>
      <c r="DM6" s="8" cm="1">
        <f t="array" ref="DM6">IF(DM$2="FY",SUMPRODUCT(Data[Nhập-SPC+SPP-NX]*(Data[Year]=DM$1)*(Data[Main SKU name_GOM]=$A6)*(Data[SKU name_NHẬP_GOM]=DM$3)),SUMPRODUCT(Data[Nhập-SPC+SPP-NX]*(Data[Year]=DM$1)*(Data[Month]=DM$2)*(Data[Main SKU name_GOM]=$A6)*(Data[SKU name_NHẬP_GOM]=DM$3)))</f>
        <v>0</v>
      </c>
      <c r="DN6" s="8" cm="1">
        <f t="array" ref="DN6">IF(DN$2="FY",SUMPRODUCT(Data[Nhập-SPC+SPP-NX]*(Data[Year]=DN$1)*(Data[Main SKU name_GOM]=$A6)*(Data[SKU name_NHẬP_GOM]=DN$3)),SUMPRODUCT(Data[Nhập-SPC+SPP-NX]*(Data[Year]=DN$1)*(Data[Month]=DN$2)*(Data[Main SKU name_GOM]=$A6)*(Data[SKU name_NHẬP_GOM]=DN$3)))</f>
        <v>0</v>
      </c>
      <c r="DO6" s="8" cm="1">
        <f t="array" ref="DO6">IF(DO$2="FY",SUMPRODUCT(Data[Nhập-SPC+SPP-NX]*(Data[Year]=DO$1)*(Data[Main SKU name_GOM]=$A6)*(Data[SKU name_NHẬP_GOM]=DO$3)),SUMPRODUCT(Data[Nhập-SPC+SPP-NX]*(Data[Year]=DO$1)*(Data[Month]=DO$2)*(Data[Main SKU name_GOM]=$A6)*(Data[SKU name_NHẬP_GOM]=DO$3)))</f>
        <v>0</v>
      </c>
      <c r="DP6" s="8" cm="1">
        <f t="array" ref="DP6">IF(DP$2="FY",SUMPRODUCT(Data[Nhập-SPC+SPP-NX]*(Data[Year]=DP$1)*(Data[Main SKU name_GOM]=$A6)*(Data[SKU name_NHẬP_GOM]=DP$3)),SUMPRODUCT(Data[Nhập-SPC+SPP-NX]*(Data[Year]=DP$1)*(Data[Month]=DP$2)*(Data[Main SKU name_GOM]=$A6)*(Data[SKU name_NHẬP_GOM]=DP$3)))</f>
        <v>1100</v>
      </c>
      <c r="DQ6" s="8" cm="1">
        <f t="array" ref="DQ6">IF(DQ$2="FY",SUMPRODUCT(Data[Nhập-SPC+SPP-NX]*(Data[Year]=DQ$1)*(Data[Main SKU name_GOM]=$A6)*(Data[SKU name_NHẬP_GOM]=DQ$3)),SUMPRODUCT(Data[Nhập-SPC+SPP-NX]*(Data[Year]=DQ$1)*(Data[Month]=DQ$2)*(Data[Main SKU name_GOM]=$A6)*(Data[SKU name_NHẬP_GOM]=DQ$3)))</f>
        <v>0</v>
      </c>
      <c r="DR6" s="8">
        <f>SUM(DH6:DQ6)</f>
        <v>386100</v>
      </c>
      <c r="DT6" s="8" cm="1">
        <f t="array" ref="DT6">IF(DT$2="FY",SUMPRODUCT(Data[Nhập-SPC+SPP-NX]*(Data[Year]=DT$1)*(Data[Main SKU name_GOM]=$A6)*(Data[SKU name_NHẬP_GOM]=DT$3)),SUMPRODUCT(Data[Nhập-SPC+SPP-NX]*(Data[Year]=DT$1)*(Data[Month]=DT$2)*(Data[Main SKU name_GOM]=$A6)*(Data[SKU name_NHẬP_GOM]=DT$3)))</f>
        <v>731500</v>
      </c>
      <c r="DU6" s="8" cm="1">
        <f t="array" ref="DU6">IF(DU$2="FY",SUMPRODUCT(Data[Nhập-SPC+SPP-NX]*(Data[Year]=DU$1)*(Data[Main SKU name_GOM]=$A6)*(Data[SKU name_NHẬP_GOM]=DU$3)),SUMPRODUCT(Data[Nhập-SPC+SPP-NX]*(Data[Year]=DU$1)*(Data[Month]=DU$2)*(Data[Main SKU name_GOM]=$A6)*(Data[SKU name_NHẬP_GOM]=DU$3)))</f>
        <v>69300</v>
      </c>
      <c r="DV6" s="8" cm="1">
        <f t="array" ref="DV6">IF(DV$2="FY",SUMPRODUCT(Data[Nhập-SPC+SPP-NX]*(Data[Year]=DV$1)*(Data[Main SKU name_GOM]=$A6)*(Data[SKU name_NHẬP_GOM]=DV$3)),SUMPRODUCT(Data[Nhập-SPC+SPP-NX]*(Data[Year]=DV$1)*(Data[Month]=DV$2)*(Data[Main SKU name_GOM]=$A6)*(Data[SKU name_NHẬP_GOM]=DV$3)))</f>
        <v>105600</v>
      </c>
      <c r="DW6" s="8" cm="1">
        <f t="array" ref="DW6">IF(DW$2="FY",SUMPRODUCT(Data[Nhập-SPC+SPP-NX]*(Data[Year]=DW$1)*(Data[Main SKU name_GOM]=$A6)*(Data[SKU name_NHẬP_GOM]=DW$3)),SUMPRODUCT(Data[Nhập-SPC+SPP-NX]*(Data[Year]=DW$1)*(Data[Month]=DW$2)*(Data[Main SKU name_GOM]=$A6)*(Data[SKU name_NHẬP_GOM]=DW$3)))</f>
        <v>0</v>
      </c>
      <c r="DX6" s="8" cm="1">
        <f t="array" ref="DX6">IF(DX$2="FY",SUMPRODUCT(Data[Nhập-SPC+SPP-NX]*(Data[Year]=DX$1)*(Data[Main SKU name_GOM]=$A6)*(Data[SKU name_NHẬP_GOM]=DX$3)),SUMPRODUCT(Data[Nhập-SPC+SPP-NX]*(Data[Year]=DX$1)*(Data[Month]=DX$2)*(Data[Main SKU name_GOM]=$A6)*(Data[SKU name_NHẬP_GOM]=DX$3)))</f>
        <v>57200</v>
      </c>
      <c r="DY6" s="8" cm="1">
        <f t="array" ref="DY6">IF(DY$2="FY",SUMPRODUCT(Data[Nhập-SPC+SPP-NX]*(Data[Year]=DY$1)*(Data[Main SKU name_GOM]=$A6)*(Data[SKU name_NHẬP_GOM]=DY$3)),SUMPRODUCT(Data[Nhập-SPC+SPP-NX]*(Data[Year]=DY$1)*(Data[Month]=DY$2)*(Data[Main SKU name_GOM]=$A6)*(Data[SKU name_NHẬP_GOM]=DY$3)))</f>
        <v>59400</v>
      </c>
      <c r="DZ6" s="8" cm="1">
        <f t="array" ref="DZ6">IF(DZ$2="FY",SUMPRODUCT(Data[Nhập-SPC+SPP-NX]*(Data[Year]=DZ$1)*(Data[Main SKU name_GOM]=$A6)*(Data[SKU name_NHẬP_GOM]=DZ$3)),SUMPRODUCT(Data[Nhập-SPC+SPP-NX]*(Data[Year]=DZ$1)*(Data[Month]=DZ$2)*(Data[Main SKU name_GOM]=$A6)*(Data[SKU name_NHẬP_GOM]=DZ$3)))</f>
        <v>0</v>
      </c>
      <c r="EA6" s="8" cm="1">
        <f t="array" ref="EA6">IF(EA$2="FY",SUMPRODUCT(Data[Nhập-SPC+SPP-NX]*(Data[Year]=EA$1)*(Data[Main SKU name_GOM]=$A6)*(Data[SKU name_NHẬP_GOM]=EA$3)),SUMPRODUCT(Data[Nhập-SPC+SPP-NX]*(Data[Year]=EA$1)*(Data[Month]=EA$2)*(Data[Main SKU name_GOM]=$A6)*(Data[SKU name_NHẬP_GOM]=EA$3)))</f>
        <v>16500</v>
      </c>
      <c r="EB6" s="8" cm="1">
        <f t="array" ref="EB6">IF(EB$2="FY",SUMPRODUCT(Data[Nhập-SPC+SPP-NX]*(Data[Year]=EB$1)*(Data[Main SKU name_GOM]=$A6)*(Data[SKU name_NHẬP_GOM]=EB$3)),SUMPRODUCT(Data[Nhập-SPC+SPP-NX]*(Data[Year]=EB$1)*(Data[Month]=EB$2)*(Data[Main SKU name_GOM]=$A6)*(Data[SKU name_NHẬP_GOM]=EB$3)))</f>
        <v>20900.000000000004</v>
      </c>
      <c r="EC6" s="8" cm="1">
        <f t="array" ref="EC6">IF(EC$2="FY",SUMPRODUCT(Data[Nhập-SPC+SPP-NX]*(Data[Year]=EC$1)*(Data[Main SKU name_GOM]=$A6)*(Data[SKU name_NHẬP_GOM]=EC$3)),SUMPRODUCT(Data[Nhập-SPC+SPP-NX]*(Data[Year]=EC$1)*(Data[Month]=EC$2)*(Data[Main SKU name_GOM]=$A6)*(Data[SKU name_NHẬP_GOM]=EC$3)))</f>
        <v>0</v>
      </c>
      <c r="ED6" s="8">
        <f>SUM(DT6:EC6)</f>
        <v>1060400</v>
      </c>
      <c r="EF6" s="8" cm="1">
        <f t="array" ref="EF6">IF(EF$2="FY",SUMPRODUCT(Data[Nhập-SPC+SPP-NX]*(Data[Year]=EF$1)*(Data[Main SKU name_GOM]=$A6)*(Data[SKU name_NHẬP_GOM]=EF$3)),SUMPRODUCT(Data[Nhập-SPC+SPP-NX]*(Data[Year]=EF$1)*(Data[Month]=EF$2)*(Data[Main SKU name_GOM]=$A6)*(Data[SKU name_NHẬP_GOM]=EF$3)))</f>
        <v>1013900</v>
      </c>
      <c r="EG6" s="8" cm="1">
        <f t="array" ref="EG6">IF(EG$2="FY",SUMPRODUCT(Data[Nhập-SPC+SPP-NX]*(Data[Year]=EG$1)*(Data[Main SKU name_GOM]=$A6)*(Data[SKU name_NHẬP_GOM]=EG$3)),SUMPRODUCT(Data[Nhập-SPC+SPP-NX]*(Data[Year]=EG$1)*(Data[Month]=EG$2)*(Data[Main SKU name_GOM]=$A6)*(Data[SKU name_NHẬP_GOM]=EG$3)))</f>
        <v>19800</v>
      </c>
      <c r="EH6" s="8" cm="1">
        <f t="array" ref="EH6">IF(EH$2="FY",SUMPRODUCT(Data[Nhập-SPC+SPP-NX]*(Data[Year]=EH$1)*(Data[Main SKU name_GOM]=$A6)*(Data[SKU name_NHẬP_GOM]=EH$3)),SUMPRODUCT(Data[Nhập-SPC+SPP-NX]*(Data[Year]=EH$1)*(Data[Month]=EH$2)*(Data[Main SKU name_GOM]=$A6)*(Data[SKU name_NHẬP_GOM]=EH$3)))</f>
        <v>12100</v>
      </c>
      <c r="EI6" s="8" cm="1">
        <f t="array" ref="EI6">IF(EI$2="FY",SUMPRODUCT(Data[Nhập-SPC+SPP-NX]*(Data[Year]=EI$1)*(Data[Main SKU name_GOM]=$A6)*(Data[SKU name_NHẬP_GOM]=EI$3)),SUMPRODUCT(Data[Nhập-SPC+SPP-NX]*(Data[Year]=EI$1)*(Data[Month]=EI$2)*(Data[Main SKU name_GOM]=$A6)*(Data[SKU name_NHẬP_GOM]=EI$3)))</f>
        <v>0</v>
      </c>
      <c r="EJ6" s="8" cm="1">
        <f t="array" ref="EJ6">IF(EJ$2="FY",SUMPRODUCT(Data[Nhập-SPC+SPP-NX]*(Data[Year]=EJ$1)*(Data[Main SKU name_GOM]=$A6)*(Data[SKU name_NHẬP_GOM]=EJ$3)),SUMPRODUCT(Data[Nhập-SPC+SPP-NX]*(Data[Year]=EJ$1)*(Data[Month]=EJ$2)*(Data[Main SKU name_GOM]=$A6)*(Data[SKU name_NHẬP_GOM]=EJ$3)))</f>
        <v>79200</v>
      </c>
      <c r="EK6" s="8" cm="1">
        <f t="array" ref="EK6">IF(EK$2="FY",SUMPRODUCT(Data[Nhập-SPC+SPP-NX]*(Data[Year]=EK$1)*(Data[Main SKU name_GOM]=$A6)*(Data[SKU name_NHẬP_GOM]=EK$3)),SUMPRODUCT(Data[Nhập-SPC+SPP-NX]*(Data[Year]=EK$1)*(Data[Month]=EK$2)*(Data[Main SKU name_GOM]=$A6)*(Data[SKU name_NHẬP_GOM]=EK$3)))</f>
        <v>2200</v>
      </c>
      <c r="EL6" s="8" cm="1">
        <f t="array" ref="EL6">IF(EL$2="FY",SUMPRODUCT(Data[Nhập-SPC+SPP-NX]*(Data[Year]=EL$1)*(Data[Main SKU name_GOM]=$A6)*(Data[SKU name_NHẬP_GOM]=EL$3)),SUMPRODUCT(Data[Nhập-SPC+SPP-NX]*(Data[Year]=EL$1)*(Data[Month]=EL$2)*(Data[Main SKU name_GOM]=$A6)*(Data[SKU name_NHẬP_GOM]=EL$3)))</f>
        <v>0</v>
      </c>
      <c r="EM6" s="8" cm="1">
        <f t="array" ref="EM6">IF(EM$2="FY",SUMPRODUCT(Data[Nhập-SPC+SPP-NX]*(Data[Year]=EM$1)*(Data[Main SKU name_GOM]=$A6)*(Data[SKU name_NHẬP_GOM]=EM$3)),SUMPRODUCT(Data[Nhập-SPC+SPP-NX]*(Data[Year]=EM$1)*(Data[Month]=EM$2)*(Data[Main SKU name_GOM]=$A6)*(Data[SKU name_NHẬP_GOM]=EM$3)))</f>
        <v>0</v>
      </c>
      <c r="EN6" s="8" cm="1">
        <f t="array" ref="EN6">IF(EN$2="FY",SUMPRODUCT(Data[Nhập-SPC+SPP-NX]*(Data[Year]=EN$1)*(Data[Main SKU name_GOM]=$A6)*(Data[SKU name_NHẬP_GOM]=EN$3)),SUMPRODUCT(Data[Nhập-SPC+SPP-NX]*(Data[Year]=EN$1)*(Data[Month]=EN$2)*(Data[Main SKU name_GOM]=$A6)*(Data[SKU name_NHẬP_GOM]=EN$3)))</f>
        <v>7700</v>
      </c>
      <c r="EO6" s="8" cm="1">
        <f t="array" ref="EO6">IF(EO$2="FY",SUMPRODUCT(Data[Nhập-SPC+SPP-NX]*(Data[Year]=EO$1)*(Data[Main SKU name_GOM]=$A6)*(Data[SKU name_NHẬP_GOM]=EO$3)),SUMPRODUCT(Data[Nhập-SPC+SPP-NX]*(Data[Year]=EO$1)*(Data[Month]=EO$2)*(Data[Main SKU name_GOM]=$A6)*(Data[SKU name_NHẬP_GOM]=EO$3)))</f>
        <v>0</v>
      </c>
      <c r="EP6" s="8">
        <f>SUM(EF6:EO6)</f>
        <v>1134900</v>
      </c>
      <c r="ER6" s="8" cm="1">
        <f t="array" ref="ER6">IF(ER$2="FY",SUMPRODUCT(Data[Nhập-SPC+SPP-NX]*(Data[Year]=ER$1)*(Data[Main SKU name_GOM]=$A6)*(Data[SKU name_NHẬP_GOM]=ER$3)),SUMPRODUCT(Data[Nhập-SPC+SPP-NX]*(Data[Year]=ER$1)*(Data[Month]=ER$2)*(Data[Main SKU name_GOM]=$A6)*(Data[SKU name_NHẬP_GOM]=ER$3)))</f>
        <v>898700</v>
      </c>
      <c r="ES6" s="8" cm="1">
        <f t="array" ref="ES6">IF(ES$2="FY",SUMPRODUCT(Data[Nhập-SPC+SPP-NX]*(Data[Year]=ES$1)*(Data[Main SKU name_GOM]=$A6)*(Data[SKU name_NHẬP_GOM]=ES$3)),SUMPRODUCT(Data[Nhập-SPC+SPP-NX]*(Data[Year]=ES$1)*(Data[Month]=ES$2)*(Data[Main SKU name_GOM]=$A6)*(Data[SKU name_NHẬP_GOM]=ES$3)))</f>
        <v>6600</v>
      </c>
      <c r="ET6" s="8" cm="1">
        <f t="array" ref="ET6">IF(ET$2="FY",SUMPRODUCT(Data[Nhập-SPC+SPP-NX]*(Data[Year]=ET$1)*(Data[Main SKU name_GOM]=$A6)*(Data[SKU name_NHẬP_GOM]=ET$3)),SUMPRODUCT(Data[Nhập-SPC+SPP-NX]*(Data[Year]=ET$1)*(Data[Month]=ET$2)*(Data[Main SKU name_GOM]=$A6)*(Data[SKU name_NHẬP_GOM]=ET$3)))</f>
        <v>16500</v>
      </c>
      <c r="EU6" s="8" cm="1">
        <f t="array" ref="EU6">IF(EU$2="FY",SUMPRODUCT(Data[Nhập-SPC+SPP-NX]*(Data[Year]=EU$1)*(Data[Main SKU name_GOM]=$A6)*(Data[SKU name_NHẬP_GOM]=EU$3)),SUMPRODUCT(Data[Nhập-SPC+SPP-NX]*(Data[Year]=EU$1)*(Data[Month]=EU$2)*(Data[Main SKU name_GOM]=$A6)*(Data[SKU name_NHẬP_GOM]=EU$3)))</f>
        <v>0</v>
      </c>
      <c r="EV6" s="8" cm="1">
        <f t="array" ref="EV6">IF(EV$2="FY",SUMPRODUCT(Data[Nhập-SPC+SPP-NX]*(Data[Year]=EV$1)*(Data[Main SKU name_GOM]=$A6)*(Data[SKU name_NHẬP_GOM]=EV$3)),SUMPRODUCT(Data[Nhập-SPC+SPP-NX]*(Data[Year]=EV$1)*(Data[Month]=EV$2)*(Data[Main SKU name_GOM]=$A6)*(Data[SKU name_NHẬP_GOM]=EV$3)))</f>
        <v>27499.999999999996</v>
      </c>
      <c r="EW6" s="8" cm="1">
        <f t="array" ref="EW6">IF(EW$2="FY",SUMPRODUCT(Data[Nhập-SPC+SPP-NX]*(Data[Year]=EW$1)*(Data[Main SKU name_GOM]=$A6)*(Data[SKU name_NHẬP_GOM]=EW$3)),SUMPRODUCT(Data[Nhập-SPC+SPP-NX]*(Data[Year]=EW$1)*(Data[Month]=EW$2)*(Data[Main SKU name_GOM]=$A6)*(Data[SKU name_NHẬP_GOM]=EW$3)))</f>
        <v>2200</v>
      </c>
      <c r="EX6" s="8" cm="1">
        <f t="array" ref="EX6">IF(EX$2="FY",SUMPRODUCT(Data[Nhập-SPC+SPP-NX]*(Data[Year]=EX$1)*(Data[Main SKU name_GOM]=$A6)*(Data[SKU name_NHẬP_GOM]=EX$3)),SUMPRODUCT(Data[Nhập-SPC+SPP-NX]*(Data[Year]=EX$1)*(Data[Month]=EX$2)*(Data[Main SKU name_GOM]=$A6)*(Data[SKU name_NHẬP_GOM]=EX$3)))</f>
        <v>2199.9999999999995</v>
      </c>
      <c r="EY6" s="8" cm="1">
        <f t="array" ref="EY6">IF(EY$2="FY",SUMPRODUCT(Data[Nhập-SPC+SPP-NX]*(Data[Year]=EY$1)*(Data[Main SKU name_GOM]=$A6)*(Data[SKU name_NHẬP_GOM]=EY$3)),SUMPRODUCT(Data[Nhập-SPC+SPP-NX]*(Data[Year]=EY$1)*(Data[Month]=EY$2)*(Data[Main SKU name_GOM]=$A6)*(Data[SKU name_NHẬP_GOM]=EY$3)))</f>
        <v>0</v>
      </c>
      <c r="EZ6" s="8" cm="1">
        <f t="array" ref="EZ6">IF(EZ$2="FY",SUMPRODUCT(Data[Nhập-SPC+SPP-NX]*(Data[Year]=EZ$1)*(Data[Main SKU name_GOM]=$A6)*(Data[SKU name_NHẬP_GOM]=EZ$3)),SUMPRODUCT(Data[Nhập-SPC+SPP-NX]*(Data[Year]=EZ$1)*(Data[Month]=EZ$2)*(Data[Main SKU name_GOM]=$A6)*(Data[SKU name_NHẬP_GOM]=EZ$3)))</f>
        <v>8800</v>
      </c>
      <c r="FA6" s="8" cm="1">
        <f t="array" ref="FA6">IF(FA$2="FY",SUMPRODUCT(Data[Nhập-SPC+SPP-NX]*(Data[Year]=FA$1)*(Data[Main SKU name_GOM]=$A6)*(Data[SKU name_NHẬP_GOM]=FA$3)),SUMPRODUCT(Data[Nhập-SPC+SPP-NX]*(Data[Year]=FA$1)*(Data[Month]=FA$2)*(Data[Main SKU name_GOM]=$A6)*(Data[SKU name_NHẬP_GOM]=FA$3)))</f>
        <v>0</v>
      </c>
      <c r="FB6" s="8">
        <f>SUM(ER6:FA6)</f>
        <v>962500</v>
      </c>
    </row>
    <row r="7" spans="1:158" x14ac:dyDescent="0.35">
      <c r="A7" s="5" t="s">
        <v>69</v>
      </c>
      <c r="B7" t="s">
        <v>69</v>
      </c>
      <c r="D7" s="8" cm="1">
        <f t="array" ref="D7">IF(D$2="FY",SUMPRODUCT(Data[Nhập-SPC+SPP-NX]*(Data[Year]=D$1)*(Data[Main SKU name_GOM]=$A7)*(Data[SKU name_NHẬP_GOM]=D$3)),SUMPRODUCT(Data[Nhập-SPC+SPP-NX]*(Data[Year]=D$1)*(Data[Month]=D$2)*(Data[Main SKU name_GOM]=$A7)*(Data[SKU name_NHẬP_GOM]=D$3)))</f>
        <v>60500</v>
      </c>
      <c r="E7" s="8" cm="1">
        <f t="array" ref="E7">IF(E$2="FY",SUMPRODUCT(Data[Nhập-SPC+SPP-NX]*(Data[Year]=E$1)*(Data[Main SKU name_GOM]=$A7)*(Data[SKU name_NHẬP_GOM]=E$3)),SUMPRODUCT(Data[Nhập-SPC+SPP-NX]*(Data[Year]=E$1)*(Data[Month]=E$2)*(Data[Main SKU name_GOM]=$A7)*(Data[SKU name_NHẬP_GOM]=E$3)))</f>
        <v>9956876</v>
      </c>
      <c r="F7" s="8" cm="1">
        <f t="array" ref="F7">IF(F$2="FY",SUMPRODUCT(Data[Nhập-SPC+SPP-NX]*(Data[Year]=F$1)*(Data[Main SKU name_GOM]=$A7)*(Data[SKU name_NHẬP_GOM]=F$3)),SUMPRODUCT(Data[Nhập-SPC+SPP-NX]*(Data[Year]=F$1)*(Data[Month]=F$2)*(Data[Main SKU name_GOM]=$A7)*(Data[SKU name_NHẬP_GOM]=F$3)))</f>
        <v>277200</v>
      </c>
      <c r="G7" s="8" cm="1">
        <f t="array" ref="G7">IF(G$2="FY",SUMPRODUCT(Data[Nhập-SPC+SPP-NX]*(Data[Year]=G$1)*(Data[Main SKU name_GOM]=$A7)*(Data[SKU name_NHẬP_GOM]=G$3)),SUMPRODUCT(Data[Nhập-SPC+SPP-NX]*(Data[Year]=G$1)*(Data[Month]=G$2)*(Data[Main SKU name_GOM]=$A7)*(Data[SKU name_NHẬP_GOM]=G$3)))</f>
        <v>0</v>
      </c>
      <c r="H7" s="8" cm="1">
        <f t="array" ref="H7">IF(H$2="FY",SUMPRODUCT(Data[Nhập-SPC+SPP-NX]*(Data[Year]=H$1)*(Data[Main SKU name_GOM]=$A7)*(Data[SKU name_NHẬP_GOM]=H$3)),SUMPRODUCT(Data[Nhập-SPC+SPP-NX]*(Data[Year]=H$1)*(Data[Month]=H$2)*(Data[Main SKU name_GOM]=$A7)*(Data[SKU name_NHẬP_GOM]=H$3)))</f>
        <v>106160</v>
      </c>
      <c r="I7" s="8" cm="1">
        <f t="array" ref="I7">IF(I$2="FY",SUMPRODUCT(Data[Nhập-SPC+SPP-NX]*(Data[Year]=I$1)*(Data[Main SKU name_GOM]=$A7)*(Data[SKU name_NHẬP_GOM]=I$3)),SUMPRODUCT(Data[Nhập-SPC+SPP-NX]*(Data[Year]=I$1)*(Data[Month]=I$2)*(Data[Main SKU name_GOM]=$A7)*(Data[SKU name_NHẬP_GOM]=I$3)))</f>
        <v>0</v>
      </c>
      <c r="J7" s="8" cm="1">
        <f t="array" ref="J7">IF(J$2="FY",SUMPRODUCT(Data[Nhập-SPC+SPP-NX]*(Data[Year]=J$1)*(Data[Main SKU name_GOM]=$A7)*(Data[SKU name_NHẬP_GOM]=J$3)),SUMPRODUCT(Data[Nhập-SPC+SPP-NX]*(Data[Year]=J$1)*(Data[Month]=J$2)*(Data[Main SKU name_GOM]=$A7)*(Data[SKU name_NHẬP_GOM]=J$3)))</f>
        <v>128700.00000000001</v>
      </c>
      <c r="K7" s="8" cm="1">
        <f t="array" ref="K7">IF(K$2="FY",SUMPRODUCT(Data[Nhập-SPC+SPP-NX]*(Data[Year]=K$1)*(Data[Main SKU name_GOM]=$A7)*(Data[SKU name_NHẬP_GOM]=K$3)),SUMPRODUCT(Data[Nhập-SPC+SPP-NX]*(Data[Year]=K$1)*(Data[Month]=K$2)*(Data[Main SKU name_GOM]=$A7)*(Data[SKU name_NHẬP_GOM]=K$3)))</f>
        <v>16500</v>
      </c>
      <c r="L7" s="8" cm="1">
        <f t="array" ref="L7">IF(L$2="FY",SUMPRODUCT(Data[Nhập-SPC+SPP-NX]*(Data[Year]=L$1)*(Data[Main SKU name_GOM]=$A7)*(Data[SKU name_NHẬP_GOM]=L$3)),SUMPRODUCT(Data[Nhập-SPC+SPP-NX]*(Data[Year]=L$1)*(Data[Month]=L$2)*(Data[Main SKU name_GOM]=$A7)*(Data[SKU name_NHẬP_GOM]=L$3)))</f>
        <v>28650</v>
      </c>
      <c r="M7" s="8" cm="1">
        <f t="array" ref="M7">IF(M$2="FY",SUMPRODUCT(Data[Nhập-SPC+SPP-NX]*(Data[Year]=M$1)*(Data[Main SKU name_GOM]=$A7)*(Data[SKU name_NHẬP_GOM]=M$3)),SUMPRODUCT(Data[Nhập-SPC+SPP-NX]*(Data[Year]=M$1)*(Data[Month]=M$2)*(Data[Main SKU name_GOM]=$A7)*(Data[SKU name_NHẬP_GOM]=M$3)))</f>
        <v>0</v>
      </c>
      <c r="N7" s="13">
        <f t="shared" ref="N7:N9" si="0">SUM(D7:M7)</f>
        <v>10574586</v>
      </c>
      <c r="P7" s="8" cm="1">
        <f t="array" ref="P7">IF(P$2="FY",SUMPRODUCT(Data[Nhập-SPC+SPP-NX]*(Data[Year]=P$1)*(Data[Main SKU name_GOM]=$A7)*(Data[SKU name_NHẬP_GOM]=P$3)),SUMPRODUCT(Data[Nhập-SPC+SPP-NX]*(Data[Year]=P$1)*(Data[Month]=P$2)*(Data[Main SKU name_GOM]=$A7)*(Data[SKU name_NHẬP_GOM]=P$3)))</f>
        <v>8800</v>
      </c>
      <c r="Q7" s="8" cm="1">
        <f t="array" ref="Q7">IF(Q$2="FY",SUMPRODUCT(Data[Nhập-SPC+SPP-NX]*(Data[Year]=Q$1)*(Data[Main SKU name_GOM]=$A7)*(Data[SKU name_NHẬP_GOM]=Q$3)),SUMPRODUCT(Data[Nhập-SPC+SPP-NX]*(Data[Year]=Q$1)*(Data[Month]=Q$2)*(Data[Main SKU name_GOM]=$A7)*(Data[SKU name_NHẬP_GOM]=Q$3)))</f>
        <v>212300</v>
      </c>
      <c r="R7" s="8" cm="1">
        <f t="array" ref="R7">IF(R$2="FY",SUMPRODUCT(Data[Nhập-SPC+SPP-NX]*(Data[Year]=R$1)*(Data[Main SKU name_GOM]=$A7)*(Data[SKU name_NHẬP_GOM]=R$3)),SUMPRODUCT(Data[Nhập-SPC+SPP-NX]*(Data[Year]=R$1)*(Data[Month]=R$2)*(Data[Main SKU name_GOM]=$A7)*(Data[SKU name_NHẬP_GOM]=R$3)))</f>
        <v>0</v>
      </c>
      <c r="S7" s="8" cm="1">
        <f t="array" ref="S7">IF(S$2="FY",SUMPRODUCT(Data[Nhập-SPC+SPP-NX]*(Data[Year]=S$1)*(Data[Main SKU name_GOM]=$A7)*(Data[SKU name_NHẬP_GOM]=S$3)),SUMPRODUCT(Data[Nhập-SPC+SPP-NX]*(Data[Year]=S$1)*(Data[Month]=S$2)*(Data[Main SKU name_GOM]=$A7)*(Data[SKU name_NHẬP_GOM]=S$3)))</f>
        <v>0</v>
      </c>
      <c r="T7" s="8" cm="1">
        <f t="array" ref="T7">IF(T$2="FY",SUMPRODUCT(Data[Nhập-SPC+SPP-NX]*(Data[Year]=T$1)*(Data[Main SKU name_GOM]=$A7)*(Data[SKU name_NHẬP_GOM]=T$3)),SUMPRODUCT(Data[Nhập-SPC+SPP-NX]*(Data[Year]=T$1)*(Data[Month]=T$2)*(Data[Main SKU name_GOM]=$A7)*(Data[SKU name_NHẬP_GOM]=T$3)))</f>
        <v>3300</v>
      </c>
      <c r="U7" s="8" cm="1">
        <f t="array" ref="U7">IF(U$2="FY",SUMPRODUCT(Data[Nhập-SPC+SPP-NX]*(Data[Year]=U$1)*(Data[Main SKU name_GOM]=$A7)*(Data[SKU name_NHẬP_GOM]=U$3)),SUMPRODUCT(Data[Nhập-SPC+SPP-NX]*(Data[Year]=U$1)*(Data[Month]=U$2)*(Data[Main SKU name_GOM]=$A7)*(Data[SKU name_NHẬP_GOM]=U$3)))</f>
        <v>0</v>
      </c>
      <c r="V7" s="8" cm="1">
        <f t="array" ref="V7">IF(V$2="FY",SUMPRODUCT(Data[Nhập-SPC+SPP-NX]*(Data[Year]=V$1)*(Data[Main SKU name_GOM]=$A7)*(Data[SKU name_NHẬP_GOM]=V$3)),SUMPRODUCT(Data[Nhập-SPC+SPP-NX]*(Data[Year]=V$1)*(Data[Month]=V$2)*(Data[Main SKU name_GOM]=$A7)*(Data[SKU name_NHẬP_GOM]=V$3)))</f>
        <v>1100</v>
      </c>
      <c r="W7" s="8" cm="1">
        <f t="array" ref="W7">IF(W$2="FY",SUMPRODUCT(Data[Nhập-SPC+SPP-NX]*(Data[Year]=W$1)*(Data[Main SKU name_GOM]=$A7)*(Data[SKU name_NHẬP_GOM]=W$3)),SUMPRODUCT(Data[Nhập-SPC+SPP-NX]*(Data[Year]=W$1)*(Data[Month]=W$2)*(Data[Main SKU name_GOM]=$A7)*(Data[SKU name_NHẬP_GOM]=W$3)))</f>
        <v>0</v>
      </c>
      <c r="X7" s="8" cm="1">
        <f t="array" ref="X7">IF(X$2="FY",SUMPRODUCT(Data[Nhập-SPC+SPP-NX]*(Data[Year]=X$1)*(Data[Main SKU name_GOM]=$A7)*(Data[SKU name_NHẬP_GOM]=X$3)),SUMPRODUCT(Data[Nhập-SPC+SPP-NX]*(Data[Year]=X$1)*(Data[Month]=X$2)*(Data[Main SKU name_GOM]=$A7)*(Data[SKU name_NHẬP_GOM]=X$3)))</f>
        <v>2200</v>
      </c>
      <c r="Y7" s="8" cm="1">
        <f t="array" ref="Y7">IF(Y$2="FY",SUMPRODUCT(Data[Nhập-SPC+SPP-NX]*(Data[Year]=Y$1)*(Data[Main SKU name_GOM]=$A7)*(Data[SKU name_NHẬP_GOM]=Y$3)),SUMPRODUCT(Data[Nhập-SPC+SPP-NX]*(Data[Year]=Y$1)*(Data[Month]=Y$2)*(Data[Main SKU name_GOM]=$A7)*(Data[SKU name_NHẬP_GOM]=Y$3)))</f>
        <v>0</v>
      </c>
      <c r="Z7" s="8">
        <f t="shared" ref="Z7:Z9" si="1">SUM(P7:Y7)</f>
        <v>227700</v>
      </c>
      <c r="AB7" s="8" cm="1">
        <f t="array" ref="AB7">IF(AB$2="FY",SUMPRODUCT(Data[Nhập-SPC+SPP-NX]*(Data[Year]=AB$1)*(Data[Main SKU name_GOM]=$A7)*(Data[SKU name_NHẬP_GOM]=AB$3)),SUMPRODUCT(Data[Nhập-SPC+SPP-NX]*(Data[Year]=AB$1)*(Data[Month]=AB$2)*(Data[Main SKU name_GOM]=$A7)*(Data[SKU name_NHẬP_GOM]=AB$3)))</f>
        <v>1100</v>
      </c>
      <c r="AC7" s="8" cm="1">
        <f t="array" ref="AC7">IF(AC$2="FY",SUMPRODUCT(Data[Nhập-SPC+SPP-NX]*(Data[Year]=AC$1)*(Data[Main SKU name_GOM]=$A7)*(Data[SKU name_NHẬP_GOM]=AC$3)),SUMPRODUCT(Data[Nhập-SPC+SPP-NX]*(Data[Year]=AC$1)*(Data[Month]=AC$2)*(Data[Main SKU name_GOM]=$A7)*(Data[SKU name_NHẬP_GOM]=AC$3)))</f>
        <v>737440</v>
      </c>
      <c r="AD7" s="8" cm="1">
        <f t="array" ref="AD7">IF(AD$2="FY",SUMPRODUCT(Data[Nhập-SPC+SPP-NX]*(Data[Year]=AD$1)*(Data[Main SKU name_GOM]=$A7)*(Data[SKU name_NHẬP_GOM]=AD$3)),SUMPRODUCT(Data[Nhập-SPC+SPP-NX]*(Data[Year]=AD$1)*(Data[Month]=AD$2)*(Data[Main SKU name_GOM]=$A7)*(Data[SKU name_NHẬP_GOM]=AD$3)))</f>
        <v>6600</v>
      </c>
      <c r="AE7" s="8" cm="1">
        <f t="array" ref="AE7">IF(AE$2="FY",SUMPRODUCT(Data[Nhập-SPC+SPP-NX]*(Data[Year]=AE$1)*(Data[Main SKU name_GOM]=$A7)*(Data[SKU name_NHẬP_GOM]=AE$3)),SUMPRODUCT(Data[Nhập-SPC+SPP-NX]*(Data[Year]=AE$1)*(Data[Month]=AE$2)*(Data[Main SKU name_GOM]=$A7)*(Data[SKU name_NHẬP_GOM]=AE$3)))</f>
        <v>0</v>
      </c>
      <c r="AF7" s="8" cm="1">
        <f t="array" ref="AF7">IF(AF$2="FY",SUMPRODUCT(Data[Nhập-SPC+SPP-NX]*(Data[Year]=AF$1)*(Data[Main SKU name_GOM]=$A7)*(Data[SKU name_NHẬP_GOM]=AF$3)),SUMPRODUCT(Data[Nhập-SPC+SPP-NX]*(Data[Year]=AF$1)*(Data[Month]=AF$2)*(Data[Main SKU name_GOM]=$A7)*(Data[SKU name_NHẬP_GOM]=AF$3)))</f>
        <v>19800</v>
      </c>
      <c r="AG7" s="8" cm="1">
        <f t="array" ref="AG7">IF(AG$2="FY",SUMPRODUCT(Data[Nhập-SPC+SPP-NX]*(Data[Year]=AG$1)*(Data[Main SKU name_GOM]=$A7)*(Data[SKU name_NHẬP_GOM]=AG$3)),SUMPRODUCT(Data[Nhập-SPC+SPP-NX]*(Data[Year]=AG$1)*(Data[Month]=AG$2)*(Data[Main SKU name_GOM]=$A7)*(Data[SKU name_NHẬP_GOM]=AG$3)))</f>
        <v>0</v>
      </c>
      <c r="AH7" s="8" cm="1">
        <f t="array" ref="AH7">IF(AH$2="FY",SUMPRODUCT(Data[Nhập-SPC+SPP-NX]*(Data[Year]=AH$1)*(Data[Main SKU name_GOM]=$A7)*(Data[SKU name_NHẬP_GOM]=AH$3)),SUMPRODUCT(Data[Nhập-SPC+SPP-NX]*(Data[Year]=AH$1)*(Data[Month]=AH$2)*(Data[Main SKU name_GOM]=$A7)*(Data[SKU name_NHẬP_GOM]=AH$3)))</f>
        <v>24200</v>
      </c>
      <c r="AI7" s="8" cm="1">
        <f t="array" ref="AI7">IF(AI$2="FY",SUMPRODUCT(Data[Nhập-SPC+SPP-NX]*(Data[Year]=AI$1)*(Data[Main SKU name_GOM]=$A7)*(Data[SKU name_NHẬP_GOM]=AI$3)),SUMPRODUCT(Data[Nhập-SPC+SPP-NX]*(Data[Year]=AI$1)*(Data[Month]=AI$2)*(Data[Main SKU name_GOM]=$A7)*(Data[SKU name_NHẬP_GOM]=AI$3)))</f>
        <v>0</v>
      </c>
      <c r="AJ7" s="8" cm="1">
        <f t="array" ref="AJ7">IF(AJ$2="FY",SUMPRODUCT(Data[Nhập-SPC+SPP-NX]*(Data[Year]=AJ$1)*(Data[Main SKU name_GOM]=$A7)*(Data[SKU name_NHẬP_GOM]=AJ$3)),SUMPRODUCT(Data[Nhập-SPC+SPP-NX]*(Data[Year]=AJ$1)*(Data[Month]=AJ$2)*(Data[Main SKU name_GOM]=$A7)*(Data[SKU name_NHẬP_GOM]=AJ$3)))</f>
        <v>5500</v>
      </c>
      <c r="AK7" s="8" cm="1">
        <f t="array" ref="AK7">IF(AK$2="FY",SUMPRODUCT(Data[Nhập-SPC+SPP-NX]*(Data[Year]=AK$1)*(Data[Main SKU name_GOM]=$A7)*(Data[SKU name_NHẬP_GOM]=AK$3)),SUMPRODUCT(Data[Nhập-SPC+SPP-NX]*(Data[Year]=AK$1)*(Data[Month]=AK$2)*(Data[Main SKU name_GOM]=$A7)*(Data[SKU name_NHẬP_GOM]=AK$3)))</f>
        <v>0</v>
      </c>
      <c r="AL7" s="8">
        <f t="shared" ref="AL7:AL9" si="2">SUM(AB7:AK7)</f>
        <v>794640</v>
      </c>
      <c r="AN7" s="8" cm="1">
        <f t="array" ref="AN7">IF(AN$2="FY",SUMPRODUCT(Data[Nhập-SPC+SPP-NX]*(Data[Year]=AN$1)*(Data[Main SKU name_GOM]=$A7)*(Data[SKU name_NHẬP_GOM]=AN$3)),SUMPRODUCT(Data[Nhập-SPC+SPP-NX]*(Data[Year]=AN$1)*(Data[Month]=AN$2)*(Data[Main SKU name_GOM]=$A7)*(Data[SKU name_NHẬP_GOM]=AN$3)))</f>
        <v>11000</v>
      </c>
      <c r="AO7" s="8" cm="1">
        <f t="array" ref="AO7">IF(AO$2="FY",SUMPRODUCT(Data[Nhập-SPC+SPP-NX]*(Data[Year]=AO$1)*(Data[Main SKU name_GOM]=$A7)*(Data[SKU name_NHẬP_GOM]=AO$3)),SUMPRODUCT(Data[Nhập-SPC+SPP-NX]*(Data[Year]=AO$1)*(Data[Month]=AO$2)*(Data[Main SKU name_GOM]=$A7)*(Data[SKU name_NHẬP_GOM]=AO$3)))</f>
        <v>1203400</v>
      </c>
      <c r="AP7" s="8" cm="1">
        <f t="array" ref="AP7">IF(AP$2="FY",SUMPRODUCT(Data[Nhập-SPC+SPP-NX]*(Data[Year]=AP$1)*(Data[Main SKU name_GOM]=$A7)*(Data[SKU name_NHẬP_GOM]=AP$3)),SUMPRODUCT(Data[Nhập-SPC+SPP-NX]*(Data[Year]=AP$1)*(Data[Month]=AP$2)*(Data[Main SKU name_GOM]=$A7)*(Data[SKU name_NHẬP_GOM]=AP$3)))</f>
        <v>2200</v>
      </c>
      <c r="AQ7" s="8" cm="1">
        <f t="array" ref="AQ7">IF(AQ$2="FY",SUMPRODUCT(Data[Nhập-SPC+SPP-NX]*(Data[Year]=AQ$1)*(Data[Main SKU name_GOM]=$A7)*(Data[SKU name_NHẬP_GOM]=AQ$3)),SUMPRODUCT(Data[Nhập-SPC+SPP-NX]*(Data[Year]=AQ$1)*(Data[Month]=AQ$2)*(Data[Main SKU name_GOM]=$A7)*(Data[SKU name_NHẬP_GOM]=AQ$3)))</f>
        <v>0</v>
      </c>
      <c r="AR7" s="8" cm="1">
        <f t="array" ref="AR7">IF(AR$2="FY",SUMPRODUCT(Data[Nhập-SPC+SPP-NX]*(Data[Year]=AR$1)*(Data[Main SKU name_GOM]=$A7)*(Data[SKU name_NHẬP_GOM]=AR$3)),SUMPRODUCT(Data[Nhập-SPC+SPP-NX]*(Data[Year]=AR$1)*(Data[Month]=AR$2)*(Data[Main SKU name_GOM]=$A7)*(Data[SKU name_NHẬP_GOM]=AR$3)))</f>
        <v>17515.000000000004</v>
      </c>
      <c r="AS7" s="8" cm="1">
        <f t="array" ref="AS7">IF(AS$2="FY",SUMPRODUCT(Data[Nhập-SPC+SPP-NX]*(Data[Year]=AS$1)*(Data[Main SKU name_GOM]=$A7)*(Data[SKU name_NHẬP_GOM]=AS$3)),SUMPRODUCT(Data[Nhập-SPC+SPP-NX]*(Data[Year]=AS$1)*(Data[Month]=AS$2)*(Data[Main SKU name_GOM]=$A7)*(Data[SKU name_NHẬP_GOM]=AS$3)))</f>
        <v>0</v>
      </c>
      <c r="AT7" s="8" cm="1">
        <f t="array" ref="AT7">IF(AT$2="FY",SUMPRODUCT(Data[Nhập-SPC+SPP-NX]*(Data[Year]=AT$1)*(Data[Main SKU name_GOM]=$A7)*(Data[SKU name_NHẬP_GOM]=AT$3)),SUMPRODUCT(Data[Nhập-SPC+SPP-NX]*(Data[Year]=AT$1)*(Data[Month]=AT$2)*(Data[Main SKU name_GOM]=$A7)*(Data[SKU name_NHẬP_GOM]=AT$3)))</f>
        <v>0</v>
      </c>
      <c r="AU7" s="8" cm="1">
        <f t="array" ref="AU7">IF(AU$2="FY",SUMPRODUCT(Data[Nhập-SPC+SPP-NX]*(Data[Year]=AU$1)*(Data[Main SKU name_GOM]=$A7)*(Data[SKU name_NHẬP_GOM]=AU$3)),SUMPRODUCT(Data[Nhập-SPC+SPP-NX]*(Data[Year]=AU$1)*(Data[Month]=AU$2)*(Data[Main SKU name_GOM]=$A7)*(Data[SKU name_NHẬP_GOM]=AU$3)))</f>
        <v>1100</v>
      </c>
      <c r="AV7" s="8" cm="1">
        <f t="array" ref="AV7">IF(AV$2="FY",SUMPRODUCT(Data[Nhập-SPC+SPP-NX]*(Data[Year]=AV$1)*(Data[Main SKU name_GOM]=$A7)*(Data[SKU name_NHẬP_GOM]=AV$3)),SUMPRODUCT(Data[Nhập-SPC+SPP-NX]*(Data[Year]=AV$1)*(Data[Month]=AV$2)*(Data[Main SKU name_GOM]=$A7)*(Data[SKU name_NHẬP_GOM]=AV$3)))</f>
        <v>1100</v>
      </c>
      <c r="AW7" s="8" cm="1">
        <f t="array" ref="AW7">IF(AW$2="FY",SUMPRODUCT(Data[Nhập-SPC+SPP-NX]*(Data[Year]=AW$1)*(Data[Main SKU name_GOM]=$A7)*(Data[SKU name_NHẬP_GOM]=AW$3)),SUMPRODUCT(Data[Nhập-SPC+SPP-NX]*(Data[Year]=AW$1)*(Data[Month]=AW$2)*(Data[Main SKU name_GOM]=$A7)*(Data[SKU name_NHẬP_GOM]=AW$3)))</f>
        <v>0</v>
      </c>
      <c r="AX7" s="8">
        <f t="shared" ref="AX7:AX9" si="3">SUM(AN7:AW7)</f>
        <v>1236315</v>
      </c>
      <c r="AZ7" s="8" cm="1">
        <f t="array" ref="AZ7">IF(AZ$2="FY",SUMPRODUCT(Data[Nhập-SPC+SPP-NX]*(Data[Year]=AZ$1)*(Data[Main SKU name_GOM]=$A7)*(Data[SKU name_NHẬP_GOM]=AZ$3)),SUMPRODUCT(Data[Nhập-SPC+SPP-NX]*(Data[Year]=AZ$1)*(Data[Month]=AZ$2)*(Data[Main SKU name_GOM]=$A7)*(Data[SKU name_NHẬP_GOM]=AZ$3)))</f>
        <v>0</v>
      </c>
      <c r="BA7" s="8" cm="1">
        <f t="array" ref="BA7">IF(BA$2="FY",SUMPRODUCT(Data[Nhập-SPC+SPP-NX]*(Data[Year]=BA$1)*(Data[Main SKU name_GOM]=$A7)*(Data[SKU name_NHẬP_GOM]=BA$3)),SUMPRODUCT(Data[Nhập-SPC+SPP-NX]*(Data[Year]=BA$1)*(Data[Month]=BA$2)*(Data[Main SKU name_GOM]=$A7)*(Data[SKU name_NHẬP_GOM]=BA$3)))</f>
        <v>1502936</v>
      </c>
      <c r="BB7" s="8" cm="1">
        <f t="array" ref="BB7">IF(BB$2="FY",SUMPRODUCT(Data[Nhập-SPC+SPP-NX]*(Data[Year]=BB$1)*(Data[Main SKU name_GOM]=$A7)*(Data[SKU name_NHẬP_GOM]=BB$3)),SUMPRODUCT(Data[Nhập-SPC+SPP-NX]*(Data[Year]=BB$1)*(Data[Month]=BB$2)*(Data[Main SKU name_GOM]=$A7)*(Data[SKU name_NHẬP_GOM]=BB$3)))</f>
        <v>39600</v>
      </c>
      <c r="BC7" s="8" cm="1">
        <f t="array" ref="BC7">IF(BC$2="FY",SUMPRODUCT(Data[Nhập-SPC+SPP-NX]*(Data[Year]=BC$1)*(Data[Main SKU name_GOM]=$A7)*(Data[SKU name_NHẬP_GOM]=BC$3)),SUMPRODUCT(Data[Nhập-SPC+SPP-NX]*(Data[Year]=BC$1)*(Data[Month]=BC$2)*(Data[Main SKU name_GOM]=$A7)*(Data[SKU name_NHẬP_GOM]=BC$3)))</f>
        <v>0</v>
      </c>
      <c r="BD7" s="8" cm="1">
        <f t="array" ref="BD7">IF(BD$2="FY",SUMPRODUCT(Data[Nhập-SPC+SPP-NX]*(Data[Year]=BD$1)*(Data[Main SKU name_GOM]=$A7)*(Data[SKU name_NHẬP_GOM]=BD$3)),SUMPRODUCT(Data[Nhập-SPC+SPP-NX]*(Data[Year]=BD$1)*(Data[Month]=BD$2)*(Data[Main SKU name_GOM]=$A7)*(Data[SKU name_NHẬP_GOM]=BD$3)))</f>
        <v>12744.999999999996</v>
      </c>
      <c r="BE7" s="8" cm="1">
        <f t="array" ref="BE7">IF(BE$2="FY",SUMPRODUCT(Data[Nhập-SPC+SPP-NX]*(Data[Year]=BE$1)*(Data[Main SKU name_GOM]=$A7)*(Data[SKU name_NHẬP_GOM]=BE$3)),SUMPRODUCT(Data[Nhập-SPC+SPP-NX]*(Data[Year]=BE$1)*(Data[Month]=BE$2)*(Data[Main SKU name_GOM]=$A7)*(Data[SKU name_NHẬP_GOM]=BE$3)))</f>
        <v>0</v>
      </c>
      <c r="BF7" s="8" cm="1">
        <f t="array" ref="BF7">IF(BF$2="FY",SUMPRODUCT(Data[Nhập-SPC+SPP-NX]*(Data[Year]=BF$1)*(Data[Main SKU name_GOM]=$A7)*(Data[SKU name_NHẬP_GOM]=BF$3)),SUMPRODUCT(Data[Nhập-SPC+SPP-NX]*(Data[Year]=BF$1)*(Data[Month]=BF$2)*(Data[Main SKU name_GOM]=$A7)*(Data[SKU name_NHẬP_GOM]=BF$3)))</f>
        <v>33000.000000000015</v>
      </c>
      <c r="BG7" s="8" cm="1">
        <f t="array" ref="BG7">IF(BG$2="FY",SUMPRODUCT(Data[Nhập-SPC+SPP-NX]*(Data[Year]=BG$1)*(Data[Main SKU name_GOM]=$A7)*(Data[SKU name_NHẬP_GOM]=BG$3)),SUMPRODUCT(Data[Nhập-SPC+SPP-NX]*(Data[Year]=BG$1)*(Data[Month]=BG$2)*(Data[Main SKU name_GOM]=$A7)*(Data[SKU name_NHẬP_GOM]=BG$3)))</f>
        <v>7700</v>
      </c>
      <c r="BH7" s="8" cm="1">
        <f t="array" ref="BH7">IF(BH$2="FY",SUMPRODUCT(Data[Nhập-SPC+SPP-NX]*(Data[Year]=BH$1)*(Data[Main SKU name_GOM]=$A7)*(Data[SKU name_NHẬP_GOM]=BH$3)),SUMPRODUCT(Data[Nhập-SPC+SPP-NX]*(Data[Year]=BH$1)*(Data[Month]=BH$2)*(Data[Main SKU name_GOM]=$A7)*(Data[SKU name_NHẬP_GOM]=BH$3)))</f>
        <v>12150.000000000002</v>
      </c>
      <c r="BI7" s="8" cm="1">
        <f t="array" ref="BI7">IF(BI$2="FY",SUMPRODUCT(Data[Nhập-SPC+SPP-NX]*(Data[Year]=BI$1)*(Data[Main SKU name_GOM]=$A7)*(Data[SKU name_NHẬP_GOM]=BI$3)),SUMPRODUCT(Data[Nhập-SPC+SPP-NX]*(Data[Year]=BI$1)*(Data[Month]=BI$2)*(Data[Main SKU name_GOM]=$A7)*(Data[SKU name_NHẬP_GOM]=BI$3)))</f>
        <v>0</v>
      </c>
      <c r="BJ7" s="8">
        <f t="shared" ref="BJ7:BJ9" si="4">SUM(AZ7:BI7)</f>
        <v>1608131</v>
      </c>
      <c r="BL7" s="8" cm="1">
        <f t="array" ref="BL7">IF(BL$2="FY",SUMPRODUCT(Data[Nhập-SPC+SPP-NX]*(Data[Year]=BL$1)*(Data[Main SKU name_GOM]=$A7)*(Data[SKU name_NHẬP_GOM]=BL$3)),SUMPRODUCT(Data[Nhập-SPC+SPP-NX]*(Data[Year]=BL$1)*(Data[Month]=BL$2)*(Data[Main SKU name_GOM]=$A7)*(Data[SKU name_NHẬP_GOM]=BL$3)))</f>
        <v>2200</v>
      </c>
      <c r="BM7" s="8" cm="1">
        <f t="array" ref="BM7">IF(BM$2="FY",SUMPRODUCT(Data[Nhập-SPC+SPP-NX]*(Data[Year]=BM$1)*(Data[Main SKU name_GOM]=$A7)*(Data[SKU name_NHẬP_GOM]=BM$3)),SUMPRODUCT(Data[Nhập-SPC+SPP-NX]*(Data[Year]=BM$1)*(Data[Month]=BM$2)*(Data[Main SKU name_GOM]=$A7)*(Data[SKU name_NHẬP_GOM]=BM$3)))</f>
        <v>1322200</v>
      </c>
      <c r="BN7" s="8" cm="1">
        <f t="array" ref="BN7">IF(BN$2="FY",SUMPRODUCT(Data[Nhập-SPC+SPP-NX]*(Data[Year]=BN$1)*(Data[Main SKU name_GOM]=$A7)*(Data[SKU name_NHẬP_GOM]=BN$3)),SUMPRODUCT(Data[Nhập-SPC+SPP-NX]*(Data[Year]=BN$1)*(Data[Month]=BN$2)*(Data[Main SKU name_GOM]=$A7)*(Data[SKU name_NHẬP_GOM]=BN$3)))</f>
        <v>23100</v>
      </c>
      <c r="BO7" s="8" cm="1">
        <f t="array" ref="BO7">IF(BO$2="FY",SUMPRODUCT(Data[Nhập-SPC+SPP-NX]*(Data[Year]=BO$1)*(Data[Main SKU name_GOM]=$A7)*(Data[SKU name_NHẬP_GOM]=BO$3)),SUMPRODUCT(Data[Nhập-SPC+SPP-NX]*(Data[Year]=BO$1)*(Data[Month]=BO$2)*(Data[Main SKU name_GOM]=$A7)*(Data[SKU name_NHẬP_GOM]=BO$3)))</f>
        <v>0</v>
      </c>
      <c r="BP7" s="8" cm="1">
        <f t="array" ref="BP7">IF(BP$2="FY",SUMPRODUCT(Data[Nhập-SPC+SPP-NX]*(Data[Year]=BP$1)*(Data[Main SKU name_GOM]=$A7)*(Data[SKU name_NHẬP_GOM]=BP$3)),SUMPRODUCT(Data[Nhập-SPC+SPP-NX]*(Data[Year]=BP$1)*(Data[Month]=BP$2)*(Data[Main SKU name_GOM]=$A7)*(Data[SKU name_NHẬP_GOM]=BP$3)))</f>
        <v>18700</v>
      </c>
      <c r="BQ7" s="8" cm="1">
        <f t="array" ref="BQ7">IF(BQ$2="FY",SUMPRODUCT(Data[Nhập-SPC+SPP-NX]*(Data[Year]=BQ$1)*(Data[Main SKU name_GOM]=$A7)*(Data[SKU name_NHẬP_GOM]=BQ$3)),SUMPRODUCT(Data[Nhập-SPC+SPP-NX]*(Data[Year]=BQ$1)*(Data[Month]=BQ$2)*(Data[Main SKU name_GOM]=$A7)*(Data[SKU name_NHẬP_GOM]=BQ$3)))</f>
        <v>0</v>
      </c>
      <c r="BR7" s="8" cm="1">
        <f t="array" ref="BR7">IF(BR$2="FY",SUMPRODUCT(Data[Nhập-SPC+SPP-NX]*(Data[Year]=BR$1)*(Data[Main SKU name_GOM]=$A7)*(Data[SKU name_NHẬP_GOM]=BR$3)),SUMPRODUCT(Data[Nhập-SPC+SPP-NX]*(Data[Year]=BR$1)*(Data[Month]=BR$2)*(Data[Main SKU name_GOM]=$A7)*(Data[SKU name_NHẬP_GOM]=BR$3)))</f>
        <v>11000</v>
      </c>
      <c r="BS7" s="8" cm="1">
        <f t="array" ref="BS7">IF(BS$2="FY",SUMPRODUCT(Data[Nhập-SPC+SPP-NX]*(Data[Year]=BS$1)*(Data[Main SKU name_GOM]=$A7)*(Data[SKU name_NHẬP_GOM]=BS$3)),SUMPRODUCT(Data[Nhập-SPC+SPP-NX]*(Data[Year]=BS$1)*(Data[Month]=BS$2)*(Data[Main SKU name_GOM]=$A7)*(Data[SKU name_NHẬP_GOM]=BS$3)))</f>
        <v>2200</v>
      </c>
      <c r="BT7" s="8" cm="1">
        <f t="array" ref="BT7">IF(BT$2="FY",SUMPRODUCT(Data[Nhập-SPC+SPP-NX]*(Data[Year]=BT$1)*(Data[Main SKU name_GOM]=$A7)*(Data[SKU name_NHẬP_GOM]=BT$3)),SUMPRODUCT(Data[Nhập-SPC+SPP-NX]*(Data[Year]=BT$1)*(Data[Month]=BT$2)*(Data[Main SKU name_GOM]=$A7)*(Data[SKU name_NHẬP_GOM]=BT$3)))</f>
        <v>1100</v>
      </c>
      <c r="BU7" s="8" cm="1">
        <f t="array" ref="BU7">IF(BU$2="FY",SUMPRODUCT(Data[Nhập-SPC+SPP-NX]*(Data[Year]=BU$1)*(Data[Main SKU name_GOM]=$A7)*(Data[SKU name_NHẬP_GOM]=BU$3)),SUMPRODUCT(Data[Nhập-SPC+SPP-NX]*(Data[Year]=BU$1)*(Data[Month]=BU$2)*(Data[Main SKU name_GOM]=$A7)*(Data[SKU name_NHẬP_GOM]=BU$3)))</f>
        <v>0</v>
      </c>
      <c r="BV7" s="8">
        <f t="shared" ref="BV7:BV9" si="5">SUM(BL7:BU7)</f>
        <v>1380500</v>
      </c>
      <c r="BX7" s="8" cm="1">
        <f t="array" ref="BX7">IF(BX$2="FY",SUMPRODUCT(Data[Nhập-SPC+SPP-NX]*(Data[Year]=BX$1)*(Data[Main SKU name_GOM]=$A7)*(Data[SKU name_NHẬP_GOM]=BX$3)),SUMPRODUCT(Data[Nhập-SPC+SPP-NX]*(Data[Year]=BX$1)*(Data[Month]=BX$2)*(Data[Main SKU name_GOM]=$A7)*(Data[SKU name_NHẬP_GOM]=BX$3)))</f>
        <v>37400</v>
      </c>
      <c r="BY7" s="8" cm="1">
        <f t="array" ref="BY7">IF(BY$2="FY",SUMPRODUCT(Data[Nhập-SPC+SPP-NX]*(Data[Year]=BY$1)*(Data[Main SKU name_GOM]=$A7)*(Data[SKU name_NHẬP_GOM]=BY$3)),SUMPRODUCT(Data[Nhập-SPC+SPP-NX]*(Data[Year]=BY$1)*(Data[Month]=BY$2)*(Data[Main SKU name_GOM]=$A7)*(Data[SKU name_NHẬP_GOM]=BY$3)))</f>
        <v>1905200</v>
      </c>
      <c r="BZ7" s="8" cm="1">
        <f t="array" ref="BZ7">IF(BZ$2="FY",SUMPRODUCT(Data[Nhập-SPC+SPP-NX]*(Data[Year]=BZ$1)*(Data[Main SKU name_GOM]=$A7)*(Data[SKU name_NHẬP_GOM]=BZ$3)),SUMPRODUCT(Data[Nhập-SPC+SPP-NX]*(Data[Year]=BZ$1)*(Data[Month]=BZ$2)*(Data[Main SKU name_GOM]=$A7)*(Data[SKU name_NHẬP_GOM]=BZ$3)))</f>
        <v>27500</v>
      </c>
      <c r="CA7" s="8" cm="1">
        <f t="array" ref="CA7">IF(CA$2="FY",SUMPRODUCT(Data[Nhập-SPC+SPP-NX]*(Data[Year]=CA$1)*(Data[Main SKU name_GOM]=$A7)*(Data[SKU name_NHẬP_GOM]=CA$3)),SUMPRODUCT(Data[Nhập-SPC+SPP-NX]*(Data[Year]=CA$1)*(Data[Month]=CA$2)*(Data[Main SKU name_GOM]=$A7)*(Data[SKU name_NHẬP_GOM]=CA$3)))</f>
        <v>0</v>
      </c>
      <c r="CB7" s="8" cm="1">
        <f t="array" ref="CB7">IF(CB$2="FY",SUMPRODUCT(Data[Nhập-SPC+SPP-NX]*(Data[Year]=CB$1)*(Data[Main SKU name_GOM]=$A7)*(Data[SKU name_NHẬP_GOM]=CB$3)),SUMPRODUCT(Data[Nhập-SPC+SPP-NX]*(Data[Year]=CB$1)*(Data[Month]=CB$2)*(Data[Main SKU name_GOM]=$A7)*(Data[SKU name_NHẬP_GOM]=CB$3)))</f>
        <v>4400</v>
      </c>
      <c r="CC7" s="8" cm="1">
        <f t="array" ref="CC7">IF(CC$2="FY",SUMPRODUCT(Data[Nhập-SPC+SPP-NX]*(Data[Year]=CC$1)*(Data[Main SKU name_GOM]=$A7)*(Data[SKU name_NHẬP_GOM]=CC$3)),SUMPRODUCT(Data[Nhập-SPC+SPP-NX]*(Data[Year]=CC$1)*(Data[Month]=CC$2)*(Data[Main SKU name_GOM]=$A7)*(Data[SKU name_NHẬP_GOM]=CC$3)))</f>
        <v>0</v>
      </c>
      <c r="CD7" s="8" cm="1">
        <f t="array" ref="CD7">IF(CD$2="FY",SUMPRODUCT(Data[Nhập-SPC+SPP-NX]*(Data[Year]=CD$1)*(Data[Main SKU name_GOM]=$A7)*(Data[SKU name_NHẬP_GOM]=CD$3)),SUMPRODUCT(Data[Nhập-SPC+SPP-NX]*(Data[Year]=CD$1)*(Data[Month]=CD$2)*(Data[Main SKU name_GOM]=$A7)*(Data[SKU name_NHẬP_GOM]=CD$3)))</f>
        <v>12100</v>
      </c>
      <c r="CE7" s="8" cm="1">
        <f t="array" ref="CE7">IF(CE$2="FY",SUMPRODUCT(Data[Nhập-SPC+SPP-NX]*(Data[Year]=CE$1)*(Data[Main SKU name_GOM]=$A7)*(Data[SKU name_NHẬP_GOM]=CE$3)),SUMPRODUCT(Data[Nhập-SPC+SPP-NX]*(Data[Year]=CE$1)*(Data[Month]=CE$2)*(Data[Main SKU name_GOM]=$A7)*(Data[SKU name_NHẬP_GOM]=CE$3)))</f>
        <v>2200</v>
      </c>
      <c r="CF7" s="8" cm="1">
        <f t="array" ref="CF7">IF(CF$2="FY",SUMPRODUCT(Data[Nhập-SPC+SPP-NX]*(Data[Year]=CF$1)*(Data[Main SKU name_GOM]=$A7)*(Data[SKU name_NHẬP_GOM]=CF$3)),SUMPRODUCT(Data[Nhập-SPC+SPP-NX]*(Data[Year]=CF$1)*(Data[Month]=CF$2)*(Data[Main SKU name_GOM]=$A7)*(Data[SKU name_NHẬP_GOM]=CF$3)))</f>
        <v>4400</v>
      </c>
      <c r="CG7" s="8" cm="1">
        <f t="array" ref="CG7">IF(CG$2="FY",SUMPRODUCT(Data[Nhập-SPC+SPP-NX]*(Data[Year]=CG$1)*(Data[Main SKU name_GOM]=$A7)*(Data[SKU name_NHẬP_GOM]=CG$3)),SUMPRODUCT(Data[Nhập-SPC+SPP-NX]*(Data[Year]=CG$1)*(Data[Month]=CG$2)*(Data[Main SKU name_GOM]=$A7)*(Data[SKU name_NHẬP_GOM]=CG$3)))</f>
        <v>0</v>
      </c>
      <c r="CH7" s="8">
        <f t="shared" ref="CH7:CH9" si="6">SUM(BX7:CG7)</f>
        <v>1993200</v>
      </c>
      <c r="CJ7" s="8" cm="1">
        <f t="array" ref="CJ7">IF(CJ$2="FY",SUMPRODUCT(Data[Nhập-SPC+SPP-NX]*(Data[Year]=CJ$1)*(Data[Main SKU name_GOM]=$A7)*(Data[SKU name_NHẬP_GOM]=CJ$3)),SUMPRODUCT(Data[Nhập-SPC+SPP-NX]*(Data[Year]=CJ$1)*(Data[Month]=CJ$2)*(Data[Main SKU name_GOM]=$A7)*(Data[SKU name_NHẬP_GOM]=CJ$3)))</f>
        <v>0</v>
      </c>
      <c r="CK7" s="8" cm="1">
        <f t="array" ref="CK7">IF(CK$2="FY",SUMPRODUCT(Data[Nhập-SPC+SPP-NX]*(Data[Year]=CK$1)*(Data[Main SKU name_GOM]=$A7)*(Data[SKU name_NHẬP_GOM]=CK$3)),SUMPRODUCT(Data[Nhập-SPC+SPP-NX]*(Data[Year]=CK$1)*(Data[Month]=CK$2)*(Data[Main SKU name_GOM]=$A7)*(Data[SKU name_NHẬP_GOM]=CK$3)))</f>
        <v>1091200</v>
      </c>
      <c r="CL7" s="8" cm="1">
        <f t="array" ref="CL7">IF(CL$2="FY",SUMPRODUCT(Data[Nhập-SPC+SPP-NX]*(Data[Year]=CL$1)*(Data[Main SKU name_GOM]=$A7)*(Data[SKU name_NHẬP_GOM]=CL$3)),SUMPRODUCT(Data[Nhập-SPC+SPP-NX]*(Data[Year]=CL$1)*(Data[Month]=CL$2)*(Data[Main SKU name_GOM]=$A7)*(Data[SKU name_NHẬP_GOM]=CL$3)))</f>
        <v>68200</v>
      </c>
      <c r="CM7" s="8" cm="1">
        <f t="array" ref="CM7">IF(CM$2="FY",SUMPRODUCT(Data[Nhập-SPC+SPP-NX]*(Data[Year]=CM$1)*(Data[Main SKU name_GOM]=$A7)*(Data[SKU name_NHẬP_GOM]=CM$3)),SUMPRODUCT(Data[Nhập-SPC+SPP-NX]*(Data[Year]=CM$1)*(Data[Month]=CM$2)*(Data[Main SKU name_GOM]=$A7)*(Data[SKU name_NHẬP_GOM]=CM$3)))</f>
        <v>0</v>
      </c>
      <c r="CN7" s="8" cm="1">
        <f t="array" ref="CN7">IF(CN$2="FY",SUMPRODUCT(Data[Nhập-SPC+SPP-NX]*(Data[Year]=CN$1)*(Data[Main SKU name_GOM]=$A7)*(Data[SKU name_NHẬP_GOM]=CN$3)),SUMPRODUCT(Data[Nhập-SPC+SPP-NX]*(Data[Year]=CN$1)*(Data[Month]=CN$2)*(Data[Main SKU name_GOM]=$A7)*(Data[SKU name_NHẬP_GOM]=CN$3)))</f>
        <v>19800.000000000007</v>
      </c>
      <c r="CO7" s="8" cm="1">
        <f t="array" ref="CO7">IF(CO$2="FY",SUMPRODUCT(Data[Nhập-SPC+SPP-NX]*(Data[Year]=CO$1)*(Data[Main SKU name_GOM]=$A7)*(Data[SKU name_NHẬP_GOM]=CO$3)),SUMPRODUCT(Data[Nhập-SPC+SPP-NX]*(Data[Year]=CO$1)*(Data[Month]=CO$2)*(Data[Main SKU name_GOM]=$A7)*(Data[SKU name_NHẬP_GOM]=CO$3)))</f>
        <v>0</v>
      </c>
      <c r="CP7" s="8" cm="1">
        <f t="array" ref="CP7">IF(CP$2="FY",SUMPRODUCT(Data[Nhập-SPC+SPP-NX]*(Data[Year]=CP$1)*(Data[Main SKU name_GOM]=$A7)*(Data[SKU name_NHẬP_GOM]=CP$3)),SUMPRODUCT(Data[Nhập-SPC+SPP-NX]*(Data[Year]=CP$1)*(Data[Month]=CP$2)*(Data[Main SKU name_GOM]=$A7)*(Data[SKU name_NHẬP_GOM]=CP$3)))</f>
        <v>12100</v>
      </c>
      <c r="CQ7" s="8" cm="1">
        <f t="array" ref="CQ7">IF(CQ$2="FY",SUMPRODUCT(Data[Nhập-SPC+SPP-NX]*(Data[Year]=CQ$1)*(Data[Main SKU name_GOM]=$A7)*(Data[SKU name_NHẬP_GOM]=CQ$3)),SUMPRODUCT(Data[Nhập-SPC+SPP-NX]*(Data[Year]=CQ$1)*(Data[Month]=CQ$2)*(Data[Main SKU name_GOM]=$A7)*(Data[SKU name_NHẬP_GOM]=CQ$3)))</f>
        <v>0</v>
      </c>
      <c r="CR7" s="8" cm="1">
        <f t="array" ref="CR7">IF(CR$2="FY",SUMPRODUCT(Data[Nhập-SPC+SPP-NX]*(Data[Year]=CR$1)*(Data[Main SKU name_GOM]=$A7)*(Data[SKU name_NHẬP_GOM]=CR$3)),SUMPRODUCT(Data[Nhập-SPC+SPP-NX]*(Data[Year]=CR$1)*(Data[Month]=CR$2)*(Data[Main SKU name_GOM]=$A7)*(Data[SKU name_NHẬP_GOM]=CR$3)))</f>
        <v>0</v>
      </c>
      <c r="CS7" s="8" cm="1">
        <f t="array" ref="CS7">IF(CS$2="FY",SUMPRODUCT(Data[Nhập-SPC+SPP-NX]*(Data[Year]=CS$1)*(Data[Main SKU name_GOM]=$A7)*(Data[SKU name_NHẬP_GOM]=CS$3)),SUMPRODUCT(Data[Nhập-SPC+SPP-NX]*(Data[Year]=CS$1)*(Data[Month]=CS$2)*(Data[Main SKU name_GOM]=$A7)*(Data[SKU name_NHẬP_GOM]=CS$3)))</f>
        <v>0</v>
      </c>
      <c r="CT7" s="8">
        <f t="shared" ref="CT7:CT9" si="7">SUM(CJ7:CS7)</f>
        <v>1191300</v>
      </c>
      <c r="CV7" s="8" cm="1">
        <f t="array" ref="CV7">IF(CV$2="FY",SUMPRODUCT(Data[Nhập-SPC+SPP-NX]*(Data[Year]=CV$1)*(Data[Main SKU name_GOM]=$A7)*(Data[SKU name_NHẬP_GOM]=CV$3)),SUMPRODUCT(Data[Nhập-SPC+SPP-NX]*(Data[Year]=CV$1)*(Data[Month]=CV$2)*(Data[Main SKU name_GOM]=$A7)*(Data[SKU name_NHẬP_GOM]=CV$3)))</f>
        <v>0</v>
      </c>
      <c r="CW7" s="8" cm="1">
        <f t="array" ref="CW7">IF(CW$2="FY",SUMPRODUCT(Data[Nhập-SPC+SPP-NX]*(Data[Year]=CW$1)*(Data[Main SKU name_GOM]=$A7)*(Data[SKU name_NHẬP_GOM]=CW$3)),SUMPRODUCT(Data[Nhập-SPC+SPP-NX]*(Data[Year]=CW$1)*(Data[Month]=CW$2)*(Data[Main SKU name_GOM]=$A7)*(Data[SKU name_NHẬP_GOM]=CW$3)))</f>
        <v>1014200</v>
      </c>
      <c r="CX7" s="8" cm="1">
        <f t="array" ref="CX7">IF(CX$2="FY",SUMPRODUCT(Data[Nhập-SPC+SPP-NX]*(Data[Year]=CX$1)*(Data[Main SKU name_GOM]=$A7)*(Data[SKU name_NHẬP_GOM]=CX$3)),SUMPRODUCT(Data[Nhập-SPC+SPP-NX]*(Data[Year]=CX$1)*(Data[Month]=CX$2)*(Data[Main SKU name_GOM]=$A7)*(Data[SKU name_NHẬP_GOM]=CX$3)))</f>
        <v>69300</v>
      </c>
      <c r="CY7" s="8" cm="1">
        <f t="array" ref="CY7">IF(CY$2="FY",SUMPRODUCT(Data[Nhập-SPC+SPP-NX]*(Data[Year]=CY$1)*(Data[Main SKU name_GOM]=$A7)*(Data[SKU name_NHẬP_GOM]=CY$3)),SUMPRODUCT(Data[Nhập-SPC+SPP-NX]*(Data[Year]=CY$1)*(Data[Month]=CY$2)*(Data[Main SKU name_GOM]=$A7)*(Data[SKU name_NHẬP_GOM]=CY$3)))</f>
        <v>0</v>
      </c>
      <c r="CZ7" s="8" cm="1">
        <f t="array" ref="CZ7">IF(CZ$2="FY",SUMPRODUCT(Data[Nhập-SPC+SPP-NX]*(Data[Year]=CZ$1)*(Data[Main SKU name_GOM]=$A7)*(Data[SKU name_NHẬP_GOM]=CZ$3)),SUMPRODUCT(Data[Nhập-SPC+SPP-NX]*(Data[Year]=CZ$1)*(Data[Month]=CZ$2)*(Data[Main SKU name_GOM]=$A7)*(Data[SKU name_NHẬP_GOM]=CZ$3)))</f>
        <v>7699.9999999999991</v>
      </c>
      <c r="DA7" s="8" cm="1">
        <f t="array" ref="DA7">IF(DA$2="FY",SUMPRODUCT(Data[Nhập-SPC+SPP-NX]*(Data[Year]=DA$1)*(Data[Main SKU name_GOM]=$A7)*(Data[SKU name_NHẬP_GOM]=DA$3)),SUMPRODUCT(Data[Nhập-SPC+SPP-NX]*(Data[Year]=DA$1)*(Data[Month]=DA$2)*(Data[Main SKU name_GOM]=$A7)*(Data[SKU name_NHẬP_GOM]=DA$3)))</f>
        <v>0</v>
      </c>
      <c r="DB7" s="8" cm="1">
        <f t="array" ref="DB7">IF(DB$2="FY",SUMPRODUCT(Data[Nhập-SPC+SPP-NX]*(Data[Year]=DB$1)*(Data[Main SKU name_GOM]=$A7)*(Data[SKU name_NHẬP_GOM]=DB$3)),SUMPRODUCT(Data[Nhập-SPC+SPP-NX]*(Data[Year]=DB$1)*(Data[Month]=DB$2)*(Data[Main SKU name_GOM]=$A7)*(Data[SKU name_NHẬP_GOM]=DB$3)))</f>
        <v>14299.999999999998</v>
      </c>
      <c r="DC7" s="8" cm="1">
        <f t="array" ref="DC7">IF(DC$2="FY",SUMPRODUCT(Data[Nhập-SPC+SPP-NX]*(Data[Year]=DC$1)*(Data[Main SKU name_GOM]=$A7)*(Data[SKU name_NHẬP_GOM]=DC$3)),SUMPRODUCT(Data[Nhập-SPC+SPP-NX]*(Data[Year]=DC$1)*(Data[Month]=DC$2)*(Data[Main SKU name_GOM]=$A7)*(Data[SKU name_NHẬP_GOM]=DC$3)))</f>
        <v>3300</v>
      </c>
      <c r="DD7" s="8" cm="1">
        <f t="array" ref="DD7">IF(DD$2="FY",SUMPRODUCT(Data[Nhập-SPC+SPP-NX]*(Data[Year]=DD$1)*(Data[Main SKU name_GOM]=$A7)*(Data[SKU name_NHẬP_GOM]=DD$3)),SUMPRODUCT(Data[Nhập-SPC+SPP-NX]*(Data[Year]=DD$1)*(Data[Month]=DD$2)*(Data[Main SKU name_GOM]=$A7)*(Data[SKU name_NHẬP_GOM]=DD$3)))</f>
        <v>2200</v>
      </c>
      <c r="DE7" s="8" cm="1">
        <f t="array" ref="DE7">IF(DE$2="FY",SUMPRODUCT(Data[Nhập-SPC+SPP-NX]*(Data[Year]=DE$1)*(Data[Main SKU name_GOM]=$A7)*(Data[SKU name_NHẬP_GOM]=DE$3)),SUMPRODUCT(Data[Nhập-SPC+SPP-NX]*(Data[Year]=DE$1)*(Data[Month]=DE$2)*(Data[Main SKU name_GOM]=$A7)*(Data[SKU name_NHẬP_GOM]=DE$3)))</f>
        <v>0</v>
      </c>
      <c r="DF7" s="8">
        <f t="shared" ref="DF7:DF9" si="8">SUM(CV7:DE7)</f>
        <v>1111000</v>
      </c>
      <c r="DH7" s="8" cm="1">
        <f t="array" ref="DH7">IF(DH$2="FY",SUMPRODUCT(Data[Nhập-SPC+SPP-NX]*(Data[Year]=DH$1)*(Data[Main SKU name_GOM]=$A7)*(Data[SKU name_NHẬP_GOM]=DH$3)),SUMPRODUCT(Data[Nhập-SPC+SPP-NX]*(Data[Year]=DH$1)*(Data[Month]=DH$2)*(Data[Main SKU name_GOM]=$A7)*(Data[SKU name_NHẬP_GOM]=DH$3)))</f>
        <v>0</v>
      </c>
      <c r="DI7" s="8" cm="1">
        <f t="array" ref="DI7">IF(DI$2="FY",SUMPRODUCT(Data[Nhập-SPC+SPP-NX]*(Data[Year]=DI$1)*(Data[Main SKU name_GOM]=$A7)*(Data[SKU name_NHẬP_GOM]=DI$3)),SUMPRODUCT(Data[Nhập-SPC+SPP-NX]*(Data[Year]=DI$1)*(Data[Month]=DI$2)*(Data[Main SKU name_GOM]=$A7)*(Data[SKU name_NHẬP_GOM]=DI$3)))</f>
        <v>806300</v>
      </c>
      <c r="DJ7" s="8" cm="1">
        <f t="array" ref="DJ7">IF(DJ$2="FY",SUMPRODUCT(Data[Nhập-SPC+SPP-NX]*(Data[Year]=DJ$1)*(Data[Main SKU name_GOM]=$A7)*(Data[SKU name_NHẬP_GOM]=DJ$3)),SUMPRODUCT(Data[Nhập-SPC+SPP-NX]*(Data[Year]=DJ$1)*(Data[Month]=DJ$2)*(Data[Main SKU name_GOM]=$A7)*(Data[SKU name_NHẬP_GOM]=DJ$3)))</f>
        <v>35200.000000000007</v>
      </c>
      <c r="DK7" s="8" cm="1">
        <f t="array" ref="DK7">IF(DK$2="FY",SUMPRODUCT(Data[Nhập-SPC+SPP-NX]*(Data[Year]=DK$1)*(Data[Main SKU name_GOM]=$A7)*(Data[SKU name_NHẬP_GOM]=DK$3)),SUMPRODUCT(Data[Nhập-SPC+SPP-NX]*(Data[Year]=DK$1)*(Data[Month]=DK$2)*(Data[Main SKU name_GOM]=$A7)*(Data[SKU name_NHẬP_GOM]=DK$3)))</f>
        <v>0</v>
      </c>
      <c r="DL7" s="8" cm="1">
        <f t="array" ref="DL7">IF(DL$2="FY",SUMPRODUCT(Data[Nhập-SPC+SPP-NX]*(Data[Year]=DL$1)*(Data[Main SKU name_GOM]=$A7)*(Data[SKU name_NHẬP_GOM]=DL$3)),SUMPRODUCT(Data[Nhập-SPC+SPP-NX]*(Data[Year]=DL$1)*(Data[Month]=DL$2)*(Data[Main SKU name_GOM]=$A7)*(Data[SKU name_NHẬP_GOM]=DL$3)))</f>
        <v>1100</v>
      </c>
      <c r="DM7" s="8" cm="1">
        <f t="array" ref="DM7">IF(DM$2="FY",SUMPRODUCT(Data[Nhập-SPC+SPP-NX]*(Data[Year]=DM$1)*(Data[Main SKU name_GOM]=$A7)*(Data[SKU name_NHẬP_GOM]=DM$3)),SUMPRODUCT(Data[Nhập-SPC+SPP-NX]*(Data[Year]=DM$1)*(Data[Month]=DM$2)*(Data[Main SKU name_GOM]=$A7)*(Data[SKU name_NHẬP_GOM]=DM$3)))</f>
        <v>0</v>
      </c>
      <c r="DN7" s="8" cm="1">
        <f t="array" ref="DN7">IF(DN$2="FY",SUMPRODUCT(Data[Nhập-SPC+SPP-NX]*(Data[Year]=DN$1)*(Data[Main SKU name_GOM]=$A7)*(Data[SKU name_NHẬP_GOM]=DN$3)),SUMPRODUCT(Data[Nhập-SPC+SPP-NX]*(Data[Year]=DN$1)*(Data[Month]=DN$2)*(Data[Main SKU name_GOM]=$A7)*(Data[SKU name_NHẬP_GOM]=DN$3)))</f>
        <v>8800</v>
      </c>
      <c r="DO7" s="8" cm="1">
        <f t="array" ref="DO7">IF(DO$2="FY",SUMPRODUCT(Data[Nhập-SPC+SPP-NX]*(Data[Year]=DO$1)*(Data[Main SKU name_GOM]=$A7)*(Data[SKU name_NHẬP_GOM]=DO$3)),SUMPRODUCT(Data[Nhập-SPC+SPP-NX]*(Data[Year]=DO$1)*(Data[Month]=DO$2)*(Data[Main SKU name_GOM]=$A7)*(Data[SKU name_NHẬP_GOM]=DO$3)))</f>
        <v>0</v>
      </c>
      <c r="DP7" s="8" cm="1">
        <f t="array" ref="DP7">IF(DP$2="FY",SUMPRODUCT(Data[Nhập-SPC+SPP-NX]*(Data[Year]=DP$1)*(Data[Main SKU name_GOM]=$A7)*(Data[SKU name_NHẬP_GOM]=DP$3)),SUMPRODUCT(Data[Nhập-SPC+SPP-NX]*(Data[Year]=DP$1)*(Data[Month]=DP$2)*(Data[Main SKU name_GOM]=$A7)*(Data[SKU name_NHẬP_GOM]=DP$3)))</f>
        <v>0</v>
      </c>
      <c r="DQ7" s="8" cm="1">
        <f t="array" ref="DQ7">IF(DQ$2="FY",SUMPRODUCT(Data[Nhập-SPC+SPP-NX]*(Data[Year]=DQ$1)*(Data[Main SKU name_GOM]=$A7)*(Data[SKU name_NHẬP_GOM]=DQ$3)),SUMPRODUCT(Data[Nhập-SPC+SPP-NX]*(Data[Year]=DQ$1)*(Data[Month]=DQ$2)*(Data[Main SKU name_GOM]=$A7)*(Data[SKU name_NHẬP_GOM]=DQ$3)))</f>
        <v>0</v>
      </c>
      <c r="DR7" s="8">
        <f t="shared" ref="DR7:DR9" si="9">SUM(DH7:DQ7)</f>
        <v>851400</v>
      </c>
      <c r="DT7" s="8" cm="1">
        <f t="array" ref="DT7">IF(DT$2="FY",SUMPRODUCT(Data[Nhập-SPC+SPP-NX]*(Data[Year]=DT$1)*(Data[Main SKU name_GOM]=$A7)*(Data[SKU name_NHẬP_GOM]=DT$3)),SUMPRODUCT(Data[Nhập-SPC+SPP-NX]*(Data[Year]=DT$1)*(Data[Month]=DT$2)*(Data[Main SKU name_GOM]=$A7)*(Data[SKU name_NHẬP_GOM]=DT$3)))</f>
        <v>0</v>
      </c>
      <c r="DU7" s="8" cm="1">
        <f t="array" ref="DU7">IF(DU$2="FY",SUMPRODUCT(Data[Nhập-SPC+SPP-NX]*(Data[Year]=DU$1)*(Data[Main SKU name_GOM]=$A7)*(Data[SKU name_NHẬP_GOM]=DU$3)),SUMPRODUCT(Data[Nhập-SPC+SPP-NX]*(Data[Year]=DU$1)*(Data[Month]=DU$2)*(Data[Main SKU name_GOM]=$A7)*(Data[SKU name_NHẬP_GOM]=DU$3)))</f>
        <v>112200</v>
      </c>
      <c r="DV7" s="8" cm="1">
        <f t="array" ref="DV7">IF(DV$2="FY",SUMPRODUCT(Data[Nhập-SPC+SPP-NX]*(Data[Year]=DV$1)*(Data[Main SKU name_GOM]=$A7)*(Data[SKU name_NHẬP_GOM]=DV$3)),SUMPRODUCT(Data[Nhập-SPC+SPP-NX]*(Data[Year]=DV$1)*(Data[Month]=DV$2)*(Data[Main SKU name_GOM]=$A7)*(Data[SKU name_NHẬP_GOM]=DV$3)))</f>
        <v>0</v>
      </c>
      <c r="DW7" s="8" cm="1">
        <f t="array" ref="DW7">IF(DW$2="FY",SUMPRODUCT(Data[Nhập-SPC+SPP-NX]*(Data[Year]=DW$1)*(Data[Main SKU name_GOM]=$A7)*(Data[SKU name_NHẬP_GOM]=DW$3)),SUMPRODUCT(Data[Nhập-SPC+SPP-NX]*(Data[Year]=DW$1)*(Data[Month]=DW$2)*(Data[Main SKU name_GOM]=$A7)*(Data[SKU name_NHẬP_GOM]=DW$3)))</f>
        <v>0</v>
      </c>
      <c r="DX7" s="8" cm="1">
        <f t="array" ref="DX7">IF(DX$2="FY",SUMPRODUCT(Data[Nhập-SPC+SPP-NX]*(Data[Year]=DX$1)*(Data[Main SKU name_GOM]=$A7)*(Data[SKU name_NHẬP_GOM]=DX$3)),SUMPRODUCT(Data[Nhập-SPC+SPP-NX]*(Data[Year]=DX$1)*(Data[Month]=DX$2)*(Data[Main SKU name_GOM]=$A7)*(Data[SKU name_NHẬP_GOM]=DX$3)))</f>
        <v>0</v>
      </c>
      <c r="DY7" s="8" cm="1">
        <f t="array" ref="DY7">IF(DY$2="FY",SUMPRODUCT(Data[Nhập-SPC+SPP-NX]*(Data[Year]=DY$1)*(Data[Main SKU name_GOM]=$A7)*(Data[SKU name_NHẬP_GOM]=DY$3)),SUMPRODUCT(Data[Nhập-SPC+SPP-NX]*(Data[Year]=DY$1)*(Data[Month]=DY$2)*(Data[Main SKU name_GOM]=$A7)*(Data[SKU name_NHẬP_GOM]=DY$3)))</f>
        <v>0</v>
      </c>
      <c r="DZ7" s="8" cm="1">
        <f t="array" ref="DZ7">IF(DZ$2="FY",SUMPRODUCT(Data[Nhập-SPC+SPP-NX]*(Data[Year]=DZ$1)*(Data[Main SKU name_GOM]=$A7)*(Data[SKU name_NHẬP_GOM]=DZ$3)),SUMPRODUCT(Data[Nhập-SPC+SPP-NX]*(Data[Year]=DZ$1)*(Data[Month]=DZ$2)*(Data[Main SKU name_GOM]=$A7)*(Data[SKU name_NHẬP_GOM]=DZ$3)))</f>
        <v>12100</v>
      </c>
      <c r="EA7" s="8" cm="1">
        <f t="array" ref="EA7">IF(EA$2="FY",SUMPRODUCT(Data[Nhập-SPC+SPP-NX]*(Data[Year]=EA$1)*(Data[Main SKU name_GOM]=$A7)*(Data[SKU name_NHẬP_GOM]=EA$3)),SUMPRODUCT(Data[Nhập-SPC+SPP-NX]*(Data[Year]=EA$1)*(Data[Month]=EA$2)*(Data[Main SKU name_GOM]=$A7)*(Data[SKU name_NHẬP_GOM]=EA$3)))</f>
        <v>0</v>
      </c>
      <c r="EB7" s="8" cm="1">
        <f t="array" ref="EB7">IF(EB$2="FY",SUMPRODUCT(Data[Nhập-SPC+SPP-NX]*(Data[Year]=EB$1)*(Data[Main SKU name_GOM]=$A7)*(Data[SKU name_NHẬP_GOM]=EB$3)),SUMPRODUCT(Data[Nhập-SPC+SPP-NX]*(Data[Year]=EB$1)*(Data[Month]=EB$2)*(Data[Main SKU name_GOM]=$A7)*(Data[SKU name_NHẬP_GOM]=EB$3)))</f>
        <v>0</v>
      </c>
      <c r="EC7" s="8" cm="1">
        <f t="array" ref="EC7">IF(EC$2="FY",SUMPRODUCT(Data[Nhập-SPC+SPP-NX]*(Data[Year]=EC$1)*(Data[Main SKU name_GOM]=$A7)*(Data[SKU name_NHẬP_GOM]=EC$3)),SUMPRODUCT(Data[Nhập-SPC+SPP-NX]*(Data[Year]=EC$1)*(Data[Month]=EC$2)*(Data[Main SKU name_GOM]=$A7)*(Data[SKU name_NHẬP_GOM]=EC$3)))</f>
        <v>0</v>
      </c>
      <c r="ED7" s="8">
        <f t="shared" ref="ED7:ED9" si="10">SUM(DT7:EC7)</f>
        <v>124300</v>
      </c>
      <c r="EF7" s="8" cm="1">
        <f t="array" ref="EF7">IF(EF$2="FY",SUMPRODUCT(Data[Nhập-SPC+SPP-NX]*(Data[Year]=EF$1)*(Data[Main SKU name_GOM]=$A7)*(Data[SKU name_NHẬP_GOM]=EF$3)),SUMPRODUCT(Data[Nhập-SPC+SPP-NX]*(Data[Year]=EF$1)*(Data[Month]=EF$2)*(Data[Main SKU name_GOM]=$A7)*(Data[SKU name_NHẬP_GOM]=EF$3)))</f>
        <v>0</v>
      </c>
      <c r="EG7" s="8" cm="1">
        <f t="array" ref="EG7">IF(EG$2="FY",SUMPRODUCT(Data[Nhập-SPC+SPP-NX]*(Data[Year]=EG$1)*(Data[Main SKU name_GOM]=$A7)*(Data[SKU name_NHẬP_GOM]=EG$3)),SUMPRODUCT(Data[Nhập-SPC+SPP-NX]*(Data[Year]=EG$1)*(Data[Month]=EG$2)*(Data[Main SKU name_GOM]=$A7)*(Data[SKU name_NHẬP_GOM]=EG$3)))</f>
        <v>23100</v>
      </c>
      <c r="EH7" s="8" cm="1">
        <f t="array" ref="EH7">IF(EH$2="FY",SUMPRODUCT(Data[Nhập-SPC+SPP-NX]*(Data[Year]=EH$1)*(Data[Main SKU name_GOM]=$A7)*(Data[SKU name_NHẬP_GOM]=EH$3)),SUMPRODUCT(Data[Nhập-SPC+SPP-NX]*(Data[Year]=EH$1)*(Data[Month]=EH$2)*(Data[Main SKU name_GOM]=$A7)*(Data[SKU name_NHẬP_GOM]=EH$3)))</f>
        <v>2200</v>
      </c>
      <c r="EI7" s="8" cm="1">
        <f t="array" ref="EI7">IF(EI$2="FY",SUMPRODUCT(Data[Nhập-SPC+SPP-NX]*(Data[Year]=EI$1)*(Data[Main SKU name_GOM]=$A7)*(Data[SKU name_NHẬP_GOM]=EI$3)),SUMPRODUCT(Data[Nhập-SPC+SPP-NX]*(Data[Year]=EI$1)*(Data[Month]=EI$2)*(Data[Main SKU name_GOM]=$A7)*(Data[SKU name_NHẬP_GOM]=EI$3)))</f>
        <v>0</v>
      </c>
      <c r="EJ7" s="8" cm="1">
        <f t="array" ref="EJ7">IF(EJ$2="FY",SUMPRODUCT(Data[Nhập-SPC+SPP-NX]*(Data[Year]=EJ$1)*(Data[Main SKU name_GOM]=$A7)*(Data[SKU name_NHẬP_GOM]=EJ$3)),SUMPRODUCT(Data[Nhập-SPC+SPP-NX]*(Data[Year]=EJ$1)*(Data[Month]=EJ$2)*(Data[Main SKU name_GOM]=$A7)*(Data[SKU name_NHẬP_GOM]=EJ$3)))</f>
        <v>1100</v>
      </c>
      <c r="EK7" s="8" cm="1">
        <f t="array" ref="EK7">IF(EK$2="FY",SUMPRODUCT(Data[Nhập-SPC+SPP-NX]*(Data[Year]=EK$1)*(Data[Main SKU name_GOM]=$A7)*(Data[SKU name_NHẬP_GOM]=EK$3)),SUMPRODUCT(Data[Nhập-SPC+SPP-NX]*(Data[Year]=EK$1)*(Data[Month]=EK$2)*(Data[Main SKU name_GOM]=$A7)*(Data[SKU name_NHẬP_GOM]=EK$3)))</f>
        <v>0</v>
      </c>
      <c r="EL7" s="8" cm="1">
        <f t="array" ref="EL7">IF(EL$2="FY",SUMPRODUCT(Data[Nhập-SPC+SPP-NX]*(Data[Year]=EL$1)*(Data[Main SKU name_GOM]=$A7)*(Data[SKU name_NHẬP_GOM]=EL$3)),SUMPRODUCT(Data[Nhập-SPC+SPP-NX]*(Data[Year]=EL$1)*(Data[Month]=EL$2)*(Data[Main SKU name_GOM]=$A7)*(Data[SKU name_NHẬP_GOM]=EL$3)))</f>
        <v>0</v>
      </c>
      <c r="EM7" s="8" cm="1">
        <f t="array" ref="EM7">IF(EM$2="FY",SUMPRODUCT(Data[Nhập-SPC+SPP-NX]*(Data[Year]=EM$1)*(Data[Main SKU name_GOM]=$A7)*(Data[SKU name_NHẬP_GOM]=EM$3)),SUMPRODUCT(Data[Nhập-SPC+SPP-NX]*(Data[Year]=EM$1)*(Data[Month]=EM$2)*(Data[Main SKU name_GOM]=$A7)*(Data[SKU name_NHẬP_GOM]=EM$3)))</f>
        <v>0</v>
      </c>
      <c r="EN7" s="8" cm="1">
        <f t="array" ref="EN7">IF(EN$2="FY",SUMPRODUCT(Data[Nhập-SPC+SPP-NX]*(Data[Year]=EN$1)*(Data[Main SKU name_GOM]=$A7)*(Data[SKU name_NHẬP_GOM]=EN$3)),SUMPRODUCT(Data[Nhập-SPC+SPP-NX]*(Data[Year]=EN$1)*(Data[Month]=EN$2)*(Data[Main SKU name_GOM]=$A7)*(Data[SKU name_NHẬP_GOM]=EN$3)))</f>
        <v>0</v>
      </c>
      <c r="EO7" s="8" cm="1">
        <f t="array" ref="EO7">IF(EO$2="FY",SUMPRODUCT(Data[Nhập-SPC+SPP-NX]*(Data[Year]=EO$1)*(Data[Main SKU name_GOM]=$A7)*(Data[SKU name_NHẬP_GOM]=EO$3)),SUMPRODUCT(Data[Nhập-SPC+SPP-NX]*(Data[Year]=EO$1)*(Data[Month]=EO$2)*(Data[Main SKU name_GOM]=$A7)*(Data[SKU name_NHẬP_GOM]=EO$3)))</f>
        <v>0</v>
      </c>
      <c r="EP7" s="8">
        <f t="shared" ref="EP7:EP9" si="11">SUM(EF7:EO7)</f>
        <v>26400</v>
      </c>
      <c r="ER7" s="8" cm="1">
        <f t="array" ref="ER7">IF(ER$2="FY",SUMPRODUCT(Data[Nhập-SPC+SPP-NX]*(Data[Year]=ER$1)*(Data[Main SKU name_GOM]=$A7)*(Data[SKU name_NHẬP_GOM]=ER$3)),SUMPRODUCT(Data[Nhập-SPC+SPP-NX]*(Data[Year]=ER$1)*(Data[Month]=ER$2)*(Data[Main SKU name_GOM]=$A7)*(Data[SKU name_NHẬP_GOM]=ER$3)))</f>
        <v>0</v>
      </c>
      <c r="ES7" s="8" cm="1">
        <f t="array" ref="ES7">IF(ES$2="FY",SUMPRODUCT(Data[Nhập-SPC+SPP-NX]*(Data[Year]=ES$1)*(Data[Main SKU name_GOM]=$A7)*(Data[SKU name_NHẬP_GOM]=ES$3)),SUMPRODUCT(Data[Nhập-SPC+SPP-NX]*(Data[Year]=ES$1)*(Data[Month]=ES$2)*(Data[Main SKU name_GOM]=$A7)*(Data[SKU name_NHẬP_GOM]=ES$3)))</f>
        <v>26400</v>
      </c>
      <c r="ET7" s="8" cm="1">
        <f t="array" ref="ET7">IF(ET$2="FY",SUMPRODUCT(Data[Nhập-SPC+SPP-NX]*(Data[Year]=ET$1)*(Data[Main SKU name_GOM]=$A7)*(Data[SKU name_NHẬP_GOM]=ET$3)),SUMPRODUCT(Data[Nhập-SPC+SPP-NX]*(Data[Year]=ET$1)*(Data[Month]=ET$2)*(Data[Main SKU name_GOM]=$A7)*(Data[SKU name_NHẬP_GOM]=ET$3)))</f>
        <v>3300</v>
      </c>
      <c r="EU7" s="8" cm="1">
        <f t="array" ref="EU7">IF(EU$2="FY",SUMPRODUCT(Data[Nhập-SPC+SPP-NX]*(Data[Year]=EU$1)*(Data[Main SKU name_GOM]=$A7)*(Data[SKU name_NHẬP_GOM]=EU$3)),SUMPRODUCT(Data[Nhập-SPC+SPP-NX]*(Data[Year]=EU$1)*(Data[Month]=EU$2)*(Data[Main SKU name_GOM]=$A7)*(Data[SKU name_NHẬP_GOM]=EU$3)))</f>
        <v>0</v>
      </c>
      <c r="EV7" s="8" cm="1">
        <f t="array" ref="EV7">IF(EV$2="FY",SUMPRODUCT(Data[Nhập-SPC+SPP-NX]*(Data[Year]=EV$1)*(Data[Main SKU name_GOM]=$A7)*(Data[SKU name_NHẬP_GOM]=EV$3)),SUMPRODUCT(Data[Nhập-SPC+SPP-NX]*(Data[Year]=EV$1)*(Data[Month]=EV$2)*(Data[Main SKU name_GOM]=$A7)*(Data[SKU name_NHẬP_GOM]=EV$3)))</f>
        <v>0</v>
      </c>
      <c r="EW7" s="8" cm="1">
        <f t="array" ref="EW7">IF(EW$2="FY",SUMPRODUCT(Data[Nhập-SPC+SPP-NX]*(Data[Year]=EW$1)*(Data[Main SKU name_GOM]=$A7)*(Data[SKU name_NHẬP_GOM]=EW$3)),SUMPRODUCT(Data[Nhập-SPC+SPP-NX]*(Data[Year]=EW$1)*(Data[Month]=EW$2)*(Data[Main SKU name_GOM]=$A7)*(Data[SKU name_NHẬP_GOM]=EW$3)))</f>
        <v>0</v>
      </c>
      <c r="EX7" s="8" cm="1">
        <f t="array" ref="EX7">IF(EX$2="FY",SUMPRODUCT(Data[Nhập-SPC+SPP-NX]*(Data[Year]=EX$1)*(Data[Main SKU name_GOM]=$A7)*(Data[SKU name_NHẬP_GOM]=EX$3)),SUMPRODUCT(Data[Nhập-SPC+SPP-NX]*(Data[Year]=EX$1)*(Data[Month]=EX$2)*(Data[Main SKU name_GOM]=$A7)*(Data[SKU name_NHẬP_GOM]=EX$3)))</f>
        <v>0</v>
      </c>
      <c r="EY7" s="8" cm="1">
        <f t="array" ref="EY7">IF(EY$2="FY",SUMPRODUCT(Data[Nhập-SPC+SPP-NX]*(Data[Year]=EY$1)*(Data[Main SKU name_GOM]=$A7)*(Data[SKU name_NHẬP_GOM]=EY$3)),SUMPRODUCT(Data[Nhập-SPC+SPP-NX]*(Data[Year]=EY$1)*(Data[Month]=EY$2)*(Data[Main SKU name_GOM]=$A7)*(Data[SKU name_NHẬP_GOM]=EY$3)))</f>
        <v>0</v>
      </c>
      <c r="EZ7" s="8" cm="1">
        <f t="array" ref="EZ7">IF(EZ$2="FY",SUMPRODUCT(Data[Nhập-SPC+SPP-NX]*(Data[Year]=EZ$1)*(Data[Main SKU name_GOM]=$A7)*(Data[SKU name_NHẬP_GOM]=EZ$3)),SUMPRODUCT(Data[Nhập-SPC+SPP-NX]*(Data[Year]=EZ$1)*(Data[Month]=EZ$2)*(Data[Main SKU name_GOM]=$A7)*(Data[SKU name_NHẬP_GOM]=EZ$3)))</f>
        <v>0</v>
      </c>
      <c r="FA7" s="8" cm="1">
        <f t="array" ref="FA7">IF(FA$2="FY",SUMPRODUCT(Data[Nhập-SPC+SPP-NX]*(Data[Year]=FA$1)*(Data[Main SKU name_GOM]=$A7)*(Data[SKU name_NHẬP_GOM]=FA$3)),SUMPRODUCT(Data[Nhập-SPC+SPP-NX]*(Data[Year]=FA$1)*(Data[Month]=FA$2)*(Data[Main SKU name_GOM]=$A7)*(Data[SKU name_NHẬP_GOM]=FA$3)))</f>
        <v>0</v>
      </c>
      <c r="FB7" s="8">
        <f t="shared" ref="FB7:FB9" si="12">SUM(ER7:FA7)</f>
        <v>29700</v>
      </c>
    </row>
    <row r="8" spans="1:158" x14ac:dyDescent="0.35">
      <c r="A8" s="5" t="s">
        <v>70</v>
      </c>
      <c r="B8" t="s">
        <v>70</v>
      </c>
      <c r="D8" s="8" cm="1">
        <f t="array" ref="D8">IF(D$2="FY",SUMPRODUCT(Data[Nhập-SPC+SPP-NX]*(Data[Year]=D$1)*(Data[Main SKU name_GOM]=$A8)*(Data[SKU name_NHẬP_GOM]=D$3)),SUMPRODUCT(Data[Nhập-SPC+SPP-NX]*(Data[Year]=D$1)*(Data[Month]=D$2)*(Data[Main SKU name_GOM]=$A8)*(Data[SKU name_NHẬP_GOM]=D$3)))</f>
        <v>55000</v>
      </c>
      <c r="E8" s="8" cm="1">
        <f t="array" ref="E8">IF(E$2="FY",SUMPRODUCT(Data[Nhập-SPC+SPP-NX]*(Data[Year]=E$1)*(Data[Main SKU name_GOM]=$A8)*(Data[SKU name_NHẬP_GOM]=E$3)),SUMPRODUCT(Data[Nhập-SPC+SPP-NX]*(Data[Year]=E$1)*(Data[Month]=E$2)*(Data[Main SKU name_GOM]=$A8)*(Data[SKU name_NHẬP_GOM]=E$3)))</f>
        <v>877800</v>
      </c>
      <c r="F8" s="8" cm="1">
        <f t="array" ref="F8">IF(F$2="FY",SUMPRODUCT(Data[Nhập-SPC+SPP-NX]*(Data[Year]=F$1)*(Data[Main SKU name_GOM]=$A8)*(Data[SKU name_NHẬP_GOM]=F$3)),SUMPRODUCT(Data[Nhập-SPC+SPP-NX]*(Data[Year]=F$1)*(Data[Month]=F$2)*(Data[Main SKU name_GOM]=$A8)*(Data[SKU name_NHẬP_GOM]=F$3)))</f>
        <v>18330322</v>
      </c>
      <c r="G8" s="8" cm="1">
        <f t="array" ref="G8">IF(G$2="FY",SUMPRODUCT(Data[Nhập-SPC+SPP-NX]*(Data[Year]=G$1)*(Data[Main SKU name_GOM]=$A8)*(Data[SKU name_NHẬP_GOM]=G$3)),SUMPRODUCT(Data[Nhập-SPC+SPP-NX]*(Data[Year]=G$1)*(Data[Month]=G$2)*(Data[Main SKU name_GOM]=$A8)*(Data[SKU name_NHẬP_GOM]=G$3)))</f>
        <v>0</v>
      </c>
      <c r="H8" s="8" cm="1">
        <f t="array" ref="H8">IF(H$2="FY",SUMPRODUCT(Data[Nhập-SPC+SPP-NX]*(Data[Year]=H$1)*(Data[Main SKU name_GOM]=$A8)*(Data[SKU name_NHẬP_GOM]=H$3)),SUMPRODUCT(Data[Nhập-SPC+SPP-NX]*(Data[Year]=H$1)*(Data[Month]=H$2)*(Data[Main SKU name_GOM]=$A8)*(Data[SKU name_NHẬP_GOM]=H$3)))</f>
        <v>141692</v>
      </c>
      <c r="I8" s="8" cm="1">
        <f t="array" ref="I8">IF(I$2="FY",SUMPRODUCT(Data[Nhập-SPC+SPP-NX]*(Data[Year]=I$1)*(Data[Main SKU name_GOM]=$A8)*(Data[SKU name_NHẬP_GOM]=I$3)),SUMPRODUCT(Data[Nhập-SPC+SPP-NX]*(Data[Year]=I$1)*(Data[Month]=I$2)*(Data[Main SKU name_GOM]=$A8)*(Data[SKU name_NHẬP_GOM]=I$3)))</f>
        <v>2199.9999999999995</v>
      </c>
      <c r="J8" s="8" cm="1">
        <f t="array" ref="J8">IF(J$2="FY",SUMPRODUCT(Data[Nhập-SPC+SPP-NX]*(Data[Year]=J$1)*(Data[Main SKU name_GOM]=$A8)*(Data[SKU name_NHẬP_GOM]=J$3)),SUMPRODUCT(Data[Nhập-SPC+SPP-NX]*(Data[Year]=J$1)*(Data[Month]=J$2)*(Data[Main SKU name_GOM]=$A8)*(Data[SKU name_NHẬP_GOM]=J$3)))</f>
        <v>4400</v>
      </c>
      <c r="K8" s="8" cm="1">
        <f t="array" ref="K8">IF(K$2="FY",SUMPRODUCT(Data[Nhập-SPC+SPP-NX]*(Data[Year]=K$1)*(Data[Main SKU name_GOM]=$A8)*(Data[SKU name_NHẬP_GOM]=K$3)),SUMPRODUCT(Data[Nhập-SPC+SPP-NX]*(Data[Year]=K$1)*(Data[Month]=K$2)*(Data[Main SKU name_GOM]=$A8)*(Data[SKU name_NHẬP_GOM]=K$3)))</f>
        <v>473000</v>
      </c>
      <c r="L8" s="8" cm="1">
        <f t="array" ref="L8">IF(L$2="FY",SUMPRODUCT(Data[Nhập-SPC+SPP-NX]*(Data[Year]=L$1)*(Data[Main SKU name_GOM]=$A8)*(Data[SKU name_NHẬP_GOM]=L$3)),SUMPRODUCT(Data[Nhập-SPC+SPP-NX]*(Data[Year]=L$1)*(Data[Month]=L$2)*(Data[Main SKU name_GOM]=$A8)*(Data[SKU name_NHẬP_GOM]=L$3)))</f>
        <v>134200</v>
      </c>
      <c r="M8" s="8" cm="1">
        <f t="array" ref="M8">IF(M$2="FY",SUMPRODUCT(Data[Nhập-SPC+SPP-NX]*(Data[Year]=M$1)*(Data[Main SKU name_GOM]=$A8)*(Data[SKU name_NHẬP_GOM]=M$3)),SUMPRODUCT(Data[Nhập-SPC+SPP-NX]*(Data[Year]=M$1)*(Data[Month]=M$2)*(Data[Main SKU name_GOM]=$A8)*(Data[SKU name_NHẬP_GOM]=M$3)))</f>
        <v>0</v>
      </c>
      <c r="N8" s="13">
        <f t="shared" si="0"/>
        <v>20018614</v>
      </c>
      <c r="P8" s="8" cm="1">
        <f t="array" ref="P8">IF(P$2="FY",SUMPRODUCT(Data[Nhập-SPC+SPP-NX]*(Data[Year]=P$1)*(Data[Main SKU name_GOM]=$A8)*(Data[SKU name_NHẬP_GOM]=P$3)),SUMPRODUCT(Data[Nhập-SPC+SPP-NX]*(Data[Year]=P$1)*(Data[Month]=P$2)*(Data[Main SKU name_GOM]=$A8)*(Data[SKU name_NHẬP_GOM]=P$3)))</f>
        <v>0</v>
      </c>
      <c r="Q8" s="8" cm="1">
        <f t="array" ref="Q8">IF(Q$2="FY",SUMPRODUCT(Data[Nhập-SPC+SPP-NX]*(Data[Year]=Q$1)*(Data[Main SKU name_GOM]=$A8)*(Data[SKU name_NHẬP_GOM]=Q$3)),SUMPRODUCT(Data[Nhập-SPC+SPP-NX]*(Data[Year]=Q$1)*(Data[Month]=Q$2)*(Data[Main SKU name_GOM]=$A8)*(Data[SKU name_NHẬP_GOM]=Q$3)))</f>
        <v>37400</v>
      </c>
      <c r="R8" s="8" cm="1">
        <f t="array" ref="R8">IF(R$2="FY",SUMPRODUCT(Data[Nhập-SPC+SPP-NX]*(Data[Year]=R$1)*(Data[Main SKU name_GOM]=$A8)*(Data[SKU name_NHẬP_GOM]=R$3)),SUMPRODUCT(Data[Nhập-SPC+SPP-NX]*(Data[Year]=R$1)*(Data[Month]=R$2)*(Data[Main SKU name_GOM]=$A8)*(Data[SKU name_NHẬP_GOM]=R$3)))</f>
        <v>1247742</v>
      </c>
      <c r="S8" s="8" cm="1">
        <f t="array" ref="S8">IF(S$2="FY",SUMPRODUCT(Data[Nhập-SPC+SPP-NX]*(Data[Year]=S$1)*(Data[Main SKU name_GOM]=$A8)*(Data[SKU name_NHẬP_GOM]=S$3)),SUMPRODUCT(Data[Nhập-SPC+SPP-NX]*(Data[Year]=S$1)*(Data[Month]=S$2)*(Data[Main SKU name_GOM]=$A8)*(Data[SKU name_NHẬP_GOM]=S$3)))</f>
        <v>0</v>
      </c>
      <c r="T8" s="8" cm="1">
        <f t="array" ref="T8">IF(T$2="FY",SUMPRODUCT(Data[Nhập-SPC+SPP-NX]*(Data[Year]=T$1)*(Data[Main SKU name_GOM]=$A8)*(Data[SKU name_NHẬP_GOM]=T$3)),SUMPRODUCT(Data[Nhập-SPC+SPP-NX]*(Data[Year]=T$1)*(Data[Month]=T$2)*(Data[Main SKU name_GOM]=$A8)*(Data[SKU name_NHẬP_GOM]=T$3)))</f>
        <v>8592</v>
      </c>
      <c r="U8" s="8" cm="1">
        <f t="array" ref="U8">IF(U$2="FY",SUMPRODUCT(Data[Nhập-SPC+SPP-NX]*(Data[Year]=U$1)*(Data[Main SKU name_GOM]=$A8)*(Data[SKU name_NHẬP_GOM]=U$3)),SUMPRODUCT(Data[Nhập-SPC+SPP-NX]*(Data[Year]=U$1)*(Data[Month]=U$2)*(Data[Main SKU name_GOM]=$A8)*(Data[SKU name_NHẬP_GOM]=U$3)))</f>
        <v>0</v>
      </c>
      <c r="V8" s="8" cm="1">
        <f t="array" ref="V8">IF(V$2="FY",SUMPRODUCT(Data[Nhập-SPC+SPP-NX]*(Data[Year]=V$1)*(Data[Main SKU name_GOM]=$A8)*(Data[SKU name_NHẬP_GOM]=V$3)),SUMPRODUCT(Data[Nhập-SPC+SPP-NX]*(Data[Year]=V$1)*(Data[Month]=V$2)*(Data[Main SKU name_GOM]=$A8)*(Data[SKU name_NHẬP_GOM]=V$3)))</f>
        <v>3300</v>
      </c>
      <c r="W8" s="8" cm="1">
        <f t="array" ref="W8">IF(W$2="FY",SUMPRODUCT(Data[Nhập-SPC+SPP-NX]*(Data[Year]=W$1)*(Data[Main SKU name_GOM]=$A8)*(Data[SKU name_NHẬP_GOM]=W$3)),SUMPRODUCT(Data[Nhập-SPC+SPP-NX]*(Data[Year]=W$1)*(Data[Month]=W$2)*(Data[Main SKU name_GOM]=$A8)*(Data[SKU name_NHẬP_GOM]=W$3)))</f>
        <v>5500</v>
      </c>
      <c r="X8" s="8" cm="1">
        <f t="array" ref="X8">IF(X$2="FY",SUMPRODUCT(Data[Nhập-SPC+SPP-NX]*(Data[Year]=X$1)*(Data[Main SKU name_GOM]=$A8)*(Data[SKU name_NHẬP_GOM]=X$3)),SUMPRODUCT(Data[Nhập-SPC+SPP-NX]*(Data[Year]=X$1)*(Data[Month]=X$2)*(Data[Main SKU name_GOM]=$A8)*(Data[SKU name_NHẬP_GOM]=X$3)))</f>
        <v>9900</v>
      </c>
      <c r="Y8" s="8" cm="1">
        <f t="array" ref="Y8">IF(Y$2="FY",SUMPRODUCT(Data[Nhập-SPC+SPP-NX]*(Data[Year]=Y$1)*(Data[Main SKU name_GOM]=$A8)*(Data[SKU name_NHẬP_GOM]=Y$3)),SUMPRODUCT(Data[Nhập-SPC+SPP-NX]*(Data[Year]=Y$1)*(Data[Month]=Y$2)*(Data[Main SKU name_GOM]=$A8)*(Data[SKU name_NHẬP_GOM]=Y$3)))</f>
        <v>0</v>
      </c>
      <c r="Z8" s="8">
        <f t="shared" si="1"/>
        <v>1312434</v>
      </c>
      <c r="AB8" s="8" cm="1">
        <f t="array" ref="AB8">IF(AB$2="FY",SUMPRODUCT(Data[Nhập-SPC+SPP-NX]*(Data[Year]=AB$1)*(Data[Main SKU name_GOM]=$A8)*(Data[SKU name_NHẬP_GOM]=AB$3)),SUMPRODUCT(Data[Nhập-SPC+SPP-NX]*(Data[Year]=AB$1)*(Data[Month]=AB$2)*(Data[Main SKU name_GOM]=$A8)*(Data[SKU name_NHẬP_GOM]=AB$3)))</f>
        <v>0</v>
      </c>
      <c r="AC8" s="8" cm="1">
        <f t="array" ref="AC8">IF(AC$2="FY",SUMPRODUCT(Data[Nhập-SPC+SPP-NX]*(Data[Year]=AC$1)*(Data[Main SKU name_GOM]=$A8)*(Data[SKU name_NHẬP_GOM]=AC$3)),SUMPRODUCT(Data[Nhập-SPC+SPP-NX]*(Data[Year]=AC$1)*(Data[Month]=AC$2)*(Data[Main SKU name_GOM]=$A8)*(Data[SKU name_NHẬP_GOM]=AC$3)))</f>
        <v>13200</v>
      </c>
      <c r="AD8" s="8" cm="1">
        <f t="array" ref="AD8">IF(AD$2="FY",SUMPRODUCT(Data[Nhập-SPC+SPP-NX]*(Data[Year]=AD$1)*(Data[Main SKU name_GOM]=$A8)*(Data[SKU name_NHẬP_GOM]=AD$3)),SUMPRODUCT(Data[Nhập-SPC+SPP-NX]*(Data[Year]=AD$1)*(Data[Month]=AD$2)*(Data[Main SKU name_GOM]=$A8)*(Data[SKU name_NHẬP_GOM]=AD$3)))</f>
        <v>599080</v>
      </c>
      <c r="AE8" s="8" cm="1">
        <f t="array" ref="AE8">IF(AE$2="FY",SUMPRODUCT(Data[Nhập-SPC+SPP-NX]*(Data[Year]=AE$1)*(Data[Main SKU name_GOM]=$A8)*(Data[SKU name_NHẬP_GOM]=AE$3)),SUMPRODUCT(Data[Nhập-SPC+SPP-NX]*(Data[Year]=AE$1)*(Data[Month]=AE$2)*(Data[Main SKU name_GOM]=$A8)*(Data[SKU name_NHẬP_GOM]=AE$3)))</f>
        <v>0</v>
      </c>
      <c r="AF8" s="8" cm="1">
        <f t="array" ref="AF8">IF(AF$2="FY",SUMPRODUCT(Data[Nhập-SPC+SPP-NX]*(Data[Year]=AF$1)*(Data[Main SKU name_GOM]=$A8)*(Data[SKU name_NHẬP_GOM]=AF$3)),SUMPRODUCT(Data[Nhập-SPC+SPP-NX]*(Data[Year]=AF$1)*(Data[Month]=AF$2)*(Data[Main SKU name_GOM]=$A8)*(Data[SKU name_NHẬP_GOM]=AF$3)))</f>
        <v>5500</v>
      </c>
      <c r="AG8" s="8" cm="1">
        <f t="array" ref="AG8">IF(AG$2="FY",SUMPRODUCT(Data[Nhập-SPC+SPP-NX]*(Data[Year]=AG$1)*(Data[Main SKU name_GOM]=$A8)*(Data[SKU name_NHẬP_GOM]=AG$3)),SUMPRODUCT(Data[Nhập-SPC+SPP-NX]*(Data[Year]=AG$1)*(Data[Month]=AG$2)*(Data[Main SKU name_GOM]=$A8)*(Data[SKU name_NHẬP_GOM]=AG$3)))</f>
        <v>0</v>
      </c>
      <c r="AH8" s="8" cm="1">
        <f t="array" ref="AH8">IF(AH$2="FY",SUMPRODUCT(Data[Nhập-SPC+SPP-NX]*(Data[Year]=AH$1)*(Data[Main SKU name_GOM]=$A8)*(Data[SKU name_NHẬP_GOM]=AH$3)),SUMPRODUCT(Data[Nhập-SPC+SPP-NX]*(Data[Year]=AH$1)*(Data[Month]=AH$2)*(Data[Main SKU name_GOM]=$A8)*(Data[SKU name_NHẬP_GOM]=AH$3)))</f>
        <v>0</v>
      </c>
      <c r="AI8" s="8" cm="1">
        <f t="array" ref="AI8">IF(AI$2="FY",SUMPRODUCT(Data[Nhập-SPC+SPP-NX]*(Data[Year]=AI$1)*(Data[Main SKU name_GOM]=$A8)*(Data[SKU name_NHẬP_GOM]=AI$3)),SUMPRODUCT(Data[Nhập-SPC+SPP-NX]*(Data[Year]=AI$1)*(Data[Month]=AI$2)*(Data[Main SKU name_GOM]=$A8)*(Data[SKU name_NHẬP_GOM]=AI$3)))</f>
        <v>19800</v>
      </c>
      <c r="AJ8" s="8" cm="1">
        <f t="array" ref="AJ8">IF(AJ$2="FY",SUMPRODUCT(Data[Nhập-SPC+SPP-NX]*(Data[Year]=AJ$1)*(Data[Main SKU name_GOM]=$A8)*(Data[SKU name_NHẬP_GOM]=AJ$3)),SUMPRODUCT(Data[Nhập-SPC+SPP-NX]*(Data[Year]=AJ$1)*(Data[Month]=AJ$2)*(Data[Main SKU name_GOM]=$A8)*(Data[SKU name_NHẬP_GOM]=AJ$3)))</f>
        <v>1100</v>
      </c>
      <c r="AK8" s="8" cm="1">
        <f t="array" ref="AK8">IF(AK$2="FY",SUMPRODUCT(Data[Nhập-SPC+SPP-NX]*(Data[Year]=AK$1)*(Data[Main SKU name_GOM]=$A8)*(Data[SKU name_NHẬP_GOM]=AK$3)),SUMPRODUCT(Data[Nhập-SPC+SPP-NX]*(Data[Year]=AK$1)*(Data[Month]=AK$2)*(Data[Main SKU name_GOM]=$A8)*(Data[SKU name_NHẬP_GOM]=AK$3)))</f>
        <v>0</v>
      </c>
      <c r="AL8" s="8">
        <f t="shared" si="2"/>
        <v>638680</v>
      </c>
      <c r="AN8" s="8" cm="1">
        <f t="array" ref="AN8">IF(AN$2="FY",SUMPRODUCT(Data[Nhập-SPC+SPP-NX]*(Data[Year]=AN$1)*(Data[Main SKU name_GOM]=$A8)*(Data[SKU name_NHẬP_GOM]=AN$3)),SUMPRODUCT(Data[Nhập-SPC+SPP-NX]*(Data[Year]=AN$1)*(Data[Month]=AN$2)*(Data[Main SKU name_GOM]=$A8)*(Data[SKU name_NHẬP_GOM]=AN$3)))</f>
        <v>0</v>
      </c>
      <c r="AO8" s="8" cm="1">
        <f t="array" ref="AO8">IF(AO$2="FY",SUMPRODUCT(Data[Nhập-SPC+SPP-NX]*(Data[Year]=AO$1)*(Data[Main SKU name_GOM]=$A8)*(Data[SKU name_NHẬP_GOM]=AO$3)),SUMPRODUCT(Data[Nhập-SPC+SPP-NX]*(Data[Year]=AO$1)*(Data[Month]=AO$2)*(Data[Main SKU name_GOM]=$A8)*(Data[SKU name_NHẬP_GOM]=AO$3)))</f>
        <v>35200</v>
      </c>
      <c r="AP8" s="8" cm="1">
        <f t="array" ref="AP8">IF(AP$2="FY",SUMPRODUCT(Data[Nhập-SPC+SPP-NX]*(Data[Year]=AP$1)*(Data[Main SKU name_GOM]=$A8)*(Data[SKU name_NHẬP_GOM]=AP$3)),SUMPRODUCT(Data[Nhập-SPC+SPP-NX]*(Data[Year]=AP$1)*(Data[Month]=AP$2)*(Data[Main SKU name_GOM]=$A8)*(Data[SKU name_NHẬP_GOM]=AP$3)))</f>
        <v>1379399.9999999995</v>
      </c>
      <c r="AQ8" s="8" cm="1">
        <f t="array" ref="AQ8">IF(AQ$2="FY",SUMPRODUCT(Data[Nhập-SPC+SPP-NX]*(Data[Year]=AQ$1)*(Data[Main SKU name_GOM]=$A8)*(Data[SKU name_NHẬP_GOM]=AQ$3)),SUMPRODUCT(Data[Nhập-SPC+SPP-NX]*(Data[Year]=AQ$1)*(Data[Month]=AQ$2)*(Data[Main SKU name_GOM]=$A8)*(Data[SKU name_NHẬP_GOM]=AQ$3)))</f>
        <v>0</v>
      </c>
      <c r="AR8" s="8" cm="1">
        <f t="array" ref="AR8">IF(AR$2="FY",SUMPRODUCT(Data[Nhập-SPC+SPP-NX]*(Data[Year]=AR$1)*(Data[Main SKU name_GOM]=$A8)*(Data[SKU name_NHẬP_GOM]=AR$3)),SUMPRODUCT(Data[Nhập-SPC+SPP-NX]*(Data[Year]=AR$1)*(Data[Month]=AR$2)*(Data[Main SKU name_GOM]=$A8)*(Data[SKU name_NHẬP_GOM]=AR$3)))</f>
        <v>8800.0000000000018</v>
      </c>
      <c r="AS8" s="8" cm="1">
        <f t="array" ref="AS8">IF(AS$2="FY",SUMPRODUCT(Data[Nhập-SPC+SPP-NX]*(Data[Year]=AS$1)*(Data[Main SKU name_GOM]=$A8)*(Data[SKU name_NHẬP_GOM]=AS$3)),SUMPRODUCT(Data[Nhập-SPC+SPP-NX]*(Data[Year]=AS$1)*(Data[Month]=AS$2)*(Data[Main SKU name_GOM]=$A8)*(Data[SKU name_NHẬP_GOM]=AS$3)))</f>
        <v>0</v>
      </c>
      <c r="AT8" s="8" cm="1">
        <f t="array" ref="AT8">IF(AT$2="FY",SUMPRODUCT(Data[Nhập-SPC+SPP-NX]*(Data[Year]=AT$1)*(Data[Main SKU name_GOM]=$A8)*(Data[SKU name_NHẬP_GOM]=AT$3)),SUMPRODUCT(Data[Nhập-SPC+SPP-NX]*(Data[Year]=AT$1)*(Data[Month]=AT$2)*(Data[Main SKU name_GOM]=$A8)*(Data[SKU name_NHẬP_GOM]=AT$3)))</f>
        <v>0</v>
      </c>
      <c r="AU8" s="8" cm="1">
        <f t="array" ref="AU8">IF(AU$2="FY",SUMPRODUCT(Data[Nhập-SPC+SPP-NX]*(Data[Year]=AU$1)*(Data[Main SKU name_GOM]=$A8)*(Data[SKU name_NHẬP_GOM]=AU$3)),SUMPRODUCT(Data[Nhập-SPC+SPP-NX]*(Data[Year]=AU$1)*(Data[Month]=AU$2)*(Data[Main SKU name_GOM]=$A8)*(Data[SKU name_NHẬP_GOM]=AU$3)))</f>
        <v>8800</v>
      </c>
      <c r="AV8" s="8" cm="1">
        <f t="array" ref="AV8">IF(AV$2="FY",SUMPRODUCT(Data[Nhập-SPC+SPP-NX]*(Data[Year]=AV$1)*(Data[Main SKU name_GOM]=$A8)*(Data[SKU name_NHẬP_GOM]=AV$3)),SUMPRODUCT(Data[Nhập-SPC+SPP-NX]*(Data[Year]=AV$1)*(Data[Month]=AV$2)*(Data[Main SKU name_GOM]=$A8)*(Data[SKU name_NHẬP_GOM]=AV$3)))</f>
        <v>3300</v>
      </c>
      <c r="AW8" s="8" cm="1">
        <f t="array" ref="AW8">IF(AW$2="FY",SUMPRODUCT(Data[Nhập-SPC+SPP-NX]*(Data[Year]=AW$1)*(Data[Main SKU name_GOM]=$A8)*(Data[SKU name_NHẬP_GOM]=AW$3)),SUMPRODUCT(Data[Nhập-SPC+SPP-NX]*(Data[Year]=AW$1)*(Data[Month]=AW$2)*(Data[Main SKU name_GOM]=$A8)*(Data[SKU name_NHẬP_GOM]=AW$3)))</f>
        <v>0</v>
      </c>
      <c r="AX8" s="8">
        <f t="shared" si="3"/>
        <v>1435499.9999999995</v>
      </c>
      <c r="AZ8" s="8" cm="1">
        <f t="array" ref="AZ8">IF(AZ$2="FY",SUMPRODUCT(Data[Nhập-SPC+SPP-NX]*(Data[Year]=AZ$1)*(Data[Main SKU name_GOM]=$A8)*(Data[SKU name_NHẬP_GOM]=AZ$3)),SUMPRODUCT(Data[Nhập-SPC+SPP-NX]*(Data[Year]=AZ$1)*(Data[Month]=AZ$2)*(Data[Main SKU name_GOM]=$A8)*(Data[SKU name_NHẬP_GOM]=AZ$3)))</f>
        <v>2200</v>
      </c>
      <c r="BA8" s="8" cm="1">
        <f t="array" ref="BA8">IF(BA$2="FY",SUMPRODUCT(Data[Nhập-SPC+SPP-NX]*(Data[Year]=BA$1)*(Data[Main SKU name_GOM]=$A8)*(Data[SKU name_NHẬP_GOM]=BA$3)),SUMPRODUCT(Data[Nhập-SPC+SPP-NX]*(Data[Year]=BA$1)*(Data[Month]=BA$2)*(Data[Main SKU name_GOM]=$A8)*(Data[SKU name_NHẬP_GOM]=BA$3)))</f>
        <v>132000.00000000006</v>
      </c>
      <c r="BB8" s="8" cm="1">
        <f t="array" ref="BB8">IF(BB$2="FY",SUMPRODUCT(Data[Nhập-SPC+SPP-NX]*(Data[Year]=BB$1)*(Data[Main SKU name_GOM]=$A8)*(Data[SKU name_NHẬP_GOM]=BB$3)),SUMPRODUCT(Data[Nhập-SPC+SPP-NX]*(Data[Year]=BB$1)*(Data[Month]=BB$2)*(Data[Main SKU name_GOM]=$A8)*(Data[SKU name_NHẬP_GOM]=BB$3)))</f>
        <v>2627900.0000000005</v>
      </c>
      <c r="BC8" s="8" cm="1">
        <f t="array" ref="BC8">IF(BC$2="FY",SUMPRODUCT(Data[Nhập-SPC+SPP-NX]*(Data[Year]=BC$1)*(Data[Main SKU name_GOM]=$A8)*(Data[SKU name_NHẬP_GOM]=BC$3)),SUMPRODUCT(Data[Nhập-SPC+SPP-NX]*(Data[Year]=BC$1)*(Data[Month]=BC$2)*(Data[Main SKU name_GOM]=$A8)*(Data[SKU name_NHẬP_GOM]=BC$3)))</f>
        <v>0</v>
      </c>
      <c r="BD8" s="8" cm="1">
        <f t="array" ref="BD8">IF(BD$2="FY",SUMPRODUCT(Data[Nhập-SPC+SPP-NX]*(Data[Year]=BD$1)*(Data[Main SKU name_GOM]=$A8)*(Data[SKU name_NHẬP_GOM]=BD$3)),SUMPRODUCT(Data[Nhập-SPC+SPP-NX]*(Data[Year]=BD$1)*(Data[Month]=BD$2)*(Data[Main SKU name_GOM]=$A8)*(Data[SKU name_NHẬP_GOM]=BD$3)))</f>
        <v>14300.000000000002</v>
      </c>
      <c r="BE8" s="8" cm="1">
        <f t="array" ref="BE8">IF(BE$2="FY",SUMPRODUCT(Data[Nhập-SPC+SPP-NX]*(Data[Year]=BE$1)*(Data[Main SKU name_GOM]=$A8)*(Data[SKU name_NHẬP_GOM]=BE$3)),SUMPRODUCT(Data[Nhập-SPC+SPP-NX]*(Data[Year]=BE$1)*(Data[Month]=BE$2)*(Data[Main SKU name_GOM]=$A8)*(Data[SKU name_NHẬP_GOM]=BE$3)))</f>
        <v>0</v>
      </c>
      <c r="BF8" s="8" cm="1">
        <f t="array" ref="BF8">IF(BF$2="FY",SUMPRODUCT(Data[Nhập-SPC+SPP-NX]*(Data[Year]=BF$1)*(Data[Main SKU name_GOM]=$A8)*(Data[SKU name_NHẬP_GOM]=BF$3)),SUMPRODUCT(Data[Nhập-SPC+SPP-NX]*(Data[Year]=BF$1)*(Data[Month]=BF$2)*(Data[Main SKU name_GOM]=$A8)*(Data[SKU name_NHẬP_GOM]=BF$3)))</f>
        <v>0</v>
      </c>
      <c r="BG8" s="8" cm="1">
        <f t="array" ref="BG8">IF(BG$2="FY",SUMPRODUCT(Data[Nhập-SPC+SPP-NX]*(Data[Year]=BG$1)*(Data[Main SKU name_GOM]=$A8)*(Data[SKU name_NHẬP_GOM]=BG$3)),SUMPRODUCT(Data[Nhập-SPC+SPP-NX]*(Data[Year]=BG$1)*(Data[Month]=BG$2)*(Data[Main SKU name_GOM]=$A8)*(Data[SKU name_NHẬP_GOM]=BG$3)))</f>
        <v>12100</v>
      </c>
      <c r="BH8" s="8" cm="1">
        <f t="array" ref="BH8">IF(BH$2="FY",SUMPRODUCT(Data[Nhập-SPC+SPP-NX]*(Data[Year]=BH$1)*(Data[Main SKU name_GOM]=$A8)*(Data[SKU name_NHẬP_GOM]=BH$3)),SUMPRODUCT(Data[Nhập-SPC+SPP-NX]*(Data[Year]=BH$1)*(Data[Month]=BH$2)*(Data[Main SKU name_GOM]=$A8)*(Data[SKU name_NHẬP_GOM]=BH$3)))</f>
        <v>11000</v>
      </c>
      <c r="BI8" s="8" cm="1">
        <f t="array" ref="BI8">IF(BI$2="FY",SUMPRODUCT(Data[Nhập-SPC+SPP-NX]*(Data[Year]=BI$1)*(Data[Main SKU name_GOM]=$A8)*(Data[SKU name_NHẬP_GOM]=BI$3)),SUMPRODUCT(Data[Nhập-SPC+SPP-NX]*(Data[Year]=BI$1)*(Data[Month]=BI$2)*(Data[Main SKU name_GOM]=$A8)*(Data[SKU name_NHẬP_GOM]=BI$3)))</f>
        <v>0</v>
      </c>
      <c r="BJ8" s="8">
        <f t="shared" si="4"/>
        <v>2799500.0000000005</v>
      </c>
      <c r="BL8" s="8" cm="1">
        <f t="array" ref="BL8">IF(BL$2="FY",SUMPRODUCT(Data[Nhập-SPC+SPP-NX]*(Data[Year]=BL$1)*(Data[Main SKU name_GOM]=$A8)*(Data[SKU name_NHẬP_GOM]=BL$3)),SUMPRODUCT(Data[Nhập-SPC+SPP-NX]*(Data[Year]=BL$1)*(Data[Month]=BL$2)*(Data[Main SKU name_GOM]=$A8)*(Data[SKU name_NHẬP_GOM]=BL$3)))</f>
        <v>0</v>
      </c>
      <c r="BM8" s="8" cm="1">
        <f t="array" ref="BM8">IF(BM$2="FY",SUMPRODUCT(Data[Nhập-SPC+SPP-NX]*(Data[Year]=BM$1)*(Data[Main SKU name_GOM]=$A8)*(Data[SKU name_NHẬP_GOM]=BM$3)),SUMPRODUCT(Data[Nhập-SPC+SPP-NX]*(Data[Year]=BM$1)*(Data[Month]=BM$2)*(Data[Main SKU name_GOM]=$A8)*(Data[SKU name_NHẬP_GOM]=BM$3)))</f>
        <v>153999.99999999997</v>
      </c>
      <c r="BN8" s="8" cm="1">
        <f t="array" ref="BN8">IF(BN$2="FY",SUMPRODUCT(Data[Nhập-SPC+SPP-NX]*(Data[Year]=BN$1)*(Data[Main SKU name_GOM]=$A8)*(Data[SKU name_NHẬP_GOM]=BN$3)),SUMPRODUCT(Data[Nhập-SPC+SPP-NX]*(Data[Year]=BN$1)*(Data[Month]=BN$2)*(Data[Main SKU name_GOM]=$A8)*(Data[SKU name_NHẬP_GOM]=BN$3)))</f>
        <v>1481700</v>
      </c>
      <c r="BO8" s="8" cm="1">
        <f t="array" ref="BO8">IF(BO$2="FY",SUMPRODUCT(Data[Nhập-SPC+SPP-NX]*(Data[Year]=BO$1)*(Data[Main SKU name_GOM]=$A8)*(Data[SKU name_NHẬP_GOM]=BO$3)),SUMPRODUCT(Data[Nhập-SPC+SPP-NX]*(Data[Year]=BO$1)*(Data[Month]=BO$2)*(Data[Main SKU name_GOM]=$A8)*(Data[SKU name_NHẬP_GOM]=BO$3)))</f>
        <v>0</v>
      </c>
      <c r="BP8" s="8" cm="1">
        <f t="array" ref="BP8">IF(BP$2="FY",SUMPRODUCT(Data[Nhập-SPC+SPP-NX]*(Data[Year]=BP$1)*(Data[Main SKU name_GOM]=$A8)*(Data[SKU name_NHẬP_GOM]=BP$3)),SUMPRODUCT(Data[Nhập-SPC+SPP-NX]*(Data[Year]=BP$1)*(Data[Month]=BP$2)*(Data[Main SKU name_GOM]=$A8)*(Data[SKU name_NHẬP_GOM]=BP$3)))</f>
        <v>11000.000000000002</v>
      </c>
      <c r="BQ8" s="8" cm="1">
        <f t="array" ref="BQ8">IF(BQ$2="FY",SUMPRODUCT(Data[Nhập-SPC+SPP-NX]*(Data[Year]=BQ$1)*(Data[Main SKU name_GOM]=$A8)*(Data[SKU name_NHẬP_GOM]=BQ$3)),SUMPRODUCT(Data[Nhập-SPC+SPP-NX]*(Data[Year]=BQ$1)*(Data[Month]=BQ$2)*(Data[Main SKU name_GOM]=$A8)*(Data[SKU name_NHẬP_GOM]=BQ$3)))</f>
        <v>0</v>
      </c>
      <c r="BR8" s="8" cm="1">
        <f t="array" ref="BR8">IF(BR$2="FY",SUMPRODUCT(Data[Nhập-SPC+SPP-NX]*(Data[Year]=BR$1)*(Data[Main SKU name_GOM]=$A8)*(Data[SKU name_NHẬP_GOM]=BR$3)),SUMPRODUCT(Data[Nhập-SPC+SPP-NX]*(Data[Year]=BR$1)*(Data[Month]=BR$2)*(Data[Main SKU name_GOM]=$A8)*(Data[SKU name_NHẬP_GOM]=BR$3)))</f>
        <v>0</v>
      </c>
      <c r="BS8" s="8" cm="1">
        <f t="array" ref="BS8">IF(BS$2="FY",SUMPRODUCT(Data[Nhập-SPC+SPP-NX]*(Data[Year]=BS$1)*(Data[Main SKU name_GOM]=$A8)*(Data[SKU name_NHẬP_GOM]=BS$3)),SUMPRODUCT(Data[Nhập-SPC+SPP-NX]*(Data[Year]=BS$1)*(Data[Month]=BS$2)*(Data[Main SKU name_GOM]=$A8)*(Data[SKU name_NHẬP_GOM]=BS$3)))</f>
        <v>18700</v>
      </c>
      <c r="BT8" s="8" cm="1">
        <f t="array" ref="BT8">IF(BT$2="FY",SUMPRODUCT(Data[Nhập-SPC+SPP-NX]*(Data[Year]=BT$1)*(Data[Main SKU name_GOM]=$A8)*(Data[SKU name_NHẬP_GOM]=BT$3)),SUMPRODUCT(Data[Nhập-SPC+SPP-NX]*(Data[Year]=BT$1)*(Data[Month]=BT$2)*(Data[Main SKU name_GOM]=$A8)*(Data[SKU name_NHẬP_GOM]=BT$3)))</f>
        <v>6599.9999999999991</v>
      </c>
      <c r="BU8" s="8" cm="1">
        <f t="array" ref="BU8">IF(BU$2="FY",SUMPRODUCT(Data[Nhập-SPC+SPP-NX]*(Data[Year]=BU$1)*(Data[Main SKU name_GOM]=$A8)*(Data[SKU name_NHẬP_GOM]=BU$3)),SUMPRODUCT(Data[Nhập-SPC+SPP-NX]*(Data[Year]=BU$1)*(Data[Month]=BU$2)*(Data[Main SKU name_GOM]=$A8)*(Data[SKU name_NHẬP_GOM]=BU$3)))</f>
        <v>0</v>
      </c>
      <c r="BV8" s="8">
        <f t="shared" si="5"/>
        <v>1672000</v>
      </c>
      <c r="BX8" s="8" cm="1">
        <f t="array" ref="BX8">IF(BX$2="FY",SUMPRODUCT(Data[Nhập-SPC+SPP-NX]*(Data[Year]=BX$1)*(Data[Main SKU name_GOM]=$A8)*(Data[SKU name_NHẬP_GOM]=BX$3)),SUMPRODUCT(Data[Nhập-SPC+SPP-NX]*(Data[Year]=BX$1)*(Data[Month]=BX$2)*(Data[Main SKU name_GOM]=$A8)*(Data[SKU name_NHẬP_GOM]=BX$3)))</f>
        <v>16500.000000000004</v>
      </c>
      <c r="BY8" s="8" cm="1">
        <f t="array" ref="BY8">IF(BY$2="FY",SUMPRODUCT(Data[Nhập-SPC+SPP-NX]*(Data[Year]=BY$1)*(Data[Main SKU name_GOM]=$A8)*(Data[SKU name_NHẬP_GOM]=BY$3)),SUMPRODUCT(Data[Nhập-SPC+SPP-NX]*(Data[Year]=BY$1)*(Data[Month]=BY$2)*(Data[Main SKU name_GOM]=$A8)*(Data[SKU name_NHẬP_GOM]=BY$3)))</f>
        <v>91300</v>
      </c>
      <c r="BZ8" s="8" cm="1">
        <f t="array" ref="BZ8">IF(BZ$2="FY",SUMPRODUCT(Data[Nhập-SPC+SPP-NX]*(Data[Year]=BZ$1)*(Data[Main SKU name_GOM]=$A8)*(Data[SKU name_NHẬP_GOM]=BZ$3)),SUMPRODUCT(Data[Nhập-SPC+SPP-NX]*(Data[Year]=BZ$1)*(Data[Month]=BZ$2)*(Data[Main SKU name_GOM]=$A8)*(Data[SKU name_NHẬP_GOM]=BZ$3)))</f>
        <v>1326599.9999999998</v>
      </c>
      <c r="CA8" s="8" cm="1">
        <f t="array" ref="CA8">IF(CA$2="FY",SUMPRODUCT(Data[Nhập-SPC+SPP-NX]*(Data[Year]=CA$1)*(Data[Main SKU name_GOM]=$A8)*(Data[SKU name_NHẬP_GOM]=CA$3)),SUMPRODUCT(Data[Nhập-SPC+SPP-NX]*(Data[Year]=CA$1)*(Data[Month]=CA$2)*(Data[Main SKU name_GOM]=$A8)*(Data[SKU name_NHẬP_GOM]=CA$3)))</f>
        <v>0</v>
      </c>
      <c r="CB8" s="8" cm="1">
        <f t="array" ref="CB8">IF(CB$2="FY",SUMPRODUCT(Data[Nhập-SPC+SPP-NX]*(Data[Year]=CB$1)*(Data[Main SKU name_GOM]=$A8)*(Data[SKU name_NHẬP_GOM]=CB$3)),SUMPRODUCT(Data[Nhập-SPC+SPP-NX]*(Data[Year]=CB$1)*(Data[Month]=CB$2)*(Data[Main SKU name_GOM]=$A8)*(Data[SKU name_NHẬP_GOM]=CB$3)))</f>
        <v>12100.000000000002</v>
      </c>
      <c r="CC8" s="8" cm="1">
        <f t="array" ref="CC8">IF(CC$2="FY",SUMPRODUCT(Data[Nhập-SPC+SPP-NX]*(Data[Year]=CC$1)*(Data[Main SKU name_GOM]=$A8)*(Data[SKU name_NHẬP_GOM]=CC$3)),SUMPRODUCT(Data[Nhập-SPC+SPP-NX]*(Data[Year]=CC$1)*(Data[Month]=CC$2)*(Data[Main SKU name_GOM]=$A8)*(Data[SKU name_NHẬP_GOM]=CC$3)))</f>
        <v>2199.9999999999995</v>
      </c>
      <c r="CD8" s="8" cm="1">
        <f t="array" ref="CD8">IF(CD$2="FY",SUMPRODUCT(Data[Nhập-SPC+SPP-NX]*(Data[Year]=CD$1)*(Data[Main SKU name_GOM]=$A8)*(Data[SKU name_NHẬP_GOM]=CD$3)),SUMPRODUCT(Data[Nhập-SPC+SPP-NX]*(Data[Year]=CD$1)*(Data[Month]=CD$2)*(Data[Main SKU name_GOM]=$A8)*(Data[SKU name_NHẬP_GOM]=CD$3)))</f>
        <v>0</v>
      </c>
      <c r="CE8" s="8" cm="1">
        <f t="array" ref="CE8">IF(CE$2="FY",SUMPRODUCT(Data[Nhập-SPC+SPP-NX]*(Data[Year]=CE$1)*(Data[Main SKU name_GOM]=$A8)*(Data[SKU name_NHẬP_GOM]=CE$3)),SUMPRODUCT(Data[Nhập-SPC+SPP-NX]*(Data[Year]=CE$1)*(Data[Month]=CE$2)*(Data[Main SKU name_GOM]=$A8)*(Data[SKU name_NHẬP_GOM]=CE$3)))</f>
        <v>27500.000000000004</v>
      </c>
      <c r="CF8" s="8" cm="1">
        <f t="array" ref="CF8">IF(CF$2="FY",SUMPRODUCT(Data[Nhập-SPC+SPP-NX]*(Data[Year]=CF$1)*(Data[Main SKU name_GOM]=$A8)*(Data[SKU name_NHẬP_GOM]=CF$3)),SUMPRODUCT(Data[Nhập-SPC+SPP-NX]*(Data[Year]=CF$1)*(Data[Month]=CF$2)*(Data[Main SKU name_GOM]=$A8)*(Data[SKU name_NHẬP_GOM]=CF$3)))</f>
        <v>7700.0000000000018</v>
      </c>
      <c r="CG8" s="8" cm="1">
        <f t="array" ref="CG8">IF(CG$2="FY",SUMPRODUCT(Data[Nhập-SPC+SPP-NX]*(Data[Year]=CG$1)*(Data[Main SKU name_GOM]=$A8)*(Data[SKU name_NHẬP_GOM]=CG$3)),SUMPRODUCT(Data[Nhập-SPC+SPP-NX]*(Data[Year]=CG$1)*(Data[Month]=CG$2)*(Data[Main SKU name_GOM]=$A8)*(Data[SKU name_NHẬP_GOM]=CG$3)))</f>
        <v>0</v>
      </c>
      <c r="CH8" s="8">
        <f t="shared" si="6"/>
        <v>1483899.9999999998</v>
      </c>
      <c r="CJ8" s="8" cm="1">
        <f t="array" ref="CJ8">IF(CJ$2="FY",SUMPRODUCT(Data[Nhập-SPC+SPP-NX]*(Data[Year]=CJ$1)*(Data[Main SKU name_GOM]=$A8)*(Data[SKU name_NHẬP_GOM]=CJ$3)),SUMPRODUCT(Data[Nhập-SPC+SPP-NX]*(Data[Year]=CJ$1)*(Data[Month]=CJ$2)*(Data[Main SKU name_GOM]=$A8)*(Data[SKU name_NHẬP_GOM]=CJ$3)))</f>
        <v>1100</v>
      </c>
      <c r="CK8" s="8" cm="1">
        <f t="array" ref="CK8">IF(CK$2="FY",SUMPRODUCT(Data[Nhập-SPC+SPP-NX]*(Data[Year]=CK$1)*(Data[Main SKU name_GOM]=$A8)*(Data[SKU name_NHẬP_GOM]=CK$3)),SUMPRODUCT(Data[Nhập-SPC+SPP-NX]*(Data[Year]=CK$1)*(Data[Month]=CK$2)*(Data[Main SKU name_GOM]=$A8)*(Data[SKU name_NHẬP_GOM]=CK$3)))</f>
        <v>78100.000000000015</v>
      </c>
      <c r="CL8" s="8" cm="1">
        <f t="array" ref="CL8">IF(CL$2="FY",SUMPRODUCT(Data[Nhập-SPC+SPP-NX]*(Data[Year]=CL$1)*(Data[Main SKU name_GOM]=$A8)*(Data[SKU name_NHẬP_GOM]=CL$3)),SUMPRODUCT(Data[Nhập-SPC+SPP-NX]*(Data[Year]=CL$1)*(Data[Month]=CL$2)*(Data[Main SKU name_GOM]=$A8)*(Data[SKU name_NHẬP_GOM]=CL$3)))</f>
        <v>1974500</v>
      </c>
      <c r="CM8" s="8" cm="1">
        <f t="array" ref="CM8">IF(CM$2="FY",SUMPRODUCT(Data[Nhập-SPC+SPP-NX]*(Data[Year]=CM$1)*(Data[Main SKU name_GOM]=$A8)*(Data[SKU name_NHẬP_GOM]=CM$3)),SUMPRODUCT(Data[Nhập-SPC+SPP-NX]*(Data[Year]=CM$1)*(Data[Month]=CM$2)*(Data[Main SKU name_GOM]=$A8)*(Data[SKU name_NHẬP_GOM]=CM$3)))</f>
        <v>0</v>
      </c>
      <c r="CN8" s="8" cm="1">
        <f t="array" ref="CN8">IF(CN$2="FY",SUMPRODUCT(Data[Nhập-SPC+SPP-NX]*(Data[Year]=CN$1)*(Data[Main SKU name_GOM]=$A8)*(Data[SKU name_NHẬP_GOM]=CN$3)),SUMPRODUCT(Data[Nhập-SPC+SPP-NX]*(Data[Year]=CN$1)*(Data[Month]=CN$2)*(Data[Main SKU name_GOM]=$A8)*(Data[SKU name_NHẬP_GOM]=CN$3)))</f>
        <v>4400</v>
      </c>
      <c r="CO8" s="8" cm="1">
        <f t="array" ref="CO8">IF(CO$2="FY",SUMPRODUCT(Data[Nhập-SPC+SPP-NX]*(Data[Year]=CO$1)*(Data[Main SKU name_GOM]=$A8)*(Data[SKU name_NHẬP_GOM]=CO$3)),SUMPRODUCT(Data[Nhập-SPC+SPP-NX]*(Data[Year]=CO$1)*(Data[Month]=CO$2)*(Data[Main SKU name_GOM]=$A8)*(Data[SKU name_NHẬP_GOM]=CO$3)))</f>
        <v>0</v>
      </c>
      <c r="CP8" s="8" cm="1">
        <f t="array" ref="CP8">IF(CP$2="FY",SUMPRODUCT(Data[Nhập-SPC+SPP-NX]*(Data[Year]=CP$1)*(Data[Main SKU name_GOM]=$A8)*(Data[SKU name_NHẬP_GOM]=CP$3)),SUMPRODUCT(Data[Nhập-SPC+SPP-NX]*(Data[Year]=CP$1)*(Data[Month]=CP$2)*(Data[Main SKU name_GOM]=$A8)*(Data[SKU name_NHẬP_GOM]=CP$3)))</f>
        <v>0</v>
      </c>
      <c r="CQ8" s="8" cm="1">
        <f t="array" ref="CQ8">IF(CQ$2="FY",SUMPRODUCT(Data[Nhập-SPC+SPP-NX]*(Data[Year]=CQ$1)*(Data[Main SKU name_GOM]=$A8)*(Data[SKU name_NHẬP_GOM]=CQ$3)),SUMPRODUCT(Data[Nhập-SPC+SPP-NX]*(Data[Year]=CQ$1)*(Data[Month]=CQ$2)*(Data[Main SKU name_GOM]=$A8)*(Data[SKU name_NHẬP_GOM]=CQ$3)))</f>
        <v>113300.00000000001</v>
      </c>
      <c r="CR8" s="8" cm="1">
        <f t="array" ref="CR8">IF(CR$2="FY",SUMPRODUCT(Data[Nhập-SPC+SPP-NX]*(Data[Year]=CR$1)*(Data[Main SKU name_GOM]=$A8)*(Data[SKU name_NHẬP_GOM]=CR$3)),SUMPRODUCT(Data[Nhập-SPC+SPP-NX]*(Data[Year]=CR$1)*(Data[Month]=CR$2)*(Data[Main SKU name_GOM]=$A8)*(Data[SKU name_NHẬP_GOM]=CR$3)))</f>
        <v>9900</v>
      </c>
      <c r="CS8" s="8" cm="1">
        <f t="array" ref="CS8">IF(CS$2="FY",SUMPRODUCT(Data[Nhập-SPC+SPP-NX]*(Data[Year]=CS$1)*(Data[Main SKU name_GOM]=$A8)*(Data[SKU name_NHẬP_GOM]=CS$3)),SUMPRODUCT(Data[Nhập-SPC+SPP-NX]*(Data[Year]=CS$1)*(Data[Month]=CS$2)*(Data[Main SKU name_GOM]=$A8)*(Data[SKU name_NHẬP_GOM]=CS$3)))</f>
        <v>0</v>
      </c>
      <c r="CT8" s="8">
        <f t="shared" si="7"/>
        <v>2181300</v>
      </c>
      <c r="CV8" s="8" cm="1">
        <f t="array" ref="CV8">IF(CV$2="FY",SUMPRODUCT(Data[Nhập-SPC+SPP-NX]*(Data[Year]=CV$1)*(Data[Main SKU name_GOM]=$A8)*(Data[SKU name_NHẬP_GOM]=CV$3)),SUMPRODUCT(Data[Nhập-SPC+SPP-NX]*(Data[Year]=CV$1)*(Data[Month]=CV$2)*(Data[Main SKU name_GOM]=$A8)*(Data[SKU name_NHẬP_GOM]=CV$3)))</f>
        <v>2200</v>
      </c>
      <c r="CW8" s="8" cm="1">
        <f t="array" ref="CW8">IF(CW$2="FY",SUMPRODUCT(Data[Nhập-SPC+SPP-NX]*(Data[Year]=CW$1)*(Data[Main SKU name_GOM]=$A8)*(Data[SKU name_NHẬP_GOM]=CW$3)),SUMPRODUCT(Data[Nhập-SPC+SPP-NX]*(Data[Year]=CW$1)*(Data[Month]=CW$2)*(Data[Main SKU name_GOM]=$A8)*(Data[SKU name_NHẬP_GOM]=CW$3)))</f>
        <v>192500</v>
      </c>
      <c r="CX8" s="8" cm="1">
        <f t="array" ref="CX8">IF(CX$2="FY",SUMPRODUCT(Data[Nhập-SPC+SPP-NX]*(Data[Year]=CX$1)*(Data[Main SKU name_GOM]=$A8)*(Data[SKU name_NHẬP_GOM]=CX$3)),SUMPRODUCT(Data[Nhập-SPC+SPP-NX]*(Data[Year]=CX$1)*(Data[Month]=CX$2)*(Data[Main SKU name_GOM]=$A8)*(Data[SKU name_NHẬP_GOM]=CX$3)))</f>
        <v>1802899.9999999998</v>
      </c>
      <c r="CY8" s="8" cm="1">
        <f t="array" ref="CY8">IF(CY$2="FY",SUMPRODUCT(Data[Nhập-SPC+SPP-NX]*(Data[Year]=CY$1)*(Data[Main SKU name_GOM]=$A8)*(Data[SKU name_NHẬP_GOM]=CY$3)),SUMPRODUCT(Data[Nhập-SPC+SPP-NX]*(Data[Year]=CY$1)*(Data[Month]=CY$2)*(Data[Main SKU name_GOM]=$A8)*(Data[SKU name_NHẬP_GOM]=CY$3)))</f>
        <v>0</v>
      </c>
      <c r="CZ8" s="8" cm="1">
        <f t="array" ref="CZ8">IF(CZ$2="FY",SUMPRODUCT(Data[Nhập-SPC+SPP-NX]*(Data[Year]=CZ$1)*(Data[Main SKU name_GOM]=$A8)*(Data[SKU name_NHẬP_GOM]=CZ$3)),SUMPRODUCT(Data[Nhập-SPC+SPP-NX]*(Data[Year]=CZ$1)*(Data[Month]=CZ$2)*(Data[Main SKU name_GOM]=$A8)*(Data[SKU name_NHẬP_GOM]=CZ$3)))</f>
        <v>15400</v>
      </c>
      <c r="DA8" s="8" cm="1">
        <f t="array" ref="DA8">IF(DA$2="FY",SUMPRODUCT(Data[Nhập-SPC+SPP-NX]*(Data[Year]=DA$1)*(Data[Main SKU name_GOM]=$A8)*(Data[SKU name_NHẬP_GOM]=DA$3)),SUMPRODUCT(Data[Nhập-SPC+SPP-NX]*(Data[Year]=DA$1)*(Data[Month]=DA$2)*(Data[Main SKU name_GOM]=$A8)*(Data[SKU name_NHẬP_GOM]=DA$3)))</f>
        <v>0</v>
      </c>
      <c r="DB8" s="8" cm="1">
        <f t="array" ref="DB8">IF(DB$2="FY",SUMPRODUCT(Data[Nhập-SPC+SPP-NX]*(Data[Year]=DB$1)*(Data[Main SKU name_GOM]=$A8)*(Data[SKU name_NHẬP_GOM]=DB$3)),SUMPRODUCT(Data[Nhập-SPC+SPP-NX]*(Data[Year]=DB$1)*(Data[Month]=DB$2)*(Data[Main SKU name_GOM]=$A8)*(Data[SKU name_NHẬP_GOM]=DB$3)))</f>
        <v>0</v>
      </c>
      <c r="DC8" s="8" cm="1">
        <f t="array" ref="DC8">IF(DC$2="FY",SUMPRODUCT(Data[Nhập-SPC+SPP-NX]*(Data[Year]=DC$1)*(Data[Main SKU name_GOM]=$A8)*(Data[SKU name_NHẬP_GOM]=DC$3)),SUMPRODUCT(Data[Nhập-SPC+SPP-NX]*(Data[Year]=DC$1)*(Data[Month]=DC$2)*(Data[Main SKU name_GOM]=$A8)*(Data[SKU name_NHẬP_GOM]=DC$3)))</f>
        <v>94600.000000000015</v>
      </c>
      <c r="DD8" s="8" cm="1">
        <f t="array" ref="DD8">IF(DD$2="FY",SUMPRODUCT(Data[Nhập-SPC+SPP-NX]*(Data[Year]=DD$1)*(Data[Main SKU name_GOM]=$A8)*(Data[SKU name_NHẬP_GOM]=DD$3)),SUMPRODUCT(Data[Nhập-SPC+SPP-NX]*(Data[Year]=DD$1)*(Data[Month]=DD$2)*(Data[Main SKU name_GOM]=$A8)*(Data[SKU name_NHẬP_GOM]=DD$3)))</f>
        <v>15400</v>
      </c>
      <c r="DE8" s="8" cm="1">
        <f t="array" ref="DE8">IF(DE$2="FY",SUMPRODUCT(Data[Nhập-SPC+SPP-NX]*(Data[Year]=DE$1)*(Data[Main SKU name_GOM]=$A8)*(Data[SKU name_NHẬP_GOM]=DE$3)),SUMPRODUCT(Data[Nhập-SPC+SPP-NX]*(Data[Year]=DE$1)*(Data[Month]=DE$2)*(Data[Main SKU name_GOM]=$A8)*(Data[SKU name_NHẬP_GOM]=DE$3)))</f>
        <v>0</v>
      </c>
      <c r="DF8" s="8">
        <f t="shared" si="8"/>
        <v>2123000</v>
      </c>
      <c r="DH8" s="8" cm="1">
        <f t="array" ref="DH8">IF(DH$2="FY",SUMPRODUCT(Data[Nhập-SPC+SPP-NX]*(Data[Year]=DH$1)*(Data[Main SKU name_GOM]=$A8)*(Data[SKU name_NHẬP_GOM]=DH$3)),SUMPRODUCT(Data[Nhập-SPC+SPP-NX]*(Data[Year]=DH$1)*(Data[Month]=DH$2)*(Data[Main SKU name_GOM]=$A8)*(Data[SKU name_NHẬP_GOM]=DH$3)))</f>
        <v>8800</v>
      </c>
      <c r="DI8" s="8" cm="1">
        <f t="array" ref="DI8">IF(DI$2="FY",SUMPRODUCT(Data[Nhập-SPC+SPP-NX]*(Data[Year]=DI$1)*(Data[Main SKU name_GOM]=$A8)*(Data[SKU name_NHẬP_GOM]=DI$3)),SUMPRODUCT(Data[Nhập-SPC+SPP-NX]*(Data[Year]=DI$1)*(Data[Month]=DI$2)*(Data[Main SKU name_GOM]=$A8)*(Data[SKU name_NHẬP_GOM]=DI$3)))</f>
        <v>27500</v>
      </c>
      <c r="DJ8" s="8" cm="1">
        <f t="array" ref="DJ8">IF(DJ$2="FY",SUMPRODUCT(Data[Nhập-SPC+SPP-NX]*(Data[Year]=DJ$1)*(Data[Main SKU name_GOM]=$A8)*(Data[SKU name_NHẬP_GOM]=DJ$3)),SUMPRODUCT(Data[Nhập-SPC+SPP-NX]*(Data[Year]=DJ$1)*(Data[Month]=DJ$2)*(Data[Main SKU name_GOM]=$A8)*(Data[SKU name_NHẬP_GOM]=DJ$3)))</f>
        <v>1565300</v>
      </c>
      <c r="DK8" s="8" cm="1">
        <f t="array" ref="DK8">IF(DK$2="FY",SUMPRODUCT(Data[Nhập-SPC+SPP-NX]*(Data[Year]=DK$1)*(Data[Main SKU name_GOM]=$A8)*(Data[SKU name_NHẬP_GOM]=DK$3)),SUMPRODUCT(Data[Nhập-SPC+SPP-NX]*(Data[Year]=DK$1)*(Data[Month]=DK$2)*(Data[Main SKU name_GOM]=$A8)*(Data[SKU name_NHẬP_GOM]=DK$3)))</f>
        <v>0</v>
      </c>
      <c r="DL8" s="8" cm="1">
        <f t="array" ref="DL8">IF(DL$2="FY",SUMPRODUCT(Data[Nhập-SPC+SPP-NX]*(Data[Year]=DL$1)*(Data[Main SKU name_GOM]=$A8)*(Data[SKU name_NHẬP_GOM]=DL$3)),SUMPRODUCT(Data[Nhập-SPC+SPP-NX]*(Data[Year]=DL$1)*(Data[Month]=DL$2)*(Data[Main SKU name_GOM]=$A8)*(Data[SKU name_NHẬP_GOM]=DL$3)))</f>
        <v>8800</v>
      </c>
      <c r="DM8" s="8" cm="1">
        <f t="array" ref="DM8">IF(DM$2="FY",SUMPRODUCT(Data[Nhập-SPC+SPP-NX]*(Data[Year]=DM$1)*(Data[Main SKU name_GOM]=$A8)*(Data[SKU name_NHẬP_GOM]=DM$3)),SUMPRODUCT(Data[Nhập-SPC+SPP-NX]*(Data[Year]=DM$1)*(Data[Month]=DM$2)*(Data[Main SKU name_GOM]=$A8)*(Data[SKU name_NHẬP_GOM]=DM$3)))</f>
        <v>0</v>
      </c>
      <c r="DN8" s="8" cm="1">
        <f t="array" ref="DN8">IF(DN$2="FY",SUMPRODUCT(Data[Nhập-SPC+SPP-NX]*(Data[Year]=DN$1)*(Data[Main SKU name_GOM]=$A8)*(Data[SKU name_NHẬP_GOM]=DN$3)),SUMPRODUCT(Data[Nhập-SPC+SPP-NX]*(Data[Year]=DN$1)*(Data[Month]=DN$2)*(Data[Main SKU name_GOM]=$A8)*(Data[SKU name_NHẬP_GOM]=DN$3)))</f>
        <v>1100</v>
      </c>
      <c r="DO8" s="8" cm="1">
        <f t="array" ref="DO8">IF(DO$2="FY",SUMPRODUCT(Data[Nhập-SPC+SPP-NX]*(Data[Year]=DO$1)*(Data[Main SKU name_GOM]=$A8)*(Data[SKU name_NHẬP_GOM]=DO$3)),SUMPRODUCT(Data[Nhập-SPC+SPP-NX]*(Data[Year]=DO$1)*(Data[Month]=DO$2)*(Data[Main SKU name_GOM]=$A8)*(Data[SKU name_NHẬP_GOM]=DO$3)))</f>
        <v>24200</v>
      </c>
      <c r="DP8" s="8" cm="1">
        <f t="array" ref="DP8">IF(DP$2="FY",SUMPRODUCT(Data[Nhập-SPC+SPP-NX]*(Data[Year]=DP$1)*(Data[Main SKU name_GOM]=$A8)*(Data[SKU name_NHẬP_GOM]=DP$3)),SUMPRODUCT(Data[Nhập-SPC+SPP-NX]*(Data[Year]=DP$1)*(Data[Month]=DP$2)*(Data[Main SKU name_GOM]=$A8)*(Data[SKU name_NHẬP_GOM]=DP$3)))</f>
        <v>7700.0000000000009</v>
      </c>
      <c r="DQ8" s="8" cm="1">
        <f t="array" ref="DQ8">IF(DQ$2="FY",SUMPRODUCT(Data[Nhập-SPC+SPP-NX]*(Data[Year]=DQ$1)*(Data[Main SKU name_GOM]=$A8)*(Data[SKU name_NHẬP_GOM]=DQ$3)),SUMPRODUCT(Data[Nhập-SPC+SPP-NX]*(Data[Year]=DQ$1)*(Data[Month]=DQ$2)*(Data[Main SKU name_GOM]=$A8)*(Data[SKU name_NHẬP_GOM]=DQ$3)))</f>
        <v>0</v>
      </c>
      <c r="DR8" s="8">
        <f t="shared" si="9"/>
        <v>1643400</v>
      </c>
      <c r="DT8" s="8" cm="1">
        <f t="array" ref="DT8">IF(DT$2="FY",SUMPRODUCT(Data[Nhập-SPC+SPP-NX]*(Data[Year]=DT$1)*(Data[Main SKU name_GOM]=$A8)*(Data[SKU name_NHẬP_GOM]=DT$3)),SUMPRODUCT(Data[Nhập-SPC+SPP-NX]*(Data[Year]=DT$1)*(Data[Month]=DT$2)*(Data[Main SKU name_GOM]=$A8)*(Data[SKU name_NHẬP_GOM]=DT$3)))</f>
        <v>12100</v>
      </c>
      <c r="DU8" s="8" cm="1">
        <f t="array" ref="DU8">IF(DU$2="FY",SUMPRODUCT(Data[Nhập-SPC+SPP-NX]*(Data[Year]=DU$1)*(Data[Main SKU name_GOM]=$A8)*(Data[SKU name_NHẬP_GOM]=DU$3)),SUMPRODUCT(Data[Nhập-SPC+SPP-NX]*(Data[Year]=DU$1)*(Data[Month]=DU$2)*(Data[Main SKU name_GOM]=$A8)*(Data[SKU name_NHẬP_GOM]=DU$3)))</f>
        <v>60500.000000000007</v>
      </c>
      <c r="DV8" s="8" cm="1">
        <f t="array" ref="DV8">IF(DV$2="FY",SUMPRODUCT(Data[Nhập-SPC+SPP-NX]*(Data[Year]=DV$1)*(Data[Main SKU name_GOM]=$A8)*(Data[SKU name_NHẬP_GOM]=DV$3)),SUMPRODUCT(Data[Nhập-SPC+SPP-NX]*(Data[Year]=DV$1)*(Data[Month]=DV$2)*(Data[Main SKU name_GOM]=$A8)*(Data[SKU name_NHẬP_GOM]=DV$3)))</f>
        <v>2459599.9999999991</v>
      </c>
      <c r="DW8" s="8" cm="1">
        <f t="array" ref="DW8">IF(DW$2="FY",SUMPRODUCT(Data[Nhập-SPC+SPP-NX]*(Data[Year]=DW$1)*(Data[Main SKU name_GOM]=$A8)*(Data[SKU name_NHẬP_GOM]=DW$3)),SUMPRODUCT(Data[Nhập-SPC+SPP-NX]*(Data[Year]=DW$1)*(Data[Month]=DW$2)*(Data[Main SKU name_GOM]=$A8)*(Data[SKU name_NHẬP_GOM]=DW$3)))</f>
        <v>0</v>
      </c>
      <c r="DX8" s="8" cm="1">
        <f t="array" ref="DX8">IF(DX$2="FY",SUMPRODUCT(Data[Nhập-SPC+SPP-NX]*(Data[Year]=DX$1)*(Data[Main SKU name_GOM]=$A8)*(Data[SKU name_NHẬP_GOM]=DX$3)),SUMPRODUCT(Data[Nhập-SPC+SPP-NX]*(Data[Year]=DX$1)*(Data[Month]=DX$2)*(Data[Main SKU name_GOM]=$A8)*(Data[SKU name_NHẬP_GOM]=DX$3)))</f>
        <v>20900</v>
      </c>
      <c r="DY8" s="8" cm="1">
        <f t="array" ref="DY8">IF(DY$2="FY",SUMPRODUCT(Data[Nhập-SPC+SPP-NX]*(Data[Year]=DY$1)*(Data[Main SKU name_GOM]=$A8)*(Data[SKU name_NHẬP_GOM]=DY$3)),SUMPRODUCT(Data[Nhập-SPC+SPP-NX]*(Data[Year]=DY$1)*(Data[Month]=DY$2)*(Data[Main SKU name_GOM]=$A8)*(Data[SKU name_NHẬP_GOM]=DY$3)))</f>
        <v>0</v>
      </c>
      <c r="DZ8" s="8" cm="1">
        <f t="array" ref="DZ8">IF(DZ$2="FY",SUMPRODUCT(Data[Nhập-SPC+SPP-NX]*(Data[Year]=DZ$1)*(Data[Main SKU name_GOM]=$A8)*(Data[SKU name_NHẬP_GOM]=DZ$3)),SUMPRODUCT(Data[Nhập-SPC+SPP-NX]*(Data[Year]=DZ$1)*(Data[Month]=DZ$2)*(Data[Main SKU name_GOM]=$A8)*(Data[SKU name_NHẬP_GOM]=DZ$3)))</f>
        <v>0</v>
      </c>
      <c r="EA8" s="8" cm="1">
        <f t="array" ref="EA8">IF(EA$2="FY",SUMPRODUCT(Data[Nhập-SPC+SPP-NX]*(Data[Year]=EA$1)*(Data[Main SKU name_GOM]=$A8)*(Data[SKU name_NHẬP_GOM]=EA$3)),SUMPRODUCT(Data[Nhập-SPC+SPP-NX]*(Data[Year]=EA$1)*(Data[Month]=EA$2)*(Data[Main SKU name_GOM]=$A8)*(Data[SKU name_NHẬP_GOM]=EA$3)))</f>
        <v>27500.000000000004</v>
      </c>
      <c r="EB8" s="8" cm="1">
        <f t="array" ref="EB8">IF(EB$2="FY",SUMPRODUCT(Data[Nhập-SPC+SPP-NX]*(Data[Year]=EB$1)*(Data[Main SKU name_GOM]=$A8)*(Data[SKU name_NHẬP_GOM]=EB$3)),SUMPRODUCT(Data[Nhập-SPC+SPP-NX]*(Data[Year]=EB$1)*(Data[Month]=EB$2)*(Data[Main SKU name_GOM]=$A8)*(Data[SKU name_NHẬP_GOM]=EB$3)))</f>
        <v>33000</v>
      </c>
      <c r="EC8" s="8" cm="1">
        <f t="array" ref="EC8">IF(EC$2="FY",SUMPRODUCT(Data[Nhập-SPC+SPP-NX]*(Data[Year]=EC$1)*(Data[Main SKU name_GOM]=$A8)*(Data[SKU name_NHẬP_GOM]=EC$3)),SUMPRODUCT(Data[Nhập-SPC+SPP-NX]*(Data[Year]=EC$1)*(Data[Month]=EC$2)*(Data[Main SKU name_GOM]=$A8)*(Data[SKU name_NHẬP_GOM]=EC$3)))</f>
        <v>0</v>
      </c>
      <c r="ED8" s="8">
        <f t="shared" si="10"/>
        <v>2613599.9999999991</v>
      </c>
      <c r="EF8" s="8" cm="1">
        <f t="array" ref="EF8">IF(EF$2="FY",SUMPRODUCT(Data[Nhập-SPC+SPP-NX]*(Data[Year]=EF$1)*(Data[Main SKU name_GOM]=$A8)*(Data[SKU name_NHẬP_GOM]=EF$3)),SUMPRODUCT(Data[Nhập-SPC+SPP-NX]*(Data[Year]=EF$1)*(Data[Month]=EF$2)*(Data[Main SKU name_GOM]=$A8)*(Data[SKU name_NHẬP_GOM]=EF$3)))</f>
        <v>0</v>
      </c>
      <c r="EG8" s="8" cm="1">
        <f t="array" ref="EG8">IF(EG$2="FY",SUMPRODUCT(Data[Nhập-SPC+SPP-NX]*(Data[Year]=EG$1)*(Data[Main SKU name_GOM]=$A8)*(Data[SKU name_NHẬP_GOM]=EG$3)),SUMPRODUCT(Data[Nhập-SPC+SPP-NX]*(Data[Year]=EG$1)*(Data[Month]=EG$2)*(Data[Main SKU name_GOM]=$A8)*(Data[SKU name_NHẬP_GOM]=EG$3)))</f>
        <v>3300</v>
      </c>
      <c r="EH8" s="8" cm="1">
        <f t="array" ref="EH8">IF(EH$2="FY",SUMPRODUCT(Data[Nhập-SPC+SPP-NX]*(Data[Year]=EH$1)*(Data[Main SKU name_GOM]=$A8)*(Data[SKU name_NHẬP_GOM]=EH$3)),SUMPRODUCT(Data[Nhập-SPC+SPP-NX]*(Data[Year]=EH$1)*(Data[Month]=EH$2)*(Data[Main SKU name_GOM]=$A8)*(Data[SKU name_NHẬP_GOM]=EH$3)))</f>
        <v>436700</v>
      </c>
      <c r="EI8" s="8" cm="1">
        <f t="array" ref="EI8">IF(EI$2="FY",SUMPRODUCT(Data[Nhập-SPC+SPP-NX]*(Data[Year]=EI$1)*(Data[Main SKU name_GOM]=$A8)*(Data[SKU name_NHẬP_GOM]=EI$3)),SUMPRODUCT(Data[Nhập-SPC+SPP-NX]*(Data[Year]=EI$1)*(Data[Month]=EI$2)*(Data[Main SKU name_GOM]=$A8)*(Data[SKU name_NHẬP_GOM]=EI$3)))</f>
        <v>0</v>
      </c>
      <c r="EJ8" s="8" cm="1">
        <f t="array" ref="EJ8">IF(EJ$2="FY",SUMPRODUCT(Data[Nhập-SPC+SPP-NX]*(Data[Year]=EJ$1)*(Data[Main SKU name_GOM]=$A8)*(Data[SKU name_NHẬP_GOM]=EJ$3)),SUMPRODUCT(Data[Nhập-SPC+SPP-NX]*(Data[Year]=EJ$1)*(Data[Month]=EJ$2)*(Data[Main SKU name_GOM]=$A8)*(Data[SKU name_NHẬP_GOM]=EJ$3)))</f>
        <v>11000</v>
      </c>
      <c r="EK8" s="8" cm="1">
        <f t="array" ref="EK8">IF(EK$2="FY",SUMPRODUCT(Data[Nhập-SPC+SPP-NX]*(Data[Year]=EK$1)*(Data[Main SKU name_GOM]=$A8)*(Data[SKU name_NHẬP_GOM]=EK$3)),SUMPRODUCT(Data[Nhập-SPC+SPP-NX]*(Data[Year]=EK$1)*(Data[Month]=EK$2)*(Data[Main SKU name_GOM]=$A8)*(Data[SKU name_NHẬP_GOM]=EK$3)))</f>
        <v>0</v>
      </c>
      <c r="EL8" s="8" cm="1">
        <f t="array" ref="EL8">IF(EL$2="FY",SUMPRODUCT(Data[Nhập-SPC+SPP-NX]*(Data[Year]=EL$1)*(Data[Main SKU name_GOM]=$A8)*(Data[SKU name_NHẬP_GOM]=EL$3)),SUMPRODUCT(Data[Nhập-SPC+SPP-NX]*(Data[Year]=EL$1)*(Data[Month]=EL$2)*(Data[Main SKU name_GOM]=$A8)*(Data[SKU name_NHẬP_GOM]=EL$3)))</f>
        <v>0</v>
      </c>
      <c r="EM8" s="8" cm="1">
        <f t="array" ref="EM8">IF(EM$2="FY",SUMPRODUCT(Data[Nhập-SPC+SPP-NX]*(Data[Year]=EM$1)*(Data[Main SKU name_GOM]=$A8)*(Data[SKU name_NHẬP_GOM]=EM$3)),SUMPRODUCT(Data[Nhập-SPC+SPP-NX]*(Data[Year]=EM$1)*(Data[Month]=EM$2)*(Data[Main SKU name_GOM]=$A8)*(Data[SKU name_NHẬP_GOM]=EM$3)))</f>
        <v>81400</v>
      </c>
      <c r="EN8" s="8" cm="1">
        <f t="array" ref="EN8">IF(EN$2="FY",SUMPRODUCT(Data[Nhập-SPC+SPP-NX]*(Data[Year]=EN$1)*(Data[Main SKU name_GOM]=$A8)*(Data[SKU name_NHẬP_GOM]=EN$3)),SUMPRODUCT(Data[Nhập-SPC+SPP-NX]*(Data[Year]=EN$1)*(Data[Month]=EN$2)*(Data[Main SKU name_GOM]=$A8)*(Data[SKU name_NHẬP_GOM]=EN$3)))</f>
        <v>11000</v>
      </c>
      <c r="EO8" s="8" cm="1">
        <f t="array" ref="EO8">IF(EO$2="FY",SUMPRODUCT(Data[Nhập-SPC+SPP-NX]*(Data[Year]=EO$1)*(Data[Main SKU name_GOM]=$A8)*(Data[SKU name_NHẬP_GOM]=EO$3)),SUMPRODUCT(Data[Nhập-SPC+SPP-NX]*(Data[Year]=EO$1)*(Data[Month]=EO$2)*(Data[Main SKU name_GOM]=$A8)*(Data[SKU name_NHẬP_GOM]=EO$3)))</f>
        <v>0</v>
      </c>
      <c r="EP8" s="8">
        <f t="shared" si="11"/>
        <v>543400</v>
      </c>
      <c r="ER8" s="8" cm="1">
        <f t="array" ref="ER8">IF(ER$2="FY",SUMPRODUCT(Data[Nhập-SPC+SPP-NX]*(Data[Year]=ER$1)*(Data[Main SKU name_GOM]=$A8)*(Data[SKU name_NHẬP_GOM]=ER$3)),SUMPRODUCT(Data[Nhập-SPC+SPP-NX]*(Data[Year]=ER$1)*(Data[Month]=ER$2)*(Data[Main SKU name_GOM]=$A8)*(Data[SKU name_NHẬP_GOM]=ER$3)))</f>
        <v>12100</v>
      </c>
      <c r="ES8" s="8" cm="1">
        <f t="array" ref="ES8">IF(ES$2="FY",SUMPRODUCT(Data[Nhập-SPC+SPP-NX]*(Data[Year]=ES$1)*(Data[Main SKU name_GOM]=$A8)*(Data[SKU name_NHẬP_GOM]=ES$3)),SUMPRODUCT(Data[Nhập-SPC+SPP-NX]*(Data[Year]=ES$1)*(Data[Month]=ES$2)*(Data[Main SKU name_GOM]=$A8)*(Data[SKU name_NHẬP_GOM]=ES$3)))</f>
        <v>52800</v>
      </c>
      <c r="ET8" s="8" cm="1">
        <f t="array" ref="ET8">IF(ET$2="FY",SUMPRODUCT(Data[Nhập-SPC+SPP-NX]*(Data[Year]=ET$1)*(Data[Main SKU name_GOM]=$A8)*(Data[SKU name_NHẬP_GOM]=ET$3)),SUMPRODUCT(Data[Nhập-SPC+SPP-NX]*(Data[Year]=ET$1)*(Data[Month]=ET$2)*(Data[Main SKU name_GOM]=$A8)*(Data[SKU name_NHẬP_GOM]=ET$3)))</f>
        <v>1428900</v>
      </c>
      <c r="EU8" s="8" cm="1">
        <f t="array" ref="EU8">IF(EU$2="FY",SUMPRODUCT(Data[Nhập-SPC+SPP-NX]*(Data[Year]=EU$1)*(Data[Main SKU name_GOM]=$A8)*(Data[SKU name_NHẬP_GOM]=EU$3)),SUMPRODUCT(Data[Nhập-SPC+SPP-NX]*(Data[Year]=EU$1)*(Data[Month]=EU$2)*(Data[Main SKU name_GOM]=$A8)*(Data[SKU name_NHẬP_GOM]=EU$3)))</f>
        <v>0</v>
      </c>
      <c r="EV8" s="8" cm="1">
        <f t="array" ref="EV8">IF(EV$2="FY",SUMPRODUCT(Data[Nhập-SPC+SPP-NX]*(Data[Year]=EV$1)*(Data[Main SKU name_GOM]=$A8)*(Data[SKU name_NHẬP_GOM]=EV$3)),SUMPRODUCT(Data[Nhập-SPC+SPP-NX]*(Data[Year]=EV$1)*(Data[Month]=EV$2)*(Data[Main SKU name_GOM]=$A8)*(Data[SKU name_NHẬP_GOM]=EV$3)))</f>
        <v>20900</v>
      </c>
      <c r="EW8" s="8" cm="1">
        <f t="array" ref="EW8">IF(EW$2="FY",SUMPRODUCT(Data[Nhập-SPC+SPP-NX]*(Data[Year]=EW$1)*(Data[Main SKU name_GOM]=$A8)*(Data[SKU name_NHẬP_GOM]=EW$3)),SUMPRODUCT(Data[Nhập-SPC+SPP-NX]*(Data[Year]=EW$1)*(Data[Month]=EW$2)*(Data[Main SKU name_GOM]=$A8)*(Data[SKU name_NHẬP_GOM]=EW$3)))</f>
        <v>0</v>
      </c>
      <c r="EX8" s="8" cm="1">
        <f t="array" ref="EX8">IF(EX$2="FY",SUMPRODUCT(Data[Nhập-SPC+SPP-NX]*(Data[Year]=EX$1)*(Data[Main SKU name_GOM]=$A8)*(Data[SKU name_NHẬP_GOM]=EX$3)),SUMPRODUCT(Data[Nhập-SPC+SPP-NX]*(Data[Year]=EX$1)*(Data[Month]=EX$2)*(Data[Main SKU name_GOM]=$A8)*(Data[SKU name_NHẬP_GOM]=EX$3)))</f>
        <v>0</v>
      </c>
      <c r="EY8" s="8" cm="1">
        <f t="array" ref="EY8">IF(EY$2="FY",SUMPRODUCT(Data[Nhập-SPC+SPP-NX]*(Data[Year]=EY$1)*(Data[Main SKU name_GOM]=$A8)*(Data[SKU name_NHẬP_GOM]=EY$3)),SUMPRODUCT(Data[Nhập-SPC+SPP-NX]*(Data[Year]=EY$1)*(Data[Month]=EY$2)*(Data[Main SKU name_GOM]=$A8)*(Data[SKU name_NHẬP_GOM]=EY$3)))</f>
        <v>39600</v>
      </c>
      <c r="EZ8" s="8" cm="1">
        <f t="array" ref="EZ8">IF(EZ$2="FY",SUMPRODUCT(Data[Nhập-SPC+SPP-NX]*(Data[Year]=EZ$1)*(Data[Main SKU name_GOM]=$A8)*(Data[SKU name_NHẬP_GOM]=EZ$3)),SUMPRODUCT(Data[Nhập-SPC+SPP-NX]*(Data[Year]=EZ$1)*(Data[Month]=EZ$2)*(Data[Main SKU name_GOM]=$A8)*(Data[SKU name_NHẬP_GOM]=EZ$3)))</f>
        <v>17600</v>
      </c>
      <c r="FA8" s="8" cm="1">
        <f t="array" ref="FA8">IF(FA$2="FY",SUMPRODUCT(Data[Nhập-SPC+SPP-NX]*(Data[Year]=FA$1)*(Data[Main SKU name_GOM]=$A8)*(Data[SKU name_NHẬP_GOM]=FA$3)),SUMPRODUCT(Data[Nhập-SPC+SPP-NX]*(Data[Year]=FA$1)*(Data[Month]=FA$2)*(Data[Main SKU name_GOM]=$A8)*(Data[SKU name_NHẬP_GOM]=FA$3)))</f>
        <v>0</v>
      </c>
      <c r="FB8" s="8">
        <f t="shared" si="12"/>
        <v>1571900</v>
      </c>
    </row>
    <row r="9" spans="1:158" ht="15" thickBot="1" x14ac:dyDescent="0.4">
      <c r="A9" s="5" t="s">
        <v>71</v>
      </c>
      <c r="B9" t="s">
        <v>71</v>
      </c>
      <c r="D9" s="8" cm="1">
        <f t="array" ref="D9">IF(D$2="FY",SUMPRODUCT(Data[Nhập-SPC+SPP-NX]*(Data[Year]=D$1)*(Data[Main SKU name_GOM]=$A9)*(Data[SKU name_NHẬP_GOM]=D$3)),SUMPRODUCT(Data[Nhập-SPC+SPP-NX]*(Data[Year]=D$1)*(Data[Month]=D$2)*(Data[Main SKU name_GOM]=$A9)*(Data[SKU name_NHẬP_GOM]=D$3)))</f>
        <v>0</v>
      </c>
      <c r="E9" s="8" cm="1">
        <f t="array" ref="E9">IF(E$2="FY",SUMPRODUCT(Data[Nhập-SPC+SPP-NX]*(Data[Year]=E$1)*(Data[Main SKU name_GOM]=$A9)*(Data[SKU name_NHẬP_GOM]=E$3)),SUMPRODUCT(Data[Nhập-SPC+SPP-NX]*(Data[Year]=E$1)*(Data[Month]=E$2)*(Data[Main SKU name_GOM]=$A9)*(Data[SKU name_NHẬP_GOM]=E$3)))</f>
        <v>0</v>
      </c>
      <c r="F9" s="8" cm="1">
        <f t="array" ref="F9">IF(F$2="FY",SUMPRODUCT(Data[Nhập-SPC+SPP-NX]*(Data[Year]=F$1)*(Data[Main SKU name_GOM]=$A9)*(Data[SKU name_NHẬP_GOM]=F$3)),SUMPRODUCT(Data[Nhập-SPC+SPP-NX]*(Data[Year]=F$1)*(Data[Month]=F$2)*(Data[Main SKU name_GOM]=$A9)*(Data[SKU name_NHẬP_GOM]=F$3)))</f>
        <v>0</v>
      </c>
      <c r="G9" s="8" cm="1">
        <f t="array" ref="G9">IF(G$2="FY",SUMPRODUCT(Data[Nhập-SPC+SPP-NX]*(Data[Year]=G$1)*(Data[Main SKU name_GOM]=$A9)*(Data[SKU name_NHẬP_GOM]=G$3)),SUMPRODUCT(Data[Nhập-SPC+SPP-NX]*(Data[Year]=G$1)*(Data[Month]=G$2)*(Data[Main SKU name_GOM]=$A9)*(Data[SKU name_NHẬP_GOM]=G$3)))</f>
        <v>0</v>
      </c>
      <c r="H9" s="8" cm="1">
        <f t="array" ref="H9">IF(H$2="FY",SUMPRODUCT(Data[Nhập-SPC+SPP-NX]*(Data[Year]=H$1)*(Data[Main SKU name_GOM]=$A9)*(Data[SKU name_NHẬP_GOM]=H$3)),SUMPRODUCT(Data[Nhập-SPC+SPP-NX]*(Data[Year]=H$1)*(Data[Month]=H$2)*(Data[Main SKU name_GOM]=$A9)*(Data[SKU name_NHẬP_GOM]=H$3)))</f>
        <v>1137400</v>
      </c>
      <c r="I9" s="8" cm="1">
        <f t="array" ref="I9">IF(I$2="FY",SUMPRODUCT(Data[Nhập-SPC+SPP-NX]*(Data[Year]=I$1)*(Data[Main SKU name_GOM]=$A9)*(Data[SKU name_NHẬP_GOM]=I$3)),SUMPRODUCT(Data[Nhập-SPC+SPP-NX]*(Data[Year]=I$1)*(Data[Month]=I$2)*(Data[Main SKU name_GOM]=$A9)*(Data[SKU name_NHẬP_GOM]=I$3)))</f>
        <v>0</v>
      </c>
      <c r="J9" s="8" cm="1">
        <f t="array" ref="J9">IF(J$2="FY",SUMPRODUCT(Data[Nhập-SPC+SPP-NX]*(Data[Year]=J$1)*(Data[Main SKU name_GOM]=$A9)*(Data[SKU name_NHẬP_GOM]=J$3)),SUMPRODUCT(Data[Nhập-SPC+SPP-NX]*(Data[Year]=J$1)*(Data[Month]=J$2)*(Data[Main SKU name_GOM]=$A9)*(Data[SKU name_NHẬP_GOM]=J$3)))</f>
        <v>0</v>
      </c>
      <c r="K9" s="8" cm="1">
        <f t="array" ref="K9">IF(K$2="FY",SUMPRODUCT(Data[Nhập-SPC+SPP-NX]*(Data[Year]=K$1)*(Data[Main SKU name_GOM]=$A9)*(Data[SKU name_NHẬP_GOM]=K$3)),SUMPRODUCT(Data[Nhập-SPC+SPP-NX]*(Data[Year]=K$1)*(Data[Month]=K$2)*(Data[Main SKU name_GOM]=$A9)*(Data[SKU name_NHẬP_GOM]=K$3)))</f>
        <v>0</v>
      </c>
      <c r="L9" s="8" cm="1">
        <f t="array" ref="L9">IF(L$2="FY",SUMPRODUCT(Data[Nhập-SPC+SPP-NX]*(Data[Year]=L$1)*(Data[Main SKU name_GOM]=$A9)*(Data[SKU name_NHẬP_GOM]=L$3)),SUMPRODUCT(Data[Nhập-SPC+SPP-NX]*(Data[Year]=L$1)*(Data[Month]=L$2)*(Data[Main SKU name_GOM]=$A9)*(Data[SKU name_NHẬP_GOM]=L$3)))</f>
        <v>41800</v>
      </c>
      <c r="M9" s="8" cm="1">
        <f t="array" ref="M9">IF(M$2="FY",SUMPRODUCT(Data[Nhập-SPC+SPP-NX]*(Data[Year]=M$1)*(Data[Main SKU name_GOM]=$A9)*(Data[SKU name_NHẬP_GOM]=M$3)),SUMPRODUCT(Data[Nhập-SPC+SPP-NX]*(Data[Year]=M$1)*(Data[Month]=M$2)*(Data[Main SKU name_GOM]=$A9)*(Data[SKU name_NHẬP_GOM]=M$3)))</f>
        <v>0</v>
      </c>
      <c r="N9" s="13">
        <f t="shared" si="0"/>
        <v>1179200</v>
      </c>
      <c r="P9" s="8" cm="1">
        <f t="array" ref="P9">IF(P$2="FY",SUMPRODUCT(Data[Nhập-SPC+SPP-NX]*(Data[Year]=P$1)*(Data[Main SKU name_GOM]=$A9)*(Data[SKU name_NHẬP_GOM]=P$3)),SUMPRODUCT(Data[Nhập-SPC+SPP-NX]*(Data[Year]=P$1)*(Data[Month]=P$2)*(Data[Main SKU name_GOM]=$A9)*(Data[SKU name_NHẬP_GOM]=P$3)))</f>
        <v>0</v>
      </c>
      <c r="Q9" s="8" cm="1">
        <f t="array" ref="Q9">IF(Q$2="FY",SUMPRODUCT(Data[Nhập-SPC+SPP-NX]*(Data[Year]=Q$1)*(Data[Main SKU name_GOM]=$A9)*(Data[SKU name_NHẬP_GOM]=Q$3)),SUMPRODUCT(Data[Nhập-SPC+SPP-NX]*(Data[Year]=Q$1)*(Data[Month]=Q$2)*(Data[Main SKU name_GOM]=$A9)*(Data[SKU name_NHẬP_GOM]=Q$3)))</f>
        <v>0</v>
      </c>
      <c r="R9" s="8" cm="1">
        <f t="array" ref="R9">IF(R$2="FY",SUMPRODUCT(Data[Nhập-SPC+SPP-NX]*(Data[Year]=R$1)*(Data[Main SKU name_GOM]=$A9)*(Data[SKU name_NHẬP_GOM]=R$3)),SUMPRODUCT(Data[Nhập-SPC+SPP-NX]*(Data[Year]=R$1)*(Data[Month]=R$2)*(Data[Main SKU name_GOM]=$A9)*(Data[SKU name_NHẬP_GOM]=R$3)))</f>
        <v>0</v>
      </c>
      <c r="S9" s="8" cm="1">
        <f t="array" ref="S9">IF(S$2="FY",SUMPRODUCT(Data[Nhập-SPC+SPP-NX]*(Data[Year]=S$1)*(Data[Main SKU name_GOM]=$A9)*(Data[SKU name_NHẬP_GOM]=S$3)),SUMPRODUCT(Data[Nhập-SPC+SPP-NX]*(Data[Year]=S$1)*(Data[Month]=S$2)*(Data[Main SKU name_GOM]=$A9)*(Data[SKU name_NHẬP_GOM]=S$3)))</f>
        <v>0</v>
      </c>
      <c r="T9" s="8" cm="1">
        <f t="array" ref="T9">IF(T$2="FY",SUMPRODUCT(Data[Nhập-SPC+SPP-NX]*(Data[Year]=T$1)*(Data[Main SKU name_GOM]=$A9)*(Data[SKU name_NHẬP_GOM]=T$3)),SUMPRODUCT(Data[Nhập-SPC+SPP-NX]*(Data[Year]=T$1)*(Data[Month]=T$2)*(Data[Main SKU name_GOM]=$A9)*(Data[SKU name_NHẬP_GOM]=T$3)))</f>
        <v>0</v>
      </c>
      <c r="U9" s="8" cm="1">
        <f t="array" ref="U9">IF(U$2="FY",SUMPRODUCT(Data[Nhập-SPC+SPP-NX]*(Data[Year]=U$1)*(Data[Main SKU name_GOM]=$A9)*(Data[SKU name_NHẬP_GOM]=U$3)),SUMPRODUCT(Data[Nhập-SPC+SPP-NX]*(Data[Year]=U$1)*(Data[Month]=U$2)*(Data[Main SKU name_GOM]=$A9)*(Data[SKU name_NHẬP_GOM]=U$3)))</f>
        <v>0</v>
      </c>
      <c r="V9" s="8" cm="1">
        <f t="array" ref="V9">IF(V$2="FY",SUMPRODUCT(Data[Nhập-SPC+SPP-NX]*(Data[Year]=V$1)*(Data[Main SKU name_GOM]=$A9)*(Data[SKU name_NHẬP_GOM]=V$3)),SUMPRODUCT(Data[Nhập-SPC+SPP-NX]*(Data[Year]=V$1)*(Data[Month]=V$2)*(Data[Main SKU name_GOM]=$A9)*(Data[SKU name_NHẬP_GOM]=V$3)))</f>
        <v>0</v>
      </c>
      <c r="W9" s="8" cm="1">
        <f t="array" ref="W9">IF(W$2="FY",SUMPRODUCT(Data[Nhập-SPC+SPP-NX]*(Data[Year]=W$1)*(Data[Main SKU name_GOM]=$A9)*(Data[SKU name_NHẬP_GOM]=W$3)),SUMPRODUCT(Data[Nhập-SPC+SPP-NX]*(Data[Year]=W$1)*(Data[Month]=W$2)*(Data[Main SKU name_GOM]=$A9)*(Data[SKU name_NHẬP_GOM]=W$3)))</f>
        <v>0</v>
      </c>
      <c r="X9" s="8" cm="1">
        <f t="array" ref="X9">IF(X$2="FY",SUMPRODUCT(Data[Nhập-SPC+SPP-NX]*(Data[Year]=X$1)*(Data[Main SKU name_GOM]=$A9)*(Data[SKU name_NHẬP_GOM]=X$3)),SUMPRODUCT(Data[Nhập-SPC+SPP-NX]*(Data[Year]=X$1)*(Data[Month]=X$2)*(Data[Main SKU name_GOM]=$A9)*(Data[SKU name_NHẬP_GOM]=X$3)))</f>
        <v>0</v>
      </c>
      <c r="Y9" s="8" cm="1">
        <f t="array" ref="Y9">IF(Y$2="FY",SUMPRODUCT(Data[Nhập-SPC+SPP-NX]*(Data[Year]=Y$1)*(Data[Main SKU name_GOM]=$A9)*(Data[SKU name_NHẬP_GOM]=Y$3)),SUMPRODUCT(Data[Nhập-SPC+SPP-NX]*(Data[Year]=Y$1)*(Data[Month]=Y$2)*(Data[Main SKU name_GOM]=$A9)*(Data[SKU name_NHẬP_GOM]=Y$3)))</f>
        <v>0</v>
      </c>
      <c r="Z9" s="8">
        <f t="shared" si="1"/>
        <v>0</v>
      </c>
      <c r="AB9" s="8" cm="1">
        <f t="array" ref="AB9">IF(AB$2="FY",SUMPRODUCT(Data[Nhập-SPC+SPP-NX]*(Data[Year]=AB$1)*(Data[Main SKU name_GOM]=$A9)*(Data[SKU name_NHẬP_GOM]=AB$3)),SUMPRODUCT(Data[Nhập-SPC+SPP-NX]*(Data[Year]=AB$1)*(Data[Month]=AB$2)*(Data[Main SKU name_GOM]=$A9)*(Data[SKU name_NHẬP_GOM]=AB$3)))</f>
        <v>0</v>
      </c>
      <c r="AC9" s="8" cm="1">
        <f t="array" ref="AC9">IF(AC$2="FY",SUMPRODUCT(Data[Nhập-SPC+SPP-NX]*(Data[Year]=AC$1)*(Data[Main SKU name_GOM]=$A9)*(Data[SKU name_NHẬP_GOM]=AC$3)),SUMPRODUCT(Data[Nhập-SPC+SPP-NX]*(Data[Year]=AC$1)*(Data[Month]=AC$2)*(Data[Main SKU name_GOM]=$A9)*(Data[SKU name_NHẬP_GOM]=AC$3)))</f>
        <v>0</v>
      </c>
      <c r="AD9" s="8" cm="1">
        <f t="array" ref="AD9">IF(AD$2="FY",SUMPRODUCT(Data[Nhập-SPC+SPP-NX]*(Data[Year]=AD$1)*(Data[Main SKU name_GOM]=$A9)*(Data[SKU name_NHẬP_GOM]=AD$3)),SUMPRODUCT(Data[Nhập-SPC+SPP-NX]*(Data[Year]=AD$1)*(Data[Month]=AD$2)*(Data[Main SKU name_GOM]=$A9)*(Data[SKU name_NHẬP_GOM]=AD$3)))</f>
        <v>0</v>
      </c>
      <c r="AE9" s="8" cm="1">
        <f t="array" ref="AE9">IF(AE$2="FY",SUMPRODUCT(Data[Nhập-SPC+SPP-NX]*(Data[Year]=AE$1)*(Data[Main SKU name_GOM]=$A9)*(Data[SKU name_NHẬP_GOM]=AE$3)),SUMPRODUCT(Data[Nhập-SPC+SPP-NX]*(Data[Year]=AE$1)*(Data[Month]=AE$2)*(Data[Main SKU name_GOM]=$A9)*(Data[SKU name_NHẬP_GOM]=AE$3)))</f>
        <v>0</v>
      </c>
      <c r="AF9" s="8" cm="1">
        <f t="array" ref="AF9">IF(AF$2="FY",SUMPRODUCT(Data[Nhập-SPC+SPP-NX]*(Data[Year]=AF$1)*(Data[Main SKU name_GOM]=$A9)*(Data[SKU name_NHẬP_GOM]=AF$3)),SUMPRODUCT(Data[Nhập-SPC+SPP-NX]*(Data[Year]=AF$1)*(Data[Month]=AF$2)*(Data[Main SKU name_GOM]=$A9)*(Data[SKU name_NHẬP_GOM]=AF$3)))</f>
        <v>5500</v>
      </c>
      <c r="AG9" s="8" cm="1">
        <f t="array" ref="AG9">IF(AG$2="FY",SUMPRODUCT(Data[Nhập-SPC+SPP-NX]*(Data[Year]=AG$1)*(Data[Main SKU name_GOM]=$A9)*(Data[SKU name_NHẬP_GOM]=AG$3)),SUMPRODUCT(Data[Nhập-SPC+SPP-NX]*(Data[Year]=AG$1)*(Data[Month]=AG$2)*(Data[Main SKU name_GOM]=$A9)*(Data[SKU name_NHẬP_GOM]=AG$3)))</f>
        <v>0</v>
      </c>
      <c r="AH9" s="8" cm="1">
        <f t="array" ref="AH9">IF(AH$2="FY",SUMPRODUCT(Data[Nhập-SPC+SPP-NX]*(Data[Year]=AH$1)*(Data[Main SKU name_GOM]=$A9)*(Data[SKU name_NHẬP_GOM]=AH$3)),SUMPRODUCT(Data[Nhập-SPC+SPP-NX]*(Data[Year]=AH$1)*(Data[Month]=AH$2)*(Data[Main SKU name_GOM]=$A9)*(Data[SKU name_NHẬP_GOM]=AH$3)))</f>
        <v>0</v>
      </c>
      <c r="AI9" s="8" cm="1">
        <f t="array" ref="AI9">IF(AI$2="FY",SUMPRODUCT(Data[Nhập-SPC+SPP-NX]*(Data[Year]=AI$1)*(Data[Main SKU name_GOM]=$A9)*(Data[SKU name_NHẬP_GOM]=AI$3)),SUMPRODUCT(Data[Nhập-SPC+SPP-NX]*(Data[Year]=AI$1)*(Data[Month]=AI$2)*(Data[Main SKU name_GOM]=$A9)*(Data[SKU name_NHẬP_GOM]=AI$3)))</f>
        <v>0</v>
      </c>
      <c r="AJ9" s="8" cm="1">
        <f t="array" ref="AJ9">IF(AJ$2="FY",SUMPRODUCT(Data[Nhập-SPC+SPP-NX]*(Data[Year]=AJ$1)*(Data[Main SKU name_GOM]=$A9)*(Data[SKU name_NHẬP_GOM]=AJ$3)),SUMPRODUCT(Data[Nhập-SPC+SPP-NX]*(Data[Year]=AJ$1)*(Data[Month]=AJ$2)*(Data[Main SKU name_GOM]=$A9)*(Data[SKU name_NHẬP_GOM]=AJ$3)))</f>
        <v>2200</v>
      </c>
      <c r="AK9" s="8" cm="1">
        <f t="array" ref="AK9">IF(AK$2="FY",SUMPRODUCT(Data[Nhập-SPC+SPP-NX]*(Data[Year]=AK$1)*(Data[Main SKU name_GOM]=$A9)*(Data[SKU name_NHẬP_GOM]=AK$3)),SUMPRODUCT(Data[Nhập-SPC+SPP-NX]*(Data[Year]=AK$1)*(Data[Month]=AK$2)*(Data[Main SKU name_GOM]=$A9)*(Data[SKU name_NHẬP_GOM]=AK$3)))</f>
        <v>0</v>
      </c>
      <c r="AL9" s="8">
        <f t="shared" si="2"/>
        <v>7700</v>
      </c>
      <c r="AN9" s="8" cm="1">
        <f t="array" ref="AN9">IF(AN$2="FY",SUMPRODUCT(Data[Nhập-SPC+SPP-NX]*(Data[Year]=AN$1)*(Data[Main SKU name_GOM]=$A9)*(Data[SKU name_NHẬP_GOM]=AN$3)),SUMPRODUCT(Data[Nhập-SPC+SPP-NX]*(Data[Year]=AN$1)*(Data[Month]=AN$2)*(Data[Main SKU name_GOM]=$A9)*(Data[SKU name_NHẬP_GOM]=AN$3)))</f>
        <v>0</v>
      </c>
      <c r="AO9" s="8" cm="1">
        <f t="array" ref="AO9">IF(AO$2="FY",SUMPRODUCT(Data[Nhập-SPC+SPP-NX]*(Data[Year]=AO$1)*(Data[Main SKU name_GOM]=$A9)*(Data[SKU name_NHẬP_GOM]=AO$3)),SUMPRODUCT(Data[Nhập-SPC+SPP-NX]*(Data[Year]=AO$1)*(Data[Month]=AO$2)*(Data[Main SKU name_GOM]=$A9)*(Data[SKU name_NHẬP_GOM]=AO$3)))</f>
        <v>0</v>
      </c>
      <c r="AP9" s="8" cm="1">
        <f t="array" ref="AP9">IF(AP$2="FY",SUMPRODUCT(Data[Nhập-SPC+SPP-NX]*(Data[Year]=AP$1)*(Data[Main SKU name_GOM]=$A9)*(Data[SKU name_NHẬP_GOM]=AP$3)),SUMPRODUCT(Data[Nhập-SPC+SPP-NX]*(Data[Year]=AP$1)*(Data[Month]=AP$2)*(Data[Main SKU name_GOM]=$A9)*(Data[SKU name_NHẬP_GOM]=AP$3)))</f>
        <v>0</v>
      </c>
      <c r="AQ9" s="8" cm="1">
        <f t="array" ref="AQ9">IF(AQ$2="FY",SUMPRODUCT(Data[Nhập-SPC+SPP-NX]*(Data[Year]=AQ$1)*(Data[Main SKU name_GOM]=$A9)*(Data[SKU name_NHẬP_GOM]=AQ$3)),SUMPRODUCT(Data[Nhập-SPC+SPP-NX]*(Data[Year]=AQ$1)*(Data[Month]=AQ$2)*(Data[Main SKU name_GOM]=$A9)*(Data[SKU name_NHẬP_GOM]=AQ$3)))</f>
        <v>0</v>
      </c>
      <c r="AR9" s="8" cm="1">
        <f t="array" ref="AR9">IF(AR$2="FY",SUMPRODUCT(Data[Nhập-SPC+SPP-NX]*(Data[Year]=AR$1)*(Data[Main SKU name_GOM]=$A9)*(Data[SKU name_NHẬP_GOM]=AR$3)),SUMPRODUCT(Data[Nhập-SPC+SPP-NX]*(Data[Year]=AR$1)*(Data[Month]=AR$2)*(Data[Main SKU name_GOM]=$A9)*(Data[SKU name_NHẬP_GOM]=AR$3)))</f>
        <v>379500</v>
      </c>
      <c r="AS9" s="8" cm="1">
        <f t="array" ref="AS9">IF(AS$2="FY",SUMPRODUCT(Data[Nhập-SPC+SPP-NX]*(Data[Year]=AS$1)*(Data[Main SKU name_GOM]=$A9)*(Data[SKU name_NHẬP_GOM]=AS$3)),SUMPRODUCT(Data[Nhập-SPC+SPP-NX]*(Data[Year]=AS$1)*(Data[Month]=AS$2)*(Data[Main SKU name_GOM]=$A9)*(Data[SKU name_NHẬP_GOM]=AS$3)))</f>
        <v>0</v>
      </c>
      <c r="AT9" s="8" cm="1">
        <f t="array" ref="AT9">IF(AT$2="FY",SUMPRODUCT(Data[Nhập-SPC+SPP-NX]*(Data[Year]=AT$1)*(Data[Main SKU name_GOM]=$A9)*(Data[SKU name_NHẬP_GOM]=AT$3)),SUMPRODUCT(Data[Nhập-SPC+SPP-NX]*(Data[Year]=AT$1)*(Data[Month]=AT$2)*(Data[Main SKU name_GOM]=$A9)*(Data[SKU name_NHẬP_GOM]=AT$3)))</f>
        <v>0</v>
      </c>
      <c r="AU9" s="8" cm="1">
        <f t="array" ref="AU9">IF(AU$2="FY",SUMPRODUCT(Data[Nhập-SPC+SPP-NX]*(Data[Year]=AU$1)*(Data[Main SKU name_GOM]=$A9)*(Data[SKU name_NHẬP_GOM]=AU$3)),SUMPRODUCT(Data[Nhập-SPC+SPP-NX]*(Data[Year]=AU$1)*(Data[Month]=AU$2)*(Data[Main SKU name_GOM]=$A9)*(Data[SKU name_NHẬP_GOM]=AU$3)))</f>
        <v>0</v>
      </c>
      <c r="AV9" s="8" cm="1">
        <f t="array" ref="AV9">IF(AV$2="FY",SUMPRODUCT(Data[Nhập-SPC+SPP-NX]*(Data[Year]=AV$1)*(Data[Main SKU name_GOM]=$A9)*(Data[SKU name_NHẬP_GOM]=AV$3)),SUMPRODUCT(Data[Nhập-SPC+SPP-NX]*(Data[Year]=AV$1)*(Data[Month]=AV$2)*(Data[Main SKU name_GOM]=$A9)*(Data[SKU name_NHẬP_GOM]=AV$3)))</f>
        <v>0</v>
      </c>
      <c r="AW9" s="8" cm="1">
        <f t="array" ref="AW9">IF(AW$2="FY",SUMPRODUCT(Data[Nhập-SPC+SPP-NX]*(Data[Year]=AW$1)*(Data[Main SKU name_GOM]=$A9)*(Data[SKU name_NHẬP_GOM]=AW$3)),SUMPRODUCT(Data[Nhập-SPC+SPP-NX]*(Data[Year]=AW$1)*(Data[Month]=AW$2)*(Data[Main SKU name_GOM]=$A9)*(Data[SKU name_NHẬP_GOM]=AW$3)))</f>
        <v>0</v>
      </c>
      <c r="AX9" s="8">
        <f t="shared" si="3"/>
        <v>379500</v>
      </c>
      <c r="AZ9" s="8" cm="1">
        <f t="array" ref="AZ9">IF(AZ$2="FY",SUMPRODUCT(Data[Nhập-SPC+SPP-NX]*(Data[Year]=AZ$1)*(Data[Main SKU name_GOM]=$A9)*(Data[SKU name_NHẬP_GOM]=AZ$3)),SUMPRODUCT(Data[Nhập-SPC+SPP-NX]*(Data[Year]=AZ$1)*(Data[Month]=AZ$2)*(Data[Main SKU name_GOM]=$A9)*(Data[SKU name_NHẬP_GOM]=AZ$3)))</f>
        <v>0</v>
      </c>
      <c r="BA9" s="8" cm="1">
        <f t="array" ref="BA9">IF(BA$2="FY",SUMPRODUCT(Data[Nhập-SPC+SPP-NX]*(Data[Year]=BA$1)*(Data[Main SKU name_GOM]=$A9)*(Data[SKU name_NHẬP_GOM]=BA$3)),SUMPRODUCT(Data[Nhập-SPC+SPP-NX]*(Data[Year]=BA$1)*(Data[Month]=BA$2)*(Data[Main SKU name_GOM]=$A9)*(Data[SKU name_NHẬP_GOM]=BA$3)))</f>
        <v>0</v>
      </c>
      <c r="BB9" s="8" cm="1">
        <f t="array" ref="BB9">IF(BB$2="FY",SUMPRODUCT(Data[Nhập-SPC+SPP-NX]*(Data[Year]=BB$1)*(Data[Main SKU name_GOM]=$A9)*(Data[SKU name_NHẬP_GOM]=BB$3)),SUMPRODUCT(Data[Nhập-SPC+SPP-NX]*(Data[Year]=BB$1)*(Data[Month]=BB$2)*(Data[Main SKU name_GOM]=$A9)*(Data[SKU name_NHẬP_GOM]=BB$3)))</f>
        <v>0</v>
      </c>
      <c r="BC9" s="8" cm="1">
        <f t="array" ref="BC9">IF(BC$2="FY",SUMPRODUCT(Data[Nhập-SPC+SPP-NX]*(Data[Year]=BC$1)*(Data[Main SKU name_GOM]=$A9)*(Data[SKU name_NHẬP_GOM]=BC$3)),SUMPRODUCT(Data[Nhập-SPC+SPP-NX]*(Data[Year]=BC$1)*(Data[Month]=BC$2)*(Data[Main SKU name_GOM]=$A9)*(Data[SKU name_NHẬP_GOM]=BC$3)))</f>
        <v>0</v>
      </c>
      <c r="BD9" s="8" cm="1">
        <f t="array" ref="BD9">IF(BD$2="FY",SUMPRODUCT(Data[Nhập-SPC+SPP-NX]*(Data[Year]=BD$1)*(Data[Main SKU name_GOM]=$A9)*(Data[SKU name_NHẬP_GOM]=BD$3)),SUMPRODUCT(Data[Nhập-SPC+SPP-NX]*(Data[Year]=BD$1)*(Data[Month]=BD$2)*(Data[Main SKU name_GOM]=$A9)*(Data[SKU name_NHẬP_GOM]=BD$3)))</f>
        <v>88000</v>
      </c>
      <c r="BE9" s="8" cm="1">
        <f t="array" ref="BE9">IF(BE$2="FY",SUMPRODUCT(Data[Nhập-SPC+SPP-NX]*(Data[Year]=BE$1)*(Data[Main SKU name_GOM]=$A9)*(Data[SKU name_NHẬP_GOM]=BE$3)),SUMPRODUCT(Data[Nhập-SPC+SPP-NX]*(Data[Year]=BE$1)*(Data[Month]=BE$2)*(Data[Main SKU name_GOM]=$A9)*(Data[SKU name_NHẬP_GOM]=BE$3)))</f>
        <v>0</v>
      </c>
      <c r="BF9" s="8" cm="1">
        <f t="array" ref="BF9">IF(BF$2="FY",SUMPRODUCT(Data[Nhập-SPC+SPP-NX]*(Data[Year]=BF$1)*(Data[Main SKU name_GOM]=$A9)*(Data[SKU name_NHẬP_GOM]=BF$3)),SUMPRODUCT(Data[Nhập-SPC+SPP-NX]*(Data[Year]=BF$1)*(Data[Month]=BF$2)*(Data[Main SKU name_GOM]=$A9)*(Data[SKU name_NHẬP_GOM]=BF$3)))</f>
        <v>0</v>
      </c>
      <c r="BG9" s="8" cm="1">
        <f t="array" ref="BG9">IF(BG$2="FY",SUMPRODUCT(Data[Nhập-SPC+SPP-NX]*(Data[Year]=BG$1)*(Data[Main SKU name_GOM]=$A9)*(Data[SKU name_NHẬP_GOM]=BG$3)),SUMPRODUCT(Data[Nhập-SPC+SPP-NX]*(Data[Year]=BG$1)*(Data[Month]=BG$2)*(Data[Main SKU name_GOM]=$A9)*(Data[SKU name_NHẬP_GOM]=BG$3)))</f>
        <v>0</v>
      </c>
      <c r="BH9" s="8" cm="1">
        <f t="array" ref="BH9">IF(BH$2="FY",SUMPRODUCT(Data[Nhập-SPC+SPP-NX]*(Data[Year]=BH$1)*(Data[Main SKU name_GOM]=$A9)*(Data[SKU name_NHẬP_GOM]=BH$3)),SUMPRODUCT(Data[Nhập-SPC+SPP-NX]*(Data[Year]=BH$1)*(Data[Month]=BH$2)*(Data[Main SKU name_GOM]=$A9)*(Data[SKU name_NHẬP_GOM]=BH$3)))</f>
        <v>0</v>
      </c>
      <c r="BI9" s="8" cm="1">
        <f t="array" ref="BI9">IF(BI$2="FY",SUMPRODUCT(Data[Nhập-SPC+SPP-NX]*(Data[Year]=BI$1)*(Data[Main SKU name_GOM]=$A9)*(Data[SKU name_NHẬP_GOM]=BI$3)),SUMPRODUCT(Data[Nhập-SPC+SPP-NX]*(Data[Year]=BI$1)*(Data[Month]=BI$2)*(Data[Main SKU name_GOM]=$A9)*(Data[SKU name_NHẬP_GOM]=BI$3)))</f>
        <v>0</v>
      </c>
      <c r="BJ9" s="8">
        <f t="shared" si="4"/>
        <v>88000</v>
      </c>
      <c r="BL9" s="8" cm="1">
        <f t="array" ref="BL9">IF(BL$2="FY",SUMPRODUCT(Data[Nhập-SPC+SPP-NX]*(Data[Year]=BL$1)*(Data[Main SKU name_GOM]=$A9)*(Data[SKU name_NHẬP_GOM]=BL$3)),SUMPRODUCT(Data[Nhập-SPC+SPP-NX]*(Data[Year]=BL$1)*(Data[Month]=BL$2)*(Data[Main SKU name_GOM]=$A9)*(Data[SKU name_NHẬP_GOM]=BL$3)))</f>
        <v>0</v>
      </c>
      <c r="BM9" s="8" cm="1">
        <f t="array" ref="BM9">IF(BM$2="FY",SUMPRODUCT(Data[Nhập-SPC+SPP-NX]*(Data[Year]=BM$1)*(Data[Main SKU name_GOM]=$A9)*(Data[SKU name_NHẬP_GOM]=BM$3)),SUMPRODUCT(Data[Nhập-SPC+SPP-NX]*(Data[Year]=BM$1)*(Data[Month]=BM$2)*(Data[Main SKU name_GOM]=$A9)*(Data[SKU name_NHẬP_GOM]=BM$3)))</f>
        <v>0</v>
      </c>
      <c r="BN9" s="8" cm="1">
        <f t="array" ref="BN9">IF(BN$2="FY",SUMPRODUCT(Data[Nhập-SPC+SPP-NX]*(Data[Year]=BN$1)*(Data[Main SKU name_GOM]=$A9)*(Data[SKU name_NHẬP_GOM]=BN$3)),SUMPRODUCT(Data[Nhập-SPC+SPP-NX]*(Data[Year]=BN$1)*(Data[Month]=BN$2)*(Data[Main SKU name_GOM]=$A9)*(Data[SKU name_NHẬP_GOM]=BN$3)))</f>
        <v>0</v>
      </c>
      <c r="BO9" s="8" cm="1">
        <f t="array" ref="BO9">IF(BO$2="FY",SUMPRODUCT(Data[Nhập-SPC+SPP-NX]*(Data[Year]=BO$1)*(Data[Main SKU name_GOM]=$A9)*(Data[SKU name_NHẬP_GOM]=BO$3)),SUMPRODUCT(Data[Nhập-SPC+SPP-NX]*(Data[Year]=BO$1)*(Data[Month]=BO$2)*(Data[Main SKU name_GOM]=$A9)*(Data[SKU name_NHẬP_GOM]=BO$3)))</f>
        <v>0</v>
      </c>
      <c r="BP9" s="8" cm="1">
        <f t="array" ref="BP9">IF(BP$2="FY",SUMPRODUCT(Data[Nhập-SPC+SPP-NX]*(Data[Year]=BP$1)*(Data[Main SKU name_GOM]=$A9)*(Data[SKU name_NHẬP_GOM]=BP$3)),SUMPRODUCT(Data[Nhập-SPC+SPP-NX]*(Data[Year]=BP$1)*(Data[Month]=BP$2)*(Data[Main SKU name_GOM]=$A9)*(Data[SKU name_NHẬP_GOM]=BP$3)))</f>
        <v>0</v>
      </c>
      <c r="BQ9" s="8" cm="1">
        <f t="array" ref="BQ9">IF(BQ$2="FY",SUMPRODUCT(Data[Nhập-SPC+SPP-NX]*(Data[Year]=BQ$1)*(Data[Main SKU name_GOM]=$A9)*(Data[SKU name_NHẬP_GOM]=BQ$3)),SUMPRODUCT(Data[Nhập-SPC+SPP-NX]*(Data[Year]=BQ$1)*(Data[Month]=BQ$2)*(Data[Main SKU name_GOM]=$A9)*(Data[SKU name_NHẬP_GOM]=BQ$3)))</f>
        <v>0</v>
      </c>
      <c r="BR9" s="8" cm="1">
        <f t="array" ref="BR9">IF(BR$2="FY",SUMPRODUCT(Data[Nhập-SPC+SPP-NX]*(Data[Year]=BR$1)*(Data[Main SKU name_GOM]=$A9)*(Data[SKU name_NHẬP_GOM]=BR$3)),SUMPRODUCT(Data[Nhập-SPC+SPP-NX]*(Data[Year]=BR$1)*(Data[Month]=BR$2)*(Data[Main SKU name_GOM]=$A9)*(Data[SKU name_NHẬP_GOM]=BR$3)))</f>
        <v>0</v>
      </c>
      <c r="BS9" s="8" cm="1">
        <f t="array" ref="BS9">IF(BS$2="FY",SUMPRODUCT(Data[Nhập-SPC+SPP-NX]*(Data[Year]=BS$1)*(Data[Main SKU name_GOM]=$A9)*(Data[SKU name_NHẬP_GOM]=BS$3)),SUMPRODUCT(Data[Nhập-SPC+SPP-NX]*(Data[Year]=BS$1)*(Data[Month]=BS$2)*(Data[Main SKU name_GOM]=$A9)*(Data[SKU name_NHẬP_GOM]=BS$3)))</f>
        <v>0</v>
      </c>
      <c r="BT9" s="8" cm="1">
        <f t="array" ref="BT9">IF(BT$2="FY",SUMPRODUCT(Data[Nhập-SPC+SPP-NX]*(Data[Year]=BT$1)*(Data[Main SKU name_GOM]=$A9)*(Data[SKU name_NHẬP_GOM]=BT$3)),SUMPRODUCT(Data[Nhập-SPC+SPP-NX]*(Data[Year]=BT$1)*(Data[Month]=BT$2)*(Data[Main SKU name_GOM]=$A9)*(Data[SKU name_NHẬP_GOM]=BT$3)))</f>
        <v>0</v>
      </c>
      <c r="BU9" s="8" cm="1">
        <f t="array" ref="BU9">IF(BU$2="FY",SUMPRODUCT(Data[Nhập-SPC+SPP-NX]*(Data[Year]=BU$1)*(Data[Main SKU name_GOM]=$A9)*(Data[SKU name_NHẬP_GOM]=BU$3)),SUMPRODUCT(Data[Nhập-SPC+SPP-NX]*(Data[Year]=BU$1)*(Data[Month]=BU$2)*(Data[Main SKU name_GOM]=$A9)*(Data[SKU name_NHẬP_GOM]=BU$3)))</f>
        <v>0</v>
      </c>
      <c r="BV9" s="8">
        <f t="shared" si="5"/>
        <v>0</v>
      </c>
      <c r="BX9" s="8" cm="1">
        <f t="array" ref="BX9">IF(BX$2="FY",SUMPRODUCT(Data[Nhập-SPC+SPP-NX]*(Data[Year]=BX$1)*(Data[Main SKU name_GOM]=$A9)*(Data[SKU name_NHẬP_GOM]=BX$3)),SUMPRODUCT(Data[Nhập-SPC+SPP-NX]*(Data[Year]=BX$1)*(Data[Month]=BX$2)*(Data[Main SKU name_GOM]=$A9)*(Data[SKU name_NHẬP_GOM]=BX$3)))</f>
        <v>0</v>
      </c>
      <c r="BY9" s="8" cm="1">
        <f t="array" ref="BY9">IF(BY$2="FY",SUMPRODUCT(Data[Nhập-SPC+SPP-NX]*(Data[Year]=BY$1)*(Data[Main SKU name_GOM]=$A9)*(Data[SKU name_NHẬP_GOM]=BY$3)),SUMPRODUCT(Data[Nhập-SPC+SPP-NX]*(Data[Year]=BY$1)*(Data[Month]=BY$2)*(Data[Main SKU name_GOM]=$A9)*(Data[SKU name_NHẬP_GOM]=BY$3)))</f>
        <v>0</v>
      </c>
      <c r="BZ9" s="8" cm="1">
        <f t="array" ref="BZ9">IF(BZ$2="FY",SUMPRODUCT(Data[Nhập-SPC+SPP-NX]*(Data[Year]=BZ$1)*(Data[Main SKU name_GOM]=$A9)*(Data[SKU name_NHẬP_GOM]=BZ$3)),SUMPRODUCT(Data[Nhập-SPC+SPP-NX]*(Data[Year]=BZ$1)*(Data[Month]=BZ$2)*(Data[Main SKU name_GOM]=$A9)*(Data[SKU name_NHẬP_GOM]=BZ$3)))</f>
        <v>0</v>
      </c>
      <c r="CA9" s="8" cm="1">
        <f t="array" ref="CA9">IF(CA$2="FY",SUMPRODUCT(Data[Nhập-SPC+SPP-NX]*(Data[Year]=CA$1)*(Data[Main SKU name_GOM]=$A9)*(Data[SKU name_NHẬP_GOM]=CA$3)),SUMPRODUCT(Data[Nhập-SPC+SPP-NX]*(Data[Year]=CA$1)*(Data[Month]=CA$2)*(Data[Main SKU name_GOM]=$A9)*(Data[SKU name_NHẬP_GOM]=CA$3)))</f>
        <v>0</v>
      </c>
      <c r="CB9" s="8" cm="1">
        <f t="array" ref="CB9">IF(CB$2="FY",SUMPRODUCT(Data[Nhập-SPC+SPP-NX]*(Data[Year]=CB$1)*(Data[Main SKU name_GOM]=$A9)*(Data[SKU name_NHẬP_GOM]=CB$3)),SUMPRODUCT(Data[Nhập-SPC+SPP-NX]*(Data[Year]=CB$1)*(Data[Month]=CB$2)*(Data[Main SKU name_GOM]=$A9)*(Data[SKU name_NHẬP_GOM]=CB$3)))</f>
        <v>0</v>
      </c>
      <c r="CC9" s="8" cm="1">
        <f t="array" ref="CC9">IF(CC$2="FY",SUMPRODUCT(Data[Nhập-SPC+SPP-NX]*(Data[Year]=CC$1)*(Data[Main SKU name_GOM]=$A9)*(Data[SKU name_NHẬP_GOM]=CC$3)),SUMPRODUCT(Data[Nhập-SPC+SPP-NX]*(Data[Year]=CC$1)*(Data[Month]=CC$2)*(Data[Main SKU name_GOM]=$A9)*(Data[SKU name_NHẬP_GOM]=CC$3)))</f>
        <v>0</v>
      </c>
      <c r="CD9" s="8" cm="1">
        <f t="array" ref="CD9">IF(CD$2="FY",SUMPRODUCT(Data[Nhập-SPC+SPP-NX]*(Data[Year]=CD$1)*(Data[Main SKU name_GOM]=$A9)*(Data[SKU name_NHẬP_GOM]=CD$3)),SUMPRODUCT(Data[Nhập-SPC+SPP-NX]*(Data[Year]=CD$1)*(Data[Month]=CD$2)*(Data[Main SKU name_GOM]=$A9)*(Data[SKU name_NHẬP_GOM]=CD$3)))</f>
        <v>0</v>
      </c>
      <c r="CE9" s="8" cm="1">
        <f t="array" ref="CE9">IF(CE$2="FY",SUMPRODUCT(Data[Nhập-SPC+SPP-NX]*(Data[Year]=CE$1)*(Data[Main SKU name_GOM]=$A9)*(Data[SKU name_NHẬP_GOM]=CE$3)),SUMPRODUCT(Data[Nhập-SPC+SPP-NX]*(Data[Year]=CE$1)*(Data[Month]=CE$2)*(Data[Main SKU name_GOM]=$A9)*(Data[SKU name_NHẬP_GOM]=CE$3)))</f>
        <v>0</v>
      </c>
      <c r="CF9" s="8" cm="1">
        <f t="array" ref="CF9">IF(CF$2="FY",SUMPRODUCT(Data[Nhập-SPC+SPP-NX]*(Data[Year]=CF$1)*(Data[Main SKU name_GOM]=$A9)*(Data[SKU name_NHẬP_GOM]=CF$3)),SUMPRODUCT(Data[Nhập-SPC+SPP-NX]*(Data[Year]=CF$1)*(Data[Month]=CF$2)*(Data[Main SKU name_GOM]=$A9)*(Data[SKU name_NHẬP_GOM]=CF$3)))</f>
        <v>0</v>
      </c>
      <c r="CG9" s="8" cm="1">
        <f t="array" ref="CG9">IF(CG$2="FY",SUMPRODUCT(Data[Nhập-SPC+SPP-NX]*(Data[Year]=CG$1)*(Data[Main SKU name_GOM]=$A9)*(Data[SKU name_NHẬP_GOM]=CG$3)),SUMPRODUCT(Data[Nhập-SPC+SPP-NX]*(Data[Year]=CG$1)*(Data[Month]=CG$2)*(Data[Main SKU name_GOM]=$A9)*(Data[SKU name_NHẬP_GOM]=CG$3)))</f>
        <v>0</v>
      </c>
      <c r="CH9" s="8">
        <f t="shared" si="6"/>
        <v>0</v>
      </c>
      <c r="CJ9" s="8" cm="1">
        <f t="array" ref="CJ9">IF(CJ$2="FY",SUMPRODUCT(Data[Nhập-SPC+SPP-NX]*(Data[Year]=CJ$1)*(Data[Main SKU name_GOM]=$A9)*(Data[SKU name_NHẬP_GOM]=CJ$3)),SUMPRODUCT(Data[Nhập-SPC+SPP-NX]*(Data[Year]=CJ$1)*(Data[Month]=CJ$2)*(Data[Main SKU name_GOM]=$A9)*(Data[SKU name_NHẬP_GOM]=CJ$3)))</f>
        <v>0</v>
      </c>
      <c r="CK9" s="8" cm="1">
        <f t="array" ref="CK9">IF(CK$2="FY",SUMPRODUCT(Data[Nhập-SPC+SPP-NX]*(Data[Year]=CK$1)*(Data[Main SKU name_GOM]=$A9)*(Data[SKU name_NHẬP_GOM]=CK$3)),SUMPRODUCT(Data[Nhập-SPC+SPP-NX]*(Data[Year]=CK$1)*(Data[Month]=CK$2)*(Data[Main SKU name_GOM]=$A9)*(Data[SKU name_NHẬP_GOM]=CK$3)))</f>
        <v>0</v>
      </c>
      <c r="CL9" s="8" cm="1">
        <f t="array" ref="CL9">IF(CL$2="FY",SUMPRODUCT(Data[Nhập-SPC+SPP-NX]*(Data[Year]=CL$1)*(Data[Main SKU name_GOM]=$A9)*(Data[SKU name_NHẬP_GOM]=CL$3)),SUMPRODUCT(Data[Nhập-SPC+SPP-NX]*(Data[Year]=CL$1)*(Data[Month]=CL$2)*(Data[Main SKU name_GOM]=$A9)*(Data[SKU name_NHẬP_GOM]=CL$3)))</f>
        <v>0</v>
      </c>
      <c r="CM9" s="8" cm="1">
        <f t="array" ref="CM9">IF(CM$2="FY",SUMPRODUCT(Data[Nhập-SPC+SPP-NX]*(Data[Year]=CM$1)*(Data[Main SKU name_GOM]=$A9)*(Data[SKU name_NHẬP_GOM]=CM$3)),SUMPRODUCT(Data[Nhập-SPC+SPP-NX]*(Data[Year]=CM$1)*(Data[Month]=CM$2)*(Data[Main SKU name_GOM]=$A9)*(Data[SKU name_NHẬP_GOM]=CM$3)))</f>
        <v>0</v>
      </c>
      <c r="CN9" s="8" cm="1">
        <f t="array" ref="CN9">IF(CN$2="FY",SUMPRODUCT(Data[Nhập-SPC+SPP-NX]*(Data[Year]=CN$1)*(Data[Main SKU name_GOM]=$A9)*(Data[SKU name_NHẬP_GOM]=CN$3)),SUMPRODUCT(Data[Nhập-SPC+SPP-NX]*(Data[Year]=CN$1)*(Data[Month]=CN$2)*(Data[Main SKU name_GOM]=$A9)*(Data[SKU name_NHẬP_GOM]=CN$3)))</f>
        <v>0</v>
      </c>
      <c r="CO9" s="8" cm="1">
        <f t="array" ref="CO9">IF(CO$2="FY",SUMPRODUCT(Data[Nhập-SPC+SPP-NX]*(Data[Year]=CO$1)*(Data[Main SKU name_GOM]=$A9)*(Data[SKU name_NHẬP_GOM]=CO$3)),SUMPRODUCT(Data[Nhập-SPC+SPP-NX]*(Data[Year]=CO$1)*(Data[Month]=CO$2)*(Data[Main SKU name_GOM]=$A9)*(Data[SKU name_NHẬP_GOM]=CO$3)))</f>
        <v>0</v>
      </c>
      <c r="CP9" s="8" cm="1">
        <f t="array" ref="CP9">IF(CP$2="FY",SUMPRODUCT(Data[Nhập-SPC+SPP-NX]*(Data[Year]=CP$1)*(Data[Main SKU name_GOM]=$A9)*(Data[SKU name_NHẬP_GOM]=CP$3)),SUMPRODUCT(Data[Nhập-SPC+SPP-NX]*(Data[Year]=CP$1)*(Data[Month]=CP$2)*(Data[Main SKU name_GOM]=$A9)*(Data[SKU name_NHẬP_GOM]=CP$3)))</f>
        <v>0</v>
      </c>
      <c r="CQ9" s="8" cm="1">
        <f t="array" ref="CQ9">IF(CQ$2="FY",SUMPRODUCT(Data[Nhập-SPC+SPP-NX]*(Data[Year]=CQ$1)*(Data[Main SKU name_GOM]=$A9)*(Data[SKU name_NHẬP_GOM]=CQ$3)),SUMPRODUCT(Data[Nhập-SPC+SPP-NX]*(Data[Year]=CQ$1)*(Data[Month]=CQ$2)*(Data[Main SKU name_GOM]=$A9)*(Data[SKU name_NHẬP_GOM]=CQ$3)))</f>
        <v>0</v>
      </c>
      <c r="CR9" s="8" cm="1">
        <f t="array" ref="CR9">IF(CR$2="FY",SUMPRODUCT(Data[Nhập-SPC+SPP-NX]*(Data[Year]=CR$1)*(Data[Main SKU name_GOM]=$A9)*(Data[SKU name_NHẬP_GOM]=CR$3)),SUMPRODUCT(Data[Nhập-SPC+SPP-NX]*(Data[Year]=CR$1)*(Data[Month]=CR$2)*(Data[Main SKU name_GOM]=$A9)*(Data[SKU name_NHẬP_GOM]=CR$3)))</f>
        <v>0</v>
      </c>
      <c r="CS9" s="8" cm="1">
        <f t="array" ref="CS9">IF(CS$2="FY",SUMPRODUCT(Data[Nhập-SPC+SPP-NX]*(Data[Year]=CS$1)*(Data[Main SKU name_GOM]=$A9)*(Data[SKU name_NHẬP_GOM]=CS$3)),SUMPRODUCT(Data[Nhập-SPC+SPP-NX]*(Data[Year]=CS$1)*(Data[Month]=CS$2)*(Data[Main SKU name_GOM]=$A9)*(Data[SKU name_NHẬP_GOM]=CS$3)))</f>
        <v>0</v>
      </c>
      <c r="CT9" s="8">
        <f t="shared" si="7"/>
        <v>0</v>
      </c>
      <c r="CV9" s="8" cm="1">
        <f t="array" ref="CV9">IF(CV$2="FY",SUMPRODUCT(Data[Nhập-SPC+SPP-NX]*(Data[Year]=CV$1)*(Data[Main SKU name_GOM]=$A9)*(Data[SKU name_NHẬP_GOM]=CV$3)),SUMPRODUCT(Data[Nhập-SPC+SPP-NX]*(Data[Year]=CV$1)*(Data[Month]=CV$2)*(Data[Main SKU name_GOM]=$A9)*(Data[SKU name_NHẬP_GOM]=CV$3)))</f>
        <v>0</v>
      </c>
      <c r="CW9" s="8" cm="1">
        <f t="array" ref="CW9">IF(CW$2="FY",SUMPRODUCT(Data[Nhập-SPC+SPP-NX]*(Data[Year]=CW$1)*(Data[Main SKU name_GOM]=$A9)*(Data[SKU name_NHẬP_GOM]=CW$3)),SUMPRODUCT(Data[Nhập-SPC+SPP-NX]*(Data[Year]=CW$1)*(Data[Month]=CW$2)*(Data[Main SKU name_GOM]=$A9)*(Data[SKU name_NHẬP_GOM]=CW$3)))</f>
        <v>0</v>
      </c>
      <c r="CX9" s="8" cm="1">
        <f t="array" ref="CX9">IF(CX$2="FY",SUMPRODUCT(Data[Nhập-SPC+SPP-NX]*(Data[Year]=CX$1)*(Data[Main SKU name_GOM]=$A9)*(Data[SKU name_NHẬP_GOM]=CX$3)),SUMPRODUCT(Data[Nhập-SPC+SPP-NX]*(Data[Year]=CX$1)*(Data[Month]=CX$2)*(Data[Main SKU name_GOM]=$A9)*(Data[SKU name_NHẬP_GOM]=CX$3)))</f>
        <v>0</v>
      </c>
      <c r="CY9" s="8" cm="1">
        <f t="array" ref="CY9">IF(CY$2="FY",SUMPRODUCT(Data[Nhập-SPC+SPP-NX]*(Data[Year]=CY$1)*(Data[Main SKU name_GOM]=$A9)*(Data[SKU name_NHẬP_GOM]=CY$3)),SUMPRODUCT(Data[Nhập-SPC+SPP-NX]*(Data[Year]=CY$1)*(Data[Month]=CY$2)*(Data[Main SKU name_GOM]=$A9)*(Data[SKU name_NHẬP_GOM]=CY$3)))</f>
        <v>0</v>
      </c>
      <c r="CZ9" s="8" cm="1">
        <f t="array" ref="CZ9">IF(CZ$2="FY",SUMPRODUCT(Data[Nhập-SPC+SPP-NX]*(Data[Year]=CZ$1)*(Data[Main SKU name_GOM]=$A9)*(Data[SKU name_NHẬP_GOM]=CZ$3)),SUMPRODUCT(Data[Nhập-SPC+SPP-NX]*(Data[Year]=CZ$1)*(Data[Month]=CZ$2)*(Data[Main SKU name_GOM]=$A9)*(Data[SKU name_NHẬP_GOM]=CZ$3)))</f>
        <v>0</v>
      </c>
      <c r="DA9" s="8" cm="1">
        <f t="array" ref="DA9">IF(DA$2="FY",SUMPRODUCT(Data[Nhập-SPC+SPP-NX]*(Data[Year]=DA$1)*(Data[Main SKU name_GOM]=$A9)*(Data[SKU name_NHẬP_GOM]=DA$3)),SUMPRODUCT(Data[Nhập-SPC+SPP-NX]*(Data[Year]=DA$1)*(Data[Month]=DA$2)*(Data[Main SKU name_GOM]=$A9)*(Data[SKU name_NHẬP_GOM]=DA$3)))</f>
        <v>0</v>
      </c>
      <c r="DB9" s="8" cm="1">
        <f t="array" ref="DB9">IF(DB$2="FY",SUMPRODUCT(Data[Nhập-SPC+SPP-NX]*(Data[Year]=DB$1)*(Data[Main SKU name_GOM]=$A9)*(Data[SKU name_NHẬP_GOM]=DB$3)),SUMPRODUCT(Data[Nhập-SPC+SPP-NX]*(Data[Year]=DB$1)*(Data[Month]=DB$2)*(Data[Main SKU name_GOM]=$A9)*(Data[SKU name_NHẬP_GOM]=DB$3)))</f>
        <v>0</v>
      </c>
      <c r="DC9" s="8" cm="1">
        <f t="array" ref="DC9">IF(DC$2="FY",SUMPRODUCT(Data[Nhập-SPC+SPP-NX]*(Data[Year]=DC$1)*(Data[Main SKU name_GOM]=$A9)*(Data[SKU name_NHẬP_GOM]=DC$3)),SUMPRODUCT(Data[Nhập-SPC+SPP-NX]*(Data[Year]=DC$1)*(Data[Month]=DC$2)*(Data[Main SKU name_GOM]=$A9)*(Data[SKU name_NHẬP_GOM]=DC$3)))</f>
        <v>0</v>
      </c>
      <c r="DD9" s="8" cm="1">
        <f t="array" ref="DD9">IF(DD$2="FY",SUMPRODUCT(Data[Nhập-SPC+SPP-NX]*(Data[Year]=DD$1)*(Data[Main SKU name_GOM]=$A9)*(Data[SKU name_NHẬP_GOM]=DD$3)),SUMPRODUCT(Data[Nhập-SPC+SPP-NX]*(Data[Year]=DD$1)*(Data[Month]=DD$2)*(Data[Main SKU name_GOM]=$A9)*(Data[SKU name_NHẬP_GOM]=DD$3)))</f>
        <v>0</v>
      </c>
      <c r="DE9" s="8" cm="1">
        <f t="array" ref="DE9">IF(DE$2="FY",SUMPRODUCT(Data[Nhập-SPC+SPP-NX]*(Data[Year]=DE$1)*(Data[Main SKU name_GOM]=$A9)*(Data[SKU name_NHẬP_GOM]=DE$3)),SUMPRODUCT(Data[Nhập-SPC+SPP-NX]*(Data[Year]=DE$1)*(Data[Month]=DE$2)*(Data[Main SKU name_GOM]=$A9)*(Data[SKU name_NHẬP_GOM]=DE$3)))</f>
        <v>0</v>
      </c>
      <c r="DF9" s="8">
        <f t="shared" si="8"/>
        <v>0</v>
      </c>
      <c r="DH9" s="8" cm="1">
        <f t="array" ref="DH9">IF(DH$2="FY",SUMPRODUCT(Data[Nhập-SPC+SPP-NX]*(Data[Year]=DH$1)*(Data[Main SKU name_GOM]=$A9)*(Data[SKU name_NHẬP_GOM]=DH$3)),SUMPRODUCT(Data[Nhập-SPC+SPP-NX]*(Data[Year]=DH$1)*(Data[Month]=DH$2)*(Data[Main SKU name_GOM]=$A9)*(Data[SKU name_NHẬP_GOM]=DH$3)))</f>
        <v>0</v>
      </c>
      <c r="DI9" s="8" cm="1">
        <f t="array" ref="DI9">IF(DI$2="FY",SUMPRODUCT(Data[Nhập-SPC+SPP-NX]*(Data[Year]=DI$1)*(Data[Main SKU name_GOM]=$A9)*(Data[SKU name_NHẬP_GOM]=DI$3)),SUMPRODUCT(Data[Nhập-SPC+SPP-NX]*(Data[Year]=DI$1)*(Data[Month]=DI$2)*(Data[Main SKU name_GOM]=$A9)*(Data[SKU name_NHẬP_GOM]=DI$3)))</f>
        <v>0</v>
      </c>
      <c r="DJ9" s="8" cm="1">
        <f t="array" ref="DJ9">IF(DJ$2="FY",SUMPRODUCT(Data[Nhập-SPC+SPP-NX]*(Data[Year]=DJ$1)*(Data[Main SKU name_GOM]=$A9)*(Data[SKU name_NHẬP_GOM]=DJ$3)),SUMPRODUCT(Data[Nhập-SPC+SPP-NX]*(Data[Year]=DJ$1)*(Data[Month]=DJ$2)*(Data[Main SKU name_GOM]=$A9)*(Data[SKU name_NHẬP_GOM]=DJ$3)))</f>
        <v>0</v>
      </c>
      <c r="DK9" s="8" cm="1">
        <f t="array" ref="DK9">IF(DK$2="FY",SUMPRODUCT(Data[Nhập-SPC+SPP-NX]*(Data[Year]=DK$1)*(Data[Main SKU name_GOM]=$A9)*(Data[SKU name_NHẬP_GOM]=DK$3)),SUMPRODUCT(Data[Nhập-SPC+SPP-NX]*(Data[Year]=DK$1)*(Data[Month]=DK$2)*(Data[Main SKU name_GOM]=$A9)*(Data[SKU name_NHẬP_GOM]=DK$3)))</f>
        <v>0</v>
      </c>
      <c r="DL9" s="8" cm="1">
        <f t="array" ref="DL9">IF(DL$2="FY",SUMPRODUCT(Data[Nhập-SPC+SPP-NX]*(Data[Year]=DL$1)*(Data[Main SKU name_GOM]=$A9)*(Data[SKU name_NHẬP_GOM]=DL$3)),SUMPRODUCT(Data[Nhập-SPC+SPP-NX]*(Data[Year]=DL$1)*(Data[Month]=DL$2)*(Data[Main SKU name_GOM]=$A9)*(Data[SKU name_NHẬP_GOM]=DL$3)))</f>
        <v>157300</v>
      </c>
      <c r="DM9" s="8" cm="1">
        <f t="array" ref="DM9">IF(DM$2="FY",SUMPRODUCT(Data[Nhập-SPC+SPP-NX]*(Data[Year]=DM$1)*(Data[Main SKU name_GOM]=$A9)*(Data[SKU name_NHẬP_GOM]=DM$3)),SUMPRODUCT(Data[Nhập-SPC+SPP-NX]*(Data[Year]=DM$1)*(Data[Month]=DM$2)*(Data[Main SKU name_GOM]=$A9)*(Data[SKU name_NHẬP_GOM]=DM$3)))</f>
        <v>0</v>
      </c>
      <c r="DN9" s="8" cm="1">
        <f t="array" ref="DN9">IF(DN$2="FY",SUMPRODUCT(Data[Nhập-SPC+SPP-NX]*(Data[Year]=DN$1)*(Data[Main SKU name_GOM]=$A9)*(Data[SKU name_NHẬP_GOM]=DN$3)),SUMPRODUCT(Data[Nhập-SPC+SPP-NX]*(Data[Year]=DN$1)*(Data[Month]=DN$2)*(Data[Main SKU name_GOM]=$A9)*(Data[SKU name_NHẬP_GOM]=DN$3)))</f>
        <v>0</v>
      </c>
      <c r="DO9" s="8" cm="1">
        <f t="array" ref="DO9">IF(DO$2="FY",SUMPRODUCT(Data[Nhập-SPC+SPP-NX]*(Data[Year]=DO$1)*(Data[Main SKU name_GOM]=$A9)*(Data[SKU name_NHẬP_GOM]=DO$3)),SUMPRODUCT(Data[Nhập-SPC+SPP-NX]*(Data[Year]=DO$1)*(Data[Month]=DO$2)*(Data[Main SKU name_GOM]=$A9)*(Data[SKU name_NHẬP_GOM]=DO$3)))</f>
        <v>0</v>
      </c>
      <c r="DP9" s="8" cm="1">
        <f t="array" ref="DP9">IF(DP$2="FY",SUMPRODUCT(Data[Nhập-SPC+SPP-NX]*(Data[Year]=DP$1)*(Data[Main SKU name_GOM]=$A9)*(Data[SKU name_NHẬP_GOM]=DP$3)),SUMPRODUCT(Data[Nhập-SPC+SPP-NX]*(Data[Year]=DP$1)*(Data[Month]=DP$2)*(Data[Main SKU name_GOM]=$A9)*(Data[SKU name_NHẬP_GOM]=DP$3)))</f>
        <v>0</v>
      </c>
      <c r="DQ9" s="8" cm="1">
        <f t="array" ref="DQ9">IF(DQ$2="FY",SUMPRODUCT(Data[Nhập-SPC+SPP-NX]*(Data[Year]=DQ$1)*(Data[Main SKU name_GOM]=$A9)*(Data[SKU name_NHẬP_GOM]=DQ$3)),SUMPRODUCT(Data[Nhập-SPC+SPP-NX]*(Data[Year]=DQ$1)*(Data[Month]=DQ$2)*(Data[Main SKU name_GOM]=$A9)*(Data[SKU name_NHẬP_GOM]=DQ$3)))</f>
        <v>0</v>
      </c>
      <c r="DR9" s="8">
        <f t="shared" si="9"/>
        <v>157300</v>
      </c>
      <c r="DT9" s="8" cm="1">
        <f t="array" ref="DT9">IF(DT$2="FY",SUMPRODUCT(Data[Nhập-SPC+SPP-NX]*(Data[Year]=DT$1)*(Data[Main SKU name_GOM]=$A9)*(Data[SKU name_NHẬP_GOM]=DT$3)),SUMPRODUCT(Data[Nhập-SPC+SPP-NX]*(Data[Year]=DT$1)*(Data[Month]=DT$2)*(Data[Main SKU name_GOM]=$A9)*(Data[SKU name_NHẬP_GOM]=DT$3)))</f>
        <v>0</v>
      </c>
      <c r="DU9" s="8" cm="1">
        <f t="array" ref="DU9">IF(DU$2="FY",SUMPRODUCT(Data[Nhập-SPC+SPP-NX]*(Data[Year]=DU$1)*(Data[Main SKU name_GOM]=$A9)*(Data[SKU name_NHẬP_GOM]=DU$3)),SUMPRODUCT(Data[Nhập-SPC+SPP-NX]*(Data[Year]=DU$1)*(Data[Month]=DU$2)*(Data[Main SKU name_GOM]=$A9)*(Data[SKU name_NHẬP_GOM]=DU$3)))</f>
        <v>0</v>
      </c>
      <c r="DV9" s="8" cm="1">
        <f t="array" ref="DV9">IF(DV$2="FY",SUMPRODUCT(Data[Nhập-SPC+SPP-NX]*(Data[Year]=DV$1)*(Data[Main SKU name_GOM]=$A9)*(Data[SKU name_NHẬP_GOM]=DV$3)),SUMPRODUCT(Data[Nhập-SPC+SPP-NX]*(Data[Year]=DV$1)*(Data[Month]=DV$2)*(Data[Main SKU name_GOM]=$A9)*(Data[SKU name_NHẬP_GOM]=DV$3)))</f>
        <v>0</v>
      </c>
      <c r="DW9" s="8" cm="1">
        <f t="array" ref="DW9">IF(DW$2="FY",SUMPRODUCT(Data[Nhập-SPC+SPP-NX]*(Data[Year]=DW$1)*(Data[Main SKU name_GOM]=$A9)*(Data[SKU name_NHẬP_GOM]=DW$3)),SUMPRODUCT(Data[Nhập-SPC+SPP-NX]*(Data[Year]=DW$1)*(Data[Month]=DW$2)*(Data[Main SKU name_GOM]=$A9)*(Data[SKU name_NHẬP_GOM]=DW$3)))</f>
        <v>0</v>
      </c>
      <c r="DX9" s="8" cm="1">
        <f t="array" ref="DX9">IF(DX$2="FY",SUMPRODUCT(Data[Nhập-SPC+SPP-NX]*(Data[Year]=DX$1)*(Data[Main SKU name_GOM]=$A9)*(Data[SKU name_NHẬP_GOM]=DX$3)),SUMPRODUCT(Data[Nhập-SPC+SPP-NX]*(Data[Year]=DX$1)*(Data[Month]=DX$2)*(Data[Main SKU name_GOM]=$A9)*(Data[SKU name_NHẬP_GOM]=DX$3)))</f>
        <v>0</v>
      </c>
      <c r="DY9" s="8" cm="1">
        <f t="array" ref="DY9">IF(DY$2="FY",SUMPRODUCT(Data[Nhập-SPC+SPP-NX]*(Data[Year]=DY$1)*(Data[Main SKU name_GOM]=$A9)*(Data[SKU name_NHẬP_GOM]=DY$3)),SUMPRODUCT(Data[Nhập-SPC+SPP-NX]*(Data[Year]=DY$1)*(Data[Month]=DY$2)*(Data[Main SKU name_GOM]=$A9)*(Data[SKU name_NHẬP_GOM]=DY$3)))</f>
        <v>0</v>
      </c>
      <c r="DZ9" s="8" cm="1">
        <f t="array" ref="DZ9">IF(DZ$2="FY",SUMPRODUCT(Data[Nhập-SPC+SPP-NX]*(Data[Year]=DZ$1)*(Data[Main SKU name_GOM]=$A9)*(Data[SKU name_NHẬP_GOM]=DZ$3)),SUMPRODUCT(Data[Nhập-SPC+SPP-NX]*(Data[Year]=DZ$1)*(Data[Month]=DZ$2)*(Data[Main SKU name_GOM]=$A9)*(Data[SKU name_NHẬP_GOM]=DZ$3)))</f>
        <v>0</v>
      </c>
      <c r="EA9" s="8" cm="1">
        <f t="array" ref="EA9">IF(EA$2="FY",SUMPRODUCT(Data[Nhập-SPC+SPP-NX]*(Data[Year]=EA$1)*(Data[Main SKU name_GOM]=$A9)*(Data[SKU name_NHẬP_GOM]=EA$3)),SUMPRODUCT(Data[Nhập-SPC+SPP-NX]*(Data[Year]=EA$1)*(Data[Month]=EA$2)*(Data[Main SKU name_GOM]=$A9)*(Data[SKU name_NHẬP_GOM]=EA$3)))</f>
        <v>0</v>
      </c>
      <c r="EB9" s="8" cm="1">
        <f t="array" ref="EB9">IF(EB$2="FY",SUMPRODUCT(Data[Nhập-SPC+SPP-NX]*(Data[Year]=EB$1)*(Data[Main SKU name_GOM]=$A9)*(Data[SKU name_NHẬP_GOM]=EB$3)),SUMPRODUCT(Data[Nhập-SPC+SPP-NX]*(Data[Year]=EB$1)*(Data[Month]=EB$2)*(Data[Main SKU name_GOM]=$A9)*(Data[SKU name_NHẬP_GOM]=EB$3)))</f>
        <v>33000</v>
      </c>
      <c r="EC9" s="8" cm="1">
        <f t="array" ref="EC9">IF(EC$2="FY",SUMPRODUCT(Data[Nhập-SPC+SPP-NX]*(Data[Year]=EC$1)*(Data[Main SKU name_GOM]=$A9)*(Data[SKU name_NHẬP_GOM]=EC$3)),SUMPRODUCT(Data[Nhập-SPC+SPP-NX]*(Data[Year]=EC$1)*(Data[Month]=EC$2)*(Data[Main SKU name_GOM]=$A9)*(Data[SKU name_NHẬP_GOM]=EC$3)))</f>
        <v>0</v>
      </c>
      <c r="ED9" s="8">
        <f t="shared" si="10"/>
        <v>33000</v>
      </c>
      <c r="EF9" s="8" cm="1">
        <f t="array" ref="EF9">IF(EF$2="FY",SUMPRODUCT(Data[Nhập-SPC+SPP-NX]*(Data[Year]=EF$1)*(Data[Main SKU name_GOM]=$A9)*(Data[SKU name_NHẬP_GOM]=EF$3)),SUMPRODUCT(Data[Nhập-SPC+SPP-NX]*(Data[Year]=EF$1)*(Data[Month]=EF$2)*(Data[Main SKU name_GOM]=$A9)*(Data[SKU name_NHẬP_GOM]=EF$3)))</f>
        <v>0</v>
      </c>
      <c r="EG9" s="8" cm="1">
        <f t="array" ref="EG9">IF(EG$2="FY",SUMPRODUCT(Data[Nhập-SPC+SPP-NX]*(Data[Year]=EG$1)*(Data[Main SKU name_GOM]=$A9)*(Data[SKU name_NHẬP_GOM]=EG$3)),SUMPRODUCT(Data[Nhập-SPC+SPP-NX]*(Data[Year]=EG$1)*(Data[Month]=EG$2)*(Data[Main SKU name_GOM]=$A9)*(Data[SKU name_NHẬP_GOM]=EG$3)))</f>
        <v>0</v>
      </c>
      <c r="EH9" s="8" cm="1">
        <f t="array" ref="EH9">IF(EH$2="FY",SUMPRODUCT(Data[Nhập-SPC+SPP-NX]*(Data[Year]=EH$1)*(Data[Main SKU name_GOM]=$A9)*(Data[SKU name_NHẬP_GOM]=EH$3)),SUMPRODUCT(Data[Nhập-SPC+SPP-NX]*(Data[Year]=EH$1)*(Data[Month]=EH$2)*(Data[Main SKU name_GOM]=$A9)*(Data[SKU name_NHẬP_GOM]=EH$3)))</f>
        <v>0</v>
      </c>
      <c r="EI9" s="8" cm="1">
        <f t="array" ref="EI9">IF(EI$2="FY",SUMPRODUCT(Data[Nhập-SPC+SPP-NX]*(Data[Year]=EI$1)*(Data[Main SKU name_GOM]=$A9)*(Data[SKU name_NHẬP_GOM]=EI$3)),SUMPRODUCT(Data[Nhập-SPC+SPP-NX]*(Data[Year]=EI$1)*(Data[Month]=EI$2)*(Data[Main SKU name_GOM]=$A9)*(Data[SKU name_NHẬP_GOM]=EI$3)))</f>
        <v>0</v>
      </c>
      <c r="EJ9" s="8" cm="1">
        <f t="array" ref="EJ9">IF(EJ$2="FY",SUMPRODUCT(Data[Nhập-SPC+SPP-NX]*(Data[Year]=EJ$1)*(Data[Main SKU name_GOM]=$A9)*(Data[SKU name_NHẬP_GOM]=EJ$3)),SUMPRODUCT(Data[Nhập-SPC+SPP-NX]*(Data[Year]=EJ$1)*(Data[Month]=EJ$2)*(Data[Main SKU name_GOM]=$A9)*(Data[SKU name_NHẬP_GOM]=EJ$3)))</f>
        <v>0</v>
      </c>
      <c r="EK9" s="8" cm="1">
        <f t="array" ref="EK9">IF(EK$2="FY",SUMPRODUCT(Data[Nhập-SPC+SPP-NX]*(Data[Year]=EK$1)*(Data[Main SKU name_GOM]=$A9)*(Data[SKU name_NHẬP_GOM]=EK$3)),SUMPRODUCT(Data[Nhập-SPC+SPP-NX]*(Data[Year]=EK$1)*(Data[Month]=EK$2)*(Data[Main SKU name_GOM]=$A9)*(Data[SKU name_NHẬP_GOM]=EK$3)))</f>
        <v>0</v>
      </c>
      <c r="EL9" s="8" cm="1">
        <f t="array" ref="EL9">IF(EL$2="FY",SUMPRODUCT(Data[Nhập-SPC+SPP-NX]*(Data[Year]=EL$1)*(Data[Main SKU name_GOM]=$A9)*(Data[SKU name_NHẬP_GOM]=EL$3)),SUMPRODUCT(Data[Nhập-SPC+SPP-NX]*(Data[Year]=EL$1)*(Data[Month]=EL$2)*(Data[Main SKU name_GOM]=$A9)*(Data[SKU name_NHẬP_GOM]=EL$3)))</f>
        <v>0</v>
      </c>
      <c r="EM9" s="8" cm="1">
        <f t="array" ref="EM9">IF(EM$2="FY",SUMPRODUCT(Data[Nhập-SPC+SPP-NX]*(Data[Year]=EM$1)*(Data[Main SKU name_GOM]=$A9)*(Data[SKU name_NHẬP_GOM]=EM$3)),SUMPRODUCT(Data[Nhập-SPC+SPP-NX]*(Data[Year]=EM$1)*(Data[Month]=EM$2)*(Data[Main SKU name_GOM]=$A9)*(Data[SKU name_NHẬP_GOM]=EM$3)))</f>
        <v>0</v>
      </c>
      <c r="EN9" s="8" cm="1">
        <f t="array" ref="EN9">IF(EN$2="FY",SUMPRODUCT(Data[Nhập-SPC+SPP-NX]*(Data[Year]=EN$1)*(Data[Main SKU name_GOM]=$A9)*(Data[SKU name_NHẬP_GOM]=EN$3)),SUMPRODUCT(Data[Nhập-SPC+SPP-NX]*(Data[Year]=EN$1)*(Data[Month]=EN$2)*(Data[Main SKU name_GOM]=$A9)*(Data[SKU name_NHẬP_GOM]=EN$3)))</f>
        <v>0</v>
      </c>
      <c r="EO9" s="8" cm="1">
        <f t="array" ref="EO9">IF(EO$2="FY",SUMPRODUCT(Data[Nhập-SPC+SPP-NX]*(Data[Year]=EO$1)*(Data[Main SKU name_GOM]=$A9)*(Data[SKU name_NHẬP_GOM]=EO$3)),SUMPRODUCT(Data[Nhập-SPC+SPP-NX]*(Data[Year]=EO$1)*(Data[Month]=EO$2)*(Data[Main SKU name_GOM]=$A9)*(Data[SKU name_NHẬP_GOM]=EO$3)))</f>
        <v>0</v>
      </c>
      <c r="EP9" s="8">
        <f t="shared" si="11"/>
        <v>0</v>
      </c>
      <c r="ER9" s="8" cm="1">
        <f t="array" ref="ER9">IF(ER$2="FY",SUMPRODUCT(Data[Nhập-SPC+SPP-NX]*(Data[Year]=ER$1)*(Data[Main SKU name_GOM]=$A9)*(Data[SKU name_NHẬP_GOM]=ER$3)),SUMPRODUCT(Data[Nhập-SPC+SPP-NX]*(Data[Year]=ER$1)*(Data[Month]=ER$2)*(Data[Main SKU name_GOM]=$A9)*(Data[SKU name_NHẬP_GOM]=ER$3)))</f>
        <v>0</v>
      </c>
      <c r="ES9" s="8" cm="1">
        <f t="array" ref="ES9">IF(ES$2="FY",SUMPRODUCT(Data[Nhập-SPC+SPP-NX]*(Data[Year]=ES$1)*(Data[Main SKU name_GOM]=$A9)*(Data[SKU name_NHẬP_GOM]=ES$3)),SUMPRODUCT(Data[Nhập-SPC+SPP-NX]*(Data[Year]=ES$1)*(Data[Month]=ES$2)*(Data[Main SKU name_GOM]=$A9)*(Data[SKU name_NHẬP_GOM]=ES$3)))</f>
        <v>0</v>
      </c>
      <c r="ET9" s="8" cm="1">
        <f t="array" ref="ET9">IF(ET$2="FY",SUMPRODUCT(Data[Nhập-SPC+SPP-NX]*(Data[Year]=ET$1)*(Data[Main SKU name_GOM]=$A9)*(Data[SKU name_NHẬP_GOM]=ET$3)),SUMPRODUCT(Data[Nhập-SPC+SPP-NX]*(Data[Year]=ET$1)*(Data[Month]=ET$2)*(Data[Main SKU name_GOM]=$A9)*(Data[SKU name_NHẬP_GOM]=ET$3)))</f>
        <v>0</v>
      </c>
      <c r="EU9" s="8" cm="1">
        <f t="array" ref="EU9">IF(EU$2="FY",SUMPRODUCT(Data[Nhập-SPC+SPP-NX]*(Data[Year]=EU$1)*(Data[Main SKU name_GOM]=$A9)*(Data[SKU name_NHẬP_GOM]=EU$3)),SUMPRODUCT(Data[Nhập-SPC+SPP-NX]*(Data[Year]=EU$1)*(Data[Month]=EU$2)*(Data[Main SKU name_GOM]=$A9)*(Data[SKU name_NHẬP_GOM]=EU$3)))</f>
        <v>0</v>
      </c>
      <c r="EV9" s="8" cm="1">
        <f t="array" ref="EV9">IF(EV$2="FY",SUMPRODUCT(Data[Nhập-SPC+SPP-NX]*(Data[Year]=EV$1)*(Data[Main SKU name_GOM]=$A9)*(Data[SKU name_NHẬP_GOM]=EV$3)),SUMPRODUCT(Data[Nhập-SPC+SPP-NX]*(Data[Year]=EV$1)*(Data[Month]=EV$2)*(Data[Main SKU name_GOM]=$A9)*(Data[SKU name_NHẬP_GOM]=EV$3)))</f>
        <v>507100</v>
      </c>
      <c r="EW9" s="8" cm="1">
        <f t="array" ref="EW9">IF(EW$2="FY",SUMPRODUCT(Data[Nhập-SPC+SPP-NX]*(Data[Year]=EW$1)*(Data[Main SKU name_GOM]=$A9)*(Data[SKU name_NHẬP_GOM]=EW$3)),SUMPRODUCT(Data[Nhập-SPC+SPP-NX]*(Data[Year]=EW$1)*(Data[Month]=EW$2)*(Data[Main SKU name_GOM]=$A9)*(Data[SKU name_NHẬP_GOM]=EW$3)))</f>
        <v>0</v>
      </c>
      <c r="EX9" s="8" cm="1">
        <f t="array" ref="EX9">IF(EX$2="FY",SUMPRODUCT(Data[Nhập-SPC+SPP-NX]*(Data[Year]=EX$1)*(Data[Main SKU name_GOM]=$A9)*(Data[SKU name_NHẬP_GOM]=EX$3)),SUMPRODUCT(Data[Nhập-SPC+SPP-NX]*(Data[Year]=EX$1)*(Data[Month]=EX$2)*(Data[Main SKU name_GOM]=$A9)*(Data[SKU name_NHẬP_GOM]=EX$3)))</f>
        <v>0</v>
      </c>
      <c r="EY9" s="8" cm="1">
        <f t="array" ref="EY9">IF(EY$2="FY",SUMPRODUCT(Data[Nhập-SPC+SPP-NX]*(Data[Year]=EY$1)*(Data[Main SKU name_GOM]=$A9)*(Data[SKU name_NHẬP_GOM]=EY$3)),SUMPRODUCT(Data[Nhập-SPC+SPP-NX]*(Data[Year]=EY$1)*(Data[Month]=EY$2)*(Data[Main SKU name_GOM]=$A9)*(Data[SKU name_NHẬP_GOM]=EY$3)))</f>
        <v>0</v>
      </c>
      <c r="EZ9" s="8" cm="1">
        <f t="array" ref="EZ9">IF(EZ$2="FY",SUMPRODUCT(Data[Nhập-SPC+SPP-NX]*(Data[Year]=EZ$1)*(Data[Main SKU name_GOM]=$A9)*(Data[SKU name_NHẬP_GOM]=EZ$3)),SUMPRODUCT(Data[Nhập-SPC+SPP-NX]*(Data[Year]=EZ$1)*(Data[Month]=EZ$2)*(Data[Main SKU name_GOM]=$A9)*(Data[SKU name_NHẬP_GOM]=EZ$3)))</f>
        <v>6600</v>
      </c>
      <c r="FA9" s="8" cm="1">
        <f t="array" ref="FA9">IF(FA$2="FY",SUMPRODUCT(Data[Nhập-SPC+SPP-NX]*(Data[Year]=FA$1)*(Data[Main SKU name_GOM]=$A9)*(Data[SKU name_NHẬP_GOM]=FA$3)),SUMPRODUCT(Data[Nhập-SPC+SPP-NX]*(Data[Year]=FA$1)*(Data[Month]=FA$2)*(Data[Main SKU name_GOM]=$A9)*(Data[SKU name_NHẬP_GOM]=FA$3)))</f>
        <v>0</v>
      </c>
      <c r="FB9" s="8">
        <f t="shared" si="12"/>
        <v>513700</v>
      </c>
    </row>
    <row r="10" spans="1:158" s="1" customFormat="1" ht="15" thickBot="1" x14ac:dyDescent="0.4">
      <c r="A10" s="6"/>
      <c r="B10" s="7" t="s">
        <v>78</v>
      </c>
      <c r="D10" s="9">
        <f>SUM(D6:D9)</f>
        <v>5759300</v>
      </c>
      <c r="E10" s="9">
        <f t="shared" ref="E10:N10" si="13">SUM(E6:E9)</f>
        <v>11064576</v>
      </c>
      <c r="F10" s="9">
        <f t="shared" si="13"/>
        <v>18746122</v>
      </c>
      <c r="G10" s="9">
        <f t="shared" si="13"/>
        <v>0</v>
      </c>
      <c r="H10" s="9">
        <f t="shared" si="13"/>
        <v>1702052</v>
      </c>
      <c r="I10" s="9">
        <f t="shared" si="13"/>
        <v>90200</v>
      </c>
      <c r="J10" s="9">
        <f t="shared" si="13"/>
        <v>140800</v>
      </c>
      <c r="K10" s="9">
        <f t="shared" si="13"/>
        <v>529100</v>
      </c>
      <c r="L10" s="9">
        <f t="shared" si="13"/>
        <v>268950</v>
      </c>
      <c r="M10" s="9">
        <f t="shared" si="13"/>
        <v>0</v>
      </c>
      <c r="N10" s="9">
        <f t="shared" si="13"/>
        <v>38301100</v>
      </c>
      <c r="P10" s="9">
        <f>SUM(P6:P9)</f>
        <v>371800</v>
      </c>
      <c r="Q10" s="9">
        <f t="shared" ref="Q10:Z10" si="14">SUM(Q6:Q9)</f>
        <v>254100</v>
      </c>
      <c r="R10" s="9">
        <f t="shared" si="14"/>
        <v>1247742</v>
      </c>
      <c r="S10" s="9">
        <f t="shared" si="14"/>
        <v>0</v>
      </c>
      <c r="T10" s="9">
        <f t="shared" si="14"/>
        <v>28392</v>
      </c>
      <c r="U10" s="9">
        <f t="shared" si="14"/>
        <v>1100</v>
      </c>
      <c r="V10" s="9">
        <f t="shared" si="14"/>
        <v>4400</v>
      </c>
      <c r="W10" s="9">
        <f t="shared" si="14"/>
        <v>5500</v>
      </c>
      <c r="X10" s="9">
        <f t="shared" si="14"/>
        <v>12100</v>
      </c>
      <c r="Y10" s="9">
        <f t="shared" si="14"/>
        <v>0</v>
      </c>
      <c r="Z10" s="9">
        <f t="shared" si="14"/>
        <v>1925134</v>
      </c>
      <c r="AB10" s="9">
        <f>SUM(AB6:AB9)</f>
        <v>535700</v>
      </c>
      <c r="AC10" s="9">
        <f t="shared" ref="AC10:AL10" si="15">SUM(AC6:AC9)</f>
        <v>751740</v>
      </c>
      <c r="AD10" s="9">
        <f t="shared" si="15"/>
        <v>605680</v>
      </c>
      <c r="AE10" s="9">
        <f t="shared" si="15"/>
        <v>0</v>
      </c>
      <c r="AF10" s="9">
        <f t="shared" si="15"/>
        <v>62700</v>
      </c>
      <c r="AG10" s="9">
        <f t="shared" si="15"/>
        <v>4400</v>
      </c>
      <c r="AH10" s="9">
        <f t="shared" si="15"/>
        <v>24200</v>
      </c>
      <c r="AI10" s="9">
        <f t="shared" si="15"/>
        <v>19800</v>
      </c>
      <c r="AJ10" s="9">
        <f t="shared" si="15"/>
        <v>11000</v>
      </c>
      <c r="AK10" s="9">
        <f t="shared" si="15"/>
        <v>0</v>
      </c>
      <c r="AL10" s="9">
        <f t="shared" si="15"/>
        <v>2015220</v>
      </c>
      <c r="AN10" s="9">
        <f>SUM(AN6:AN9)</f>
        <v>11000</v>
      </c>
      <c r="AO10" s="9">
        <f t="shared" ref="AO10:AX10" si="16">SUM(AO6:AO9)</f>
        <v>1238600</v>
      </c>
      <c r="AP10" s="9">
        <f t="shared" si="16"/>
        <v>1381599.9999999995</v>
      </c>
      <c r="AQ10" s="9">
        <f t="shared" si="16"/>
        <v>0</v>
      </c>
      <c r="AR10" s="9">
        <f t="shared" si="16"/>
        <v>405815</v>
      </c>
      <c r="AS10" s="9">
        <f t="shared" si="16"/>
        <v>0</v>
      </c>
      <c r="AT10" s="9">
        <f t="shared" si="16"/>
        <v>0</v>
      </c>
      <c r="AU10" s="9">
        <f t="shared" si="16"/>
        <v>9900</v>
      </c>
      <c r="AV10" s="9">
        <f t="shared" si="16"/>
        <v>4400</v>
      </c>
      <c r="AW10" s="9">
        <f t="shared" si="16"/>
        <v>0</v>
      </c>
      <c r="AX10" s="9">
        <f t="shared" si="16"/>
        <v>3051314.9999999995</v>
      </c>
      <c r="AZ10" s="9">
        <f>SUM(AZ6:AZ9)</f>
        <v>5500</v>
      </c>
      <c r="BA10" s="9">
        <f t="shared" ref="BA10:BJ10" si="17">SUM(BA6:BA9)</f>
        <v>1634936</v>
      </c>
      <c r="BB10" s="9">
        <f t="shared" si="17"/>
        <v>2667500.0000000005</v>
      </c>
      <c r="BC10" s="9">
        <f t="shared" si="17"/>
        <v>0</v>
      </c>
      <c r="BD10" s="9">
        <f t="shared" si="17"/>
        <v>116145</v>
      </c>
      <c r="BE10" s="9">
        <f t="shared" si="17"/>
        <v>0</v>
      </c>
      <c r="BF10" s="9">
        <f t="shared" si="17"/>
        <v>33000.000000000015</v>
      </c>
      <c r="BG10" s="9">
        <f t="shared" si="17"/>
        <v>19800</v>
      </c>
      <c r="BH10" s="9">
        <f t="shared" si="17"/>
        <v>23150</v>
      </c>
      <c r="BI10" s="9">
        <f t="shared" si="17"/>
        <v>0</v>
      </c>
      <c r="BJ10" s="9">
        <f t="shared" si="17"/>
        <v>4500031</v>
      </c>
      <c r="BL10" s="9">
        <f>SUM(BL6:BL9)</f>
        <v>332199.99999999994</v>
      </c>
      <c r="BM10" s="9">
        <f t="shared" ref="BM10:BV10" si="18">SUM(BM6:BM9)</f>
        <v>1563100</v>
      </c>
      <c r="BN10" s="9">
        <f t="shared" si="18"/>
        <v>1504800</v>
      </c>
      <c r="BO10" s="9">
        <f t="shared" si="18"/>
        <v>0</v>
      </c>
      <c r="BP10" s="9">
        <f t="shared" si="18"/>
        <v>41800</v>
      </c>
      <c r="BQ10" s="9">
        <f t="shared" si="18"/>
        <v>1100</v>
      </c>
      <c r="BR10" s="9">
        <f t="shared" si="18"/>
        <v>11000</v>
      </c>
      <c r="BS10" s="9">
        <f t="shared" si="18"/>
        <v>35200</v>
      </c>
      <c r="BT10" s="9">
        <f t="shared" si="18"/>
        <v>7699.9999999999991</v>
      </c>
      <c r="BU10" s="9">
        <f t="shared" si="18"/>
        <v>0</v>
      </c>
      <c r="BV10" s="9">
        <f t="shared" si="18"/>
        <v>3496900</v>
      </c>
      <c r="BX10" s="9">
        <f>SUM(BX6:BX9)</f>
        <v>515899.99999999994</v>
      </c>
      <c r="BY10" s="9">
        <f t="shared" ref="BY10:CH10" si="19">SUM(BY6:BY9)</f>
        <v>2005300</v>
      </c>
      <c r="BZ10" s="9">
        <f t="shared" si="19"/>
        <v>1354099.9999999998</v>
      </c>
      <c r="CA10" s="9">
        <f t="shared" si="19"/>
        <v>0</v>
      </c>
      <c r="CB10" s="9">
        <f t="shared" si="19"/>
        <v>23100</v>
      </c>
      <c r="CC10" s="9">
        <f t="shared" si="19"/>
        <v>8800</v>
      </c>
      <c r="CD10" s="9">
        <f t="shared" si="19"/>
        <v>16500</v>
      </c>
      <c r="CE10" s="9">
        <f t="shared" si="19"/>
        <v>31900.000000000004</v>
      </c>
      <c r="CF10" s="9">
        <f t="shared" si="19"/>
        <v>18700</v>
      </c>
      <c r="CG10" s="9">
        <f t="shared" si="19"/>
        <v>0</v>
      </c>
      <c r="CH10" s="9">
        <f t="shared" si="19"/>
        <v>3974300</v>
      </c>
      <c r="CJ10" s="9">
        <f>SUM(CJ6:CJ9)</f>
        <v>324500</v>
      </c>
      <c r="CK10" s="9">
        <f t="shared" ref="CK10:CT10" si="20">SUM(CK6:CK9)</f>
        <v>1169300</v>
      </c>
      <c r="CL10" s="9">
        <f t="shared" si="20"/>
        <v>2042700</v>
      </c>
      <c r="CM10" s="9">
        <f t="shared" si="20"/>
        <v>0</v>
      </c>
      <c r="CN10" s="9">
        <f t="shared" si="20"/>
        <v>48400.000000000007</v>
      </c>
      <c r="CO10" s="9">
        <f t="shared" si="20"/>
        <v>11000</v>
      </c>
      <c r="CP10" s="9">
        <f t="shared" si="20"/>
        <v>12100</v>
      </c>
      <c r="CQ10" s="9">
        <f t="shared" si="20"/>
        <v>113300.00000000001</v>
      </c>
      <c r="CR10" s="9">
        <f t="shared" si="20"/>
        <v>16500</v>
      </c>
      <c r="CS10" s="9">
        <f t="shared" si="20"/>
        <v>0</v>
      </c>
      <c r="CT10" s="9">
        <f t="shared" si="20"/>
        <v>3737800</v>
      </c>
      <c r="CV10" s="9">
        <f>SUM(CV6:CV9)</f>
        <v>627000</v>
      </c>
      <c r="CW10" s="9">
        <f t="shared" ref="CW10:DF10" si="21">SUM(CW6:CW9)</f>
        <v>1236400</v>
      </c>
      <c r="CX10" s="9">
        <f t="shared" si="21"/>
        <v>1873299.9999999998</v>
      </c>
      <c r="CY10" s="9">
        <f t="shared" si="21"/>
        <v>0</v>
      </c>
      <c r="CZ10" s="9">
        <f t="shared" si="21"/>
        <v>63799.999999999993</v>
      </c>
      <c r="DA10" s="9">
        <f t="shared" si="21"/>
        <v>0</v>
      </c>
      <c r="DB10" s="9">
        <f t="shared" si="21"/>
        <v>15399.999999999998</v>
      </c>
      <c r="DC10" s="9">
        <f t="shared" si="21"/>
        <v>104500.00000000001</v>
      </c>
      <c r="DD10" s="9">
        <f t="shared" si="21"/>
        <v>28000</v>
      </c>
      <c r="DE10" s="9">
        <f t="shared" si="21"/>
        <v>0</v>
      </c>
      <c r="DF10" s="9">
        <f t="shared" si="21"/>
        <v>3948400</v>
      </c>
      <c r="DH10" s="9">
        <f>SUM(DH6:DH9)</f>
        <v>367400</v>
      </c>
      <c r="DI10" s="9">
        <f t="shared" ref="DI10:DR10" si="22">SUM(DI6:DI9)</f>
        <v>837100</v>
      </c>
      <c r="DJ10" s="9">
        <f t="shared" si="22"/>
        <v>1603800</v>
      </c>
      <c r="DK10" s="9">
        <f t="shared" si="22"/>
        <v>0</v>
      </c>
      <c r="DL10" s="9">
        <f t="shared" si="22"/>
        <v>187000</v>
      </c>
      <c r="DM10" s="9">
        <f t="shared" si="22"/>
        <v>0</v>
      </c>
      <c r="DN10" s="9">
        <f t="shared" si="22"/>
        <v>9900</v>
      </c>
      <c r="DO10" s="9">
        <f t="shared" si="22"/>
        <v>24200</v>
      </c>
      <c r="DP10" s="9">
        <f t="shared" si="22"/>
        <v>8800</v>
      </c>
      <c r="DQ10" s="9">
        <f t="shared" si="22"/>
        <v>0</v>
      </c>
      <c r="DR10" s="9">
        <f t="shared" si="22"/>
        <v>3038200</v>
      </c>
      <c r="DT10" s="9">
        <f>SUM(DT6:DT9)</f>
        <v>743600</v>
      </c>
      <c r="DU10" s="9">
        <f t="shared" ref="DU10:ED10" si="23">SUM(DU6:DU9)</f>
        <v>242000</v>
      </c>
      <c r="DV10" s="9">
        <f t="shared" si="23"/>
        <v>2565199.9999999991</v>
      </c>
      <c r="DW10" s="9">
        <f t="shared" si="23"/>
        <v>0</v>
      </c>
      <c r="DX10" s="9">
        <f t="shared" si="23"/>
        <v>78100</v>
      </c>
      <c r="DY10" s="9">
        <f t="shared" si="23"/>
        <v>59400</v>
      </c>
      <c r="DZ10" s="9">
        <f t="shared" si="23"/>
        <v>12100</v>
      </c>
      <c r="EA10" s="9">
        <f t="shared" si="23"/>
        <v>44000</v>
      </c>
      <c r="EB10" s="9">
        <f t="shared" si="23"/>
        <v>86900</v>
      </c>
      <c r="EC10" s="9">
        <f t="shared" si="23"/>
        <v>0</v>
      </c>
      <c r="ED10" s="9">
        <f t="shared" si="23"/>
        <v>3831299.9999999991</v>
      </c>
      <c r="EF10" s="9">
        <f>SUM(EF6:EF9)</f>
        <v>1013900</v>
      </c>
      <c r="EG10" s="9">
        <f t="shared" ref="EG10:EP10" si="24">SUM(EG6:EG9)</f>
        <v>46200</v>
      </c>
      <c r="EH10" s="9">
        <f t="shared" si="24"/>
        <v>451000</v>
      </c>
      <c r="EI10" s="9">
        <f t="shared" si="24"/>
        <v>0</v>
      </c>
      <c r="EJ10" s="9">
        <f t="shared" si="24"/>
        <v>91300</v>
      </c>
      <c r="EK10" s="9">
        <f t="shared" si="24"/>
        <v>2200</v>
      </c>
      <c r="EL10" s="9">
        <f t="shared" si="24"/>
        <v>0</v>
      </c>
      <c r="EM10" s="9">
        <f t="shared" si="24"/>
        <v>81400</v>
      </c>
      <c r="EN10" s="9">
        <f t="shared" si="24"/>
        <v>18700</v>
      </c>
      <c r="EO10" s="9">
        <f t="shared" si="24"/>
        <v>0</v>
      </c>
      <c r="EP10" s="9">
        <f t="shared" si="24"/>
        <v>1704700</v>
      </c>
      <c r="ER10" s="9">
        <f>SUM(ER6:ER9)</f>
        <v>910800</v>
      </c>
      <c r="ES10" s="9">
        <f t="shared" ref="ES10:FB10" si="25">SUM(ES6:ES9)</f>
        <v>85800</v>
      </c>
      <c r="ET10" s="9">
        <f t="shared" si="25"/>
        <v>1448700</v>
      </c>
      <c r="EU10" s="9">
        <f t="shared" si="25"/>
        <v>0</v>
      </c>
      <c r="EV10" s="9">
        <f t="shared" si="25"/>
        <v>555500</v>
      </c>
      <c r="EW10" s="9">
        <f t="shared" si="25"/>
        <v>2200</v>
      </c>
      <c r="EX10" s="9">
        <f t="shared" si="25"/>
        <v>2199.9999999999995</v>
      </c>
      <c r="EY10" s="9">
        <f t="shared" si="25"/>
        <v>39600</v>
      </c>
      <c r="EZ10" s="9">
        <f t="shared" si="25"/>
        <v>33000</v>
      </c>
      <c r="FA10" s="9">
        <f t="shared" si="25"/>
        <v>0</v>
      </c>
      <c r="FB10" s="9">
        <f t="shared" si="25"/>
        <v>3077800</v>
      </c>
    </row>
    <row r="13" spans="1:158" s="14" customFormat="1" ht="15" thickBot="1" x14ac:dyDescent="0.4">
      <c r="B13" s="15" t="s">
        <v>94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</row>
    <row r="14" spans="1:158" s="14" customFormat="1" x14ac:dyDescent="0.35">
      <c r="B14" s="14" t="s">
        <v>68</v>
      </c>
      <c r="D14" s="19">
        <f>IFERROR(D6/N6,0)</f>
        <v>0.86445999969366027</v>
      </c>
      <c r="E14" s="17">
        <f>IFERROR(E6/N6,0)</f>
        <v>3.5213748525740191E-2</v>
      </c>
      <c r="F14" s="17">
        <f>IFERROR(F6/N6,0)</f>
        <v>2.1229341216474948E-2</v>
      </c>
      <c r="G14" s="17">
        <f>IFERROR(G6/N6,0)</f>
        <v>0</v>
      </c>
      <c r="H14" s="17">
        <f>IFERROR(H6/N6,0)</f>
        <v>4.8524208494799881E-2</v>
      </c>
      <c r="I14" s="17">
        <f>IFERROR(I6/N6,0)</f>
        <v>1.3478946804111078E-2</v>
      </c>
      <c r="J14" s="17">
        <f>IFERROR(J6/N6,0)</f>
        <v>1.1794078453597194E-3</v>
      </c>
      <c r="K14" s="17">
        <f>IFERROR(K6/N6,0)</f>
        <v>6.0655260618499851E-3</v>
      </c>
      <c r="L14" s="17">
        <f>IFERROR(L6/N6,0)</f>
        <v>9.8488213580038911E-3</v>
      </c>
      <c r="M14" s="17">
        <f>IFERROR(M6/N6,0)</f>
        <v>0</v>
      </c>
      <c r="N14" s="18">
        <f>IFERROR(N6/N6,0)</f>
        <v>1</v>
      </c>
      <c r="P14" s="19">
        <f>IFERROR(P6/Z6,0)</f>
        <v>0.94285714285714284</v>
      </c>
      <c r="Q14" s="17">
        <f>IFERROR(Q6/Z6,0)</f>
        <v>1.1428571428571429E-2</v>
      </c>
      <c r="R14" s="17">
        <f>IFERROR(R6/Z6,0)</f>
        <v>0</v>
      </c>
      <c r="S14" s="17">
        <f>IFERROR(S6/Z6,0)</f>
        <v>0</v>
      </c>
      <c r="T14" s="17">
        <f>IFERROR(T6/Z6,0)</f>
        <v>4.2857142857142858E-2</v>
      </c>
      <c r="U14" s="17">
        <f>IFERROR(U6/Z6,0)</f>
        <v>2.8571428571428571E-3</v>
      </c>
      <c r="V14" s="17">
        <f>IFERROR(V6/Z6,0)</f>
        <v>0</v>
      </c>
      <c r="W14" s="17">
        <f>IFERROR(W6/Z6,0)</f>
        <v>0</v>
      </c>
      <c r="X14" s="17">
        <f>IFERROR(X6/Z6,0)</f>
        <v>0</v>
      </c>
      <c r="Y14" s="17">
        <f>IFERROR(Y6/Z6,0)</f>
        <v>0</v>
      </c>
      <c r="Z14" s="18">
        <f>IFERROR(Z6/Z6,0)</f>
        <v>1</v>
      </c>
      <c r="AB14" s="19">
        <f>IFERROR(AB6/AL6,0)</f>
        <v>0.93103448275862066</v>
      </c>
      <c r="AC14" s="17">
        <f>IFERROR(AC6/AL6,0)</f>
        <v>1.9157088122605363E-3</v>
      </c>
      <c r="AD14" s="17">
        <f>IFERROR(AD6/AL6,0)</f>
        <v>0</v>
      </c>
      <c r="AE14" s="17">
        <f>IFERROR(AE6/AL6,0)</f>
        <v>0</v>
      </c>
      <c r="AF14" s="17">
        <f>IFERROR(AF6/AL6,0)</f>
        <v>5.5555555555555552E-2</v>
      </c>
      <c r="AG14" s="17">
        <f>IFERROR(AG6/AL6,0)</f>
        <v>7.6628352490421452E-3</v>
      </c>
      <c r="AH14" s="17">
        <f>IFERROR(AH6/AL6,0)</f>
        <v>0</v>
      </c>
      <c r="AI14" s="17">
        <f>IFERROR(AI6/AL6,0)</f>
        <v>0</v>
      </c>
      <c r="AJ14" s="17">
        <f>IFERROR(AJ6/AL6,0)</f>
        <v>3.8314176245210726E-3</v>
      </c>
      <c r="AK14" s="17">
        <f>IFERROR(AK6/AL6,0)</f>
        <v>0</v>
      </c>
      <c r="AL14" s="18">
        <f>IFERROR(AL6/AL6,0)</f>
        <v>1</v>
      </c>
      <c r="AN14" s="19">
        <f t="shared" ref="AN14:AN17" si="26">IFERROR(AN6/AX6,0)</f>
        <v>0</v>
      </c>
      <c r="AO14" s="17">
        <f t="shared" ref="AO14:AO17" si="27">IFERROR(AO6/AX6,0)</f>
        <v>0</v>
      </c>
      <c r="AP14" s="17">
        <f t="shared" ref="AP14:AP17" si="28">IFERROR(AP6/AX6,0)</f>
        <v>0</v>
      </c>
      <c r="AQ14" s="17">
        <f t="shared" ref="AQ14:AQ17" si="29">IFERROR(AQ6/AX6,0)</f>
        <v>0</v>
      </c>
      <c r="AR14" s="17">
        <f t="shared" ref="AR14:AR17" si="30">IFERROR(AR6/AX6,0)</f>
        <v>0</v>
      </c>
      <c r="AS14" s="17">
        <f t="shared" ref="AS14:AS17" si="31">IFERROR(AS6/AX6,0)</f>
        <v>0</v>
      </c>
      <c r="AT14" s="17">
        <f t="shared" ref="AT14:AT17" si="32">IFERROR(AT6/AX6,0)</f>
        <v>0</v>
      </c>
      <c r="AU14" s="17">
        <f t="shared" ref="AU14:AU17" si="33">IFERROR(AU6/AX6,0)</f>
        <v>0</v>
      </c>
      <c r="AV14" s="17">
        <f t="shared" ref="AV14:AV17" si="34">IFERROR(AV6/AX6,0)</f>
        <v>0</v>
      </c>
      <c r="AW14" s="17">
        <f t="shared" ref="AW14:AW17" si="35">IFERROR(AW6/AX6,0)</f>
        <v>0</v>
      </c>
      <c r="AX14" s="18">
        <f t="shared" ref="AX14:AX17" si="36">IFERROR(AX6/AX6,0)</f>
        <v>0</v>
      </c>
      <c r="AZ14" s="19">
        <f t="shared" ref="AZ14:AZ17" si="37">IFERROR(AZ6/BJ6,0)</f>
        <v>0.75</v>
      </c>
      <c r="BA14" s="17">
        <f t="shared" ref="BA14:BA17" si="38">IFERROR(BA6/BJ6,0)</f>
        <v>0</v>
      </c>
      <c r="BB14" s="17">
        <f t="shared" ref="BB14:BB17" si="39">IFERROR(BB6/BJ6,0)</f>
        <v>0</v>
      </c>
      <c r="BC14" s="17">
        <f t="shared" ref="BC14:BC17" si="40">IFERROR(BC6/BJ6,0)</f>
        <v>0</v>
      </c>
      <c r="BD14" s="17">
        <f t="shared" ref="BD14:BD17" si="41">IFERROR(BD6/BJ6,0)</f>
        <v>0.25</v>
      </c>
      <c r="BE14" s="17">
        <f t="shared" ref="BE14:BE17" si="42">IFERROR(BE6/BJ6,0)</f>
        <v>0</v>
      </c>
      <c r="BF14" s="17">
        <f t="shared" ref="BF14:BF17" si="43">IFERROR(BF6/BJ6,0)</f>
        <v>0</v>
      </c>
      <c r="BG14" s="17">
        <f t="shared" ref="BG14:BG17" si="44">IFERROR(BG6/BJ6,0)</f>
        <v>0</v>
      </c>
      <c r="BH14" s="17">
        <f t="shared" ref="BH14:BH17" si="45">IFERROR(BH6/BJ6,0)</f>
        <v>0</v>
      </c>
      <c r="BI14" s="17">
        <f t="shared" ref="BI14:BI17" si="46">IFERROR(BI6/BJ6,0)</f>
        <v>0</v>
      </c>
      <c r="BJ14" s="18">
        <f t="shared" ref="BJ14:BJ17" si="47">IFERROR(BJ6/BJ6,0)</f>
        <v>1</v>
      </c>
      <c r="BL14" s="19">
        <f t="shared" ref="BL14:BL18" si="48">IFERROR(BL6/BV6,0)</f>
        <v>0.74257425742574257</v>
      </c>
      <c r="BM14" s="17">
        <f t="shared" ref="BM14:BM18" si="49">IFERROR(BM6/BV6,0)</f>
        <v>0.19554455445544558</v>
      </c>
      <c r="BN14" s="17">
        <f t="shared" ref="BN14:BN18" si="50">IFERROR(BN6/BV6,0)</f>
        <v>0</v>
      </c>
      <c r="BO14" s="17">
        <f t="shared" ref="BO14:BO18" si="51">IFERROR(BO6/BV6,0)</f>
        <v>0</v>
      </c>
      <c r="BP14" s="17">
        <f t="shared" ref="BP14:BP18" si="52">IFERROR(BP6/BV6,0)</f>
        <v>2.7227722772277231E-2</v>
      </c>
      <c r="BQ14" s="17">
        <f t="shared" ref="BQ14:BQ18" si="53">IFERROR(BQ6/BV6,0)</f>
        <v>2.4752475247524757E-3</v>
      </c>
      <c r="BR14" s="17">
        <f t="shared" ref="BR14:BR18" si="54">IFERROR(BR6/BV6,0)</f>
        <v>0</v>
      </c>
      <c r="BS14" s="17">
        <f t="shared" ref="BS14:BS18" si="55">IFERROR(BS6/BV6,0)</f>
        <v>3.2178217821782179E-2</v>
      </c>
      <c r="BT14" s="17">
        <f t="shared" ref="BT14:BT18" si="56">IFERROR(BT6/BV6,0)</f>
        <v>0</v>
      </c>
      <c r="BU14" s="17">
        <f t="shared" ref="BU14:BU18" si="57">IFERROR(BU6/BV6,0)</f>
        <v>0</v>
      </c>
      <c r="BV14" s="18">
        <f t="shared" ref="BV14:BV18" si="58">IFERROR(BV6/BV6,0)</f>
        <v>1</v>
      </c>
      <c r="BX14" s="19">
        <f t="shared" ref="BX14:BX18" si="59">IFERROR(BX6/CH6,0)</f>
        <v>0.92920353982300885</v>
      </c>
      <c r="BY14" s="17">
        <f t="shared" ref="BY14:BY18" si="60">IFERROR(BY6/CH6,0)</f>
        <v>1.7699115044247791E-2</v>
      </c>
      <c r="BZ14" s="17">
        <f t="shared" ref="BZ14:BZ18" si="61">IFERROR(BZ6/CH6,0)</f>
        <v>0</v>
      </c>
      <c r="CA14" s="17">
        <f t="shared" ref="CA14:CA18" si="62">IFERROR(CA6/CH6,0)</f>
        <v>0</v>
      </c>
      <c r="CB14" s="17">
        <f t="shared" ref="CB14:CB18" si="63">IFERROR(CB6/CH6,0)</f>
        <v>1.3274336283185842E-2</v>
      </c>
      <c r="CC14" s="17">
        <f t="shared" ref="CC14:CC18" si="64">IFERROR(CC6/CH6,0)</f>
        <v>1.3274336283185842E-2</v>
      </c>
      <c r="CD14" s="17">
        <f t="shared" ref="CD14:CD18" si="65">IFERROR(CD6/CH6,0)</f>
        <v>8.8495575221238954E-3</v>
      </c>
      <c r="CE14" s="17">
        <f t="shared" ref="CE14:CE18" si="66">IFERROR(CE6/CH6,0)</f>
        <v>4.4247787610619477E-3</v>
      </c>
      <c r="CF14" s="17">
        <f t="shared" ref="CF14:CF18" si="67">IFERROR(CF6/CH6,0)</f>
        <v>1.3274336283185842E-2</v>
      </c>
      <c r="CG14" s="17">
        <f t="shared" ref="CG14:CG18" si="68">IFERROR(CG6/CH6,0)</f>
        <v>0</v>
      </c>
      <c r="CH14" s="18">
        <f t="shared" ref="CH14:CH18" si="69">IFERROR(CH6/CH6,0)</f>
        <v>1</v>
      </c>
      <c r="CJ14" s="19">
        <f t="shared" ref="CJ14:CJ18" si="70">IFERROR(CJ6/CT6,0)</f>
        <v>0.88554216867469882</v>
      </c>
      <c r="CK14" s="17">
        <f t="shared" ref="CK14:CK18" si="71">IFERROR(CK6/CT6,0)</f>
        <v>0</v>
      </c>
      <c r="CL14" s="17">
        <f t="shared" ref="CL14:CL18" si="72">IFERROR(CL6/CT6,0)</f>
        <v>0</v>
      </c>
      <c r="CM14" s="17">
        <f t="shared" ref="CM14:CM18" si="73">IFERROR(CM6/CT6,0)</f>
        <v>0</v>
      </c>
      <c r="CN14" s="17">
        <f t="shared" ref="CN14:CN18" si="74">IFERROR(CN6/CT6,0)</f>
        <v>6.6265060240963861E-2</v>
      </c>
      <c r="CO14" s="17">
        <f t="shared" ref="CO14:CO18" si="75">IFERROR(CO6/CT6,0)</f>
        <v>3.0120481927710843E-2</v>
      </c>
      <c r="CP14" s="17">
        <f t="shared" ref="CP14:CP18" si="76">IFERROR(CP6/CT6,0)</f>
        <v>0</v>
      </c>
      <c r="CQ14" s="17">
        <f t="shared" ref="CQ14:CQ18" si="77">IFERROR(CQ6/CT6,0)</f>
        <v>0</v>
      </c>
      <c r="CR14" s="17">
        <f t="shared" ref="CR14:CR18" si="78">IFERROR(CR6/CT6,0)</f>
        <v>1.8072289156626505E-2</v>
      </c>
      <c r="CS14" s="17">
        <f t="shared" ref="CS14:CS18" si="79">IFERROR(CS6/CT6,0)</f>
        <v>0</v>
      </c>
      <c r="CT14" s="18">
        <f t="shared" ref="CT14:CT18" si="80">IFERROR(CT6/CT6,0)</f>
        <v>1</v>
      </c>
      <c r="CV14" s="19">
        <f t="shared" ref="CV14:CV18" si="81">IFERROR(CV6/DF6,0)</f>
        <v>0.87458006718924974</v>
      </c>
      <c r="CW14" s="17">
        <f t="shared" ref="CW14:CW18" si="82">IFERROR(CW6/DF6,0)</f>
        <v>4.1573348264277714E-2</v>
      </c>
      <c r="CX14" s="17">
        <f t="shared" ref="CX14:CX18" si="83">IFERROR(CX6/DF6,0)</f>
        <v>1.5397536394176931E-3</v>
      </c>
      <c r="CY14" s="17">
        <f t="shared" ref="CY14:CY18" si="84">IFERROR(CY6/DF6,0)</f>
        <v>0</v>
      </c>
      <c r="CZ14" s="17">
        <f t="shared" ref="CZ14:CZ18" si="85">IFERROR(CZ6/DF6,0)</f>
        <v>5.6970884658454637E-2</v>
      </c>
      <c r="DA14" s="17">
        <f t="shared" ref="DA14:DA18" si="86">IFERROR(DA6/DF6,0)</f>
        <v>0</v>
      </c>
      <c r="DB14" s="17">
        <f t="shared" ref="DB14:DB18" si="87">IFERROR(DB6/DF6,0)</f>
        <v>1.5397536394176931E-3</v>
      </c>
      <c r="DC14" s="17">
        <f t="shared" ref="DC14:DC18" si="88">IFERROR(DC6/DF6,0)</f>
        <v>9.2385218365061573E-3</v>
      </c>
      <c r="DD14" s="17">
        <f t="shared" ref="DD14:DD18" si="89">IFERROR(DD6/DF6,0)</f>
        <v>1.4557670772676373E-2</v>
      </c>
      <c r="DE14" s="17">
        <f t="shared" ref="DE14:DE18" si="90">IFERROR(DE6/DF6,0)</f>
        <v>0</v>
      </c>
      <c r="DF14" s="18">
        <f t="shared" ref="DF14:DF18" si="91">IFERROR(DF6/DF6,0)</f>
        <v>1</v>
      </c>
      <c r="DH14" s="19">
        <f t="shared" ref="DH14:DH18" si="92">IFERROR(DH6/DR6,0)</f>
        <v>0.92877492877492873</v>
      </c>
      <c r="DI14" s="17">
        <f t="shared" ref="DI14:DI18" si="93">IFERROR(DI6/DR6,0)</f>
        <v>8.5470085470085479E-3</v>
      </c>
      <c r="DJ14" s="17">
        <f t="shared" ref="DJ14:DJ18" si="94">IFERROR(DJ6/DR6,0)</f>
        <v>8.5470085470085479E-3</v>
      </c>
      <c r="DK14" s="17">
        <f t="shared" ref="DK14:DK18" si="95">IFERROR(DK6/DR6,0)</f>
        <v>0</v>
      </c>
      <c r="DL14" s="17">
        <f t="shared" ref="DL14:DL18" si="96">IFERROR(DL6/DR6,0)</f>
        <v>5.128205128205128E-2</v>
      </c>
      <c r="DM14" s="17">
        <f t="shared" ref="DM14:DM18" si="97">IFERROR(DM6/DR6,0)</f>
        <v>0</v>
      </c>
      <c r="DN14" s="17">
        <f t="shared" ref="DN14:DN18" si="98">IFERROR(DN6/DR6,0)</f>
        <v>0</v>
      </c>
      <c r="DO14" s="17">
        <f t="shared" ref="DO14:DO18" si="99">IFERROR(DO6/DR6,0)</f>
        <v>0</v>
      </c>
      <c r="DP14" s="17">
        <f t="shared" ref="DP14:DP18" si="100">IFERROR(DP6/DR6,0)</f>
        <v>2.8490028490028491E-3</v>
      </c>
      <c r="DQ14" s="17">
        <f t="shared" ref="DQ14:DQ18" si="101">IFERROR(DQ6/DR6,0)</f>
        <v>0</v>
      </c>
      <c r="DR14" s="18">
        <f t="shared" ref="DR14:DR18" si="102">IFERROR(DR6/DR6,0)</f>
        <v>1</v>
      </c>
      <c r="DT14" s="19">
        <f t="shared" ref="DT14:DT18" si="103">IFERROR(DT6/ED6,0)</f>
        <v>0.68983402489626555</v>
      </c>
      <c r="DU14" s="17">
        <f t="shared" ref="DU14:DU18" si="104">IFERROR(DU6/ED6,0)</f>
        <v>6.5352697095435688E-2</v>
      </c>
      <c r="DV14" s="17">
        <f t="shared" ref="DV14:DV18" si="105">IFERROR(DV6/ED6,0)</f>
        <v>9.9585062240663894E-2</v>
      </c>
      <c r="DW14" s="17">
        <f t="shared" ref="DW14:DW18" si="106">IFERROR(DW6/ED6,0)</f>
        <v>0</v>
      </c>
      <c r="DX14" s="17">
        <f t="shared" ref="DX14:DX18" si="107">IFERROR(DX6/ED6,0)</f>
        <v>5.3941908713692949E-2</v>
      </c>
      <c r="DY14" s="17">
        <f t="shared" ref="DY14:DY18" si="108">IFERROR(DY6/ED6,0)</f>
        <v>5.6016597510373446E-2</v>
      </c>
      <c r="DZ14" s="17">
        <f t="shared" ref="DZ14:DZ18" si="109">IFERROR(DZ6/ED6,0)</f>
        <v>0</v>
      </c>
      <c r="EA14" s="17">
        <f t="shared" ref="EA14:EA18" si="110">IFERROR(EA6/ED6,0)</f>
        <v>1.5560165975103735E-2</v>
      </c>
      <c r="EB14" s="17">
        <f t="shared" ref="EB14:EB18" si="111">IFERROR(EB6/ED6,0)</f>
        <v>1.9709543568464733E-2</v>
      </c>
      <c r="EC14" s="17">
        <f t="shared" ref="EC14:EC18" si="112">IFERROR(EC6/ED6,0)</f>
        <v>0</v>
      </c>
      <c r="ED14" s="18">
        <f t="shared" ref="ED14:ED18" si="113">IFERROR(ED6/ED6,0)</f>
        <v>1</v>
      </c>
      <c r="EF14" s="19">
        <f t="shared" ref="EF14:EF18" si="114">IFERROR(EF6/EP6,0)</f>
        <v>0.89338267688783157</v>
      </c>
      <c r="EG14" s="17">
        <f t="shared" ref="EG14:EG18" si="115">IFERROR(EG6/EP6,0)</f>
        <v>1.7446471054718478E-2</v>
      </c>
      <c r="EH14" s="17">
        <f t="shared" ref="EH14:EH18" si="116">IFERROR(EH6/EP6,0)</f>
        <v>1.0661732311216848E-2</v>
      </c>
      <c r="EI14" s="17">
        <f t="shared" ref="EI14:EI18" si="117">IFERROR(EI6/EP6,0)</f>
        <v>0</v>
      </c>
      <c r="EJ14" s="17">
        <f t="shared" ref="EJ14:EJ18" si="118">IFERROR(EJ6/EP6,0)</f>
        <v>6.9785884218873911E-2</v>
      </c>
      <c r="EK14" s="17">
        <f t="shared" ref="EK14:EK18" si="119">IFERROR(EK6/EP6,0)</f>
        <v>1.9384967838576087E-3</v>
      </c>
      <c r="EL14" s="17">
        <f t="shared" ref="EL14:EL18" si="120">IFERROR(EL6/EP6,0)</f>
        <v>0</v>
      </c>
      <c r="EM14" s="17">
        <f t="shared" ref="EM14:EM18" si="121">IFERROR(EM6/EP6,0)</f>
        <v>0</v>
      </c>
      <c r="EN14" s="17">
        <f t="shared" ref="EN14:EN18" si="122">IFERROR(EN6/EP6,0)</f>
        <v>6.7847387435016303E-3</v>
      </c>
      <c r="EO14" s="17">
        <f t="shared" ref="EO14:EO18" si="123">IFERROR(EO6/EP6,0)</f>
        <v>0</v>
      </c>
      <c r="EP14" s="18">
        <f t="shared" ref="EP14:EP18" si="124">IFERROR(EP6/EP6,0)</f>
        <v>1</v>
      </c>
      <c r="ER14" s="19">
        <f t="shared" ref="ER14:ER18" si="125">IFERROR(ER6/FB6,0)</f>
        <v>0.93371428571428572</v>
      </c>
      <c r="ES14" s="17">
        <f t="shared" ref="ES14:ES18" si="126">IFERROR(ES6/FB6,0)</f>
        <v>6.8571428571428568E-3</v>
      </c>
      <c r="ET14" s="17">
        <f t="shared" ref="ET14:ET18" si="127">IFERROR(ET6/FB6,0)</f>
        <v>1.7142857142857144E-2</v>
      </c>
      <c r="EU14" s="17">
        <f t="shared" ref="EU14:EU18" si="128">IFERROR(EU6/FB6,0)</f>
        <v>0</v>
      </c>
      <c r="EV14" s="17">
        <f t="shared" ref="EV14:EV18" si="129">IFERROR(EV6/FB6,0)</f>
        <v>2.8571428571428567E-2</v>
      </c>
      <c r="EW14" s="17">
        <f t="shared" ref="EW14:EW18" si="130">IFERROR(EW6/FB6,0)</f>
        <v>2.2857142857142859E-3</v>
      </c>
      <c r="EX14" s="17">
        <f t="shared" ref="EX14:EX18" si="131">IFERROR(EX6/FB6,0)</f>
        <v>2.2857142857142855E-3</v>
      </c>
      <c r="EY14" s="17">
        <f t="shared" ref="EY14:EY18" si="132">IFERROR(EY6/FB6,0)</f>
        <v>0</v>
      </c>
      <c r="EZ14" s="17">
        <f t="shared" ref="EZ14:EZ18" si="133">IFERROR(EZ6/FB6,0)</f>
        <v>9.1428571428571435E-3</v>
      </c>
      <c r="FA14" s="17">
        <f t="shared" ref="FA14:FA18" si="134">IFERROR(FA6/FB6,0)</f>
        <v>0</v>
      </c>
      <c r="FB14" s="18">
        <f t="shared" ref="FB14:FB18" si="135">IFERROR(FB6/FB6,0)</f>
        <v>1</v>
      </c>
    </row>
    <row r="15" spans="1:158" s="14" customFormat="1" x14ac:dyDescent="0.35">
      <c r="B15" s="14" t="s">
        <v>69</v>
      </c>
      <c r="D15" s="17">
        <f>IFERROR(D7/N7,0)</f>
        <v>5.7212641705311207E-3</v>
      </c>
      <c r="E15" s="19">
        <f>IFERROR(E7/N7,0)</f>
        <v>0.94158541998712764</v>
      </c>
      <c r="F15" s="17">
        <f>IFERROR(F7/N7,0)</f>
        <v>2.6213792199524407E-2</v>
      </c>
      <c r="G15" s="17">
        <f>IFERROR(G7/N7,0)</f>
        <v>0</v>
      </c>
      <c r="H15" s="17">
        <f>IFERROR(H7/N7,0)</f>
        <v>1.0039163708158409E-2</v>
      </c>
      <c r="I15" s="17">
        <f>IFERROR(I7/N7,0)</f>
        <v>0</v>
      </c>
      <c r="J15" s="17">
        <f>IFERROR(J7/N7,0)</f>
        <v>1.2170689235493476E-2</v>
      </c>
      <c r="K15" s="17">
        <f>IFERROR(K7/N7,0)</f>
        <v>1.5603447737812146E-3</v>
      </c>
      <c r="L15" s="17">
        <f>IFERROR(L7/N7,0)</f>
        <v>2.7093259253837456E-3</v>
      </c>
      <c r="M15" s="17">
        <f>IFERROR(M7/N7,0)</f>
        <v>0</v>
      </c>
      <c r="N15" s="18">
        <f>IFERROR(N7/N7,0)</f>
        <v>1</v>
      </c>
      <c r="P15" s="17">
        <f>IFERROR(P7/Z7,0)</f>
        <v>3.864734299516908E-2</v>
      </c>
      <c r="Q15" s="19">
        <f>IFERROR(Q7/Z7,0)</f>
        <v>0.93236714975845414</v>
      </c>
      <c r="R15" s="17">
        <f>IFERROR(R7/Z7,0)</f>
        <v>0</v>
      </c>
      <c r="S15" s="17">
        <f>IFERROR(S7/Z7,0)</f>
        <v>0</v>
      </c>
      <c r="T15" s="17">
        <f>IFERROR(T7/Z7,0)</f>
        <v>1.4492753623188406E-2</v>
      </c>
      <c r="U15" s="17">
        <f>IFERROR(U7/Z7,0)</f>
        <v>0</v>
      </c>
      <c r="V15" s="17">
        <f>IFERROR(V7/Z7,0)</f>
        <v>4.830917874396135E-3</v>
      </c>
      <c r="W15" s="17">
        <f>IFERROR(W7/Z7,0)</f>
        <v>0</v>
      </c>
      <c r="X15" s="17">
        <f>IFERROR(X7/Z7,0)</f>
        <v>9.6618357487922701E-3</v>
      </c>
      <c r="Y15" s="17">
        <f>IFERROR(Y7/Z7,0)</f>
        <v>0</v>
      </c>
      <c r="Z15" s="18">
        <f>IFERROR(Z7/Z7,0)</f>
        <v>1</v>
      </c>
      <c r="AB15" s="17">
        <f>IFERROR(AB7/AL7,0)</f>
        <v>1.3842746400885937E-3</v>
      </c>
      <c r="AC15" s="19">
        <f>IFERROR(AC7/AL7,0)</f>
        <v>0.92801771871539318</v>
      </c>
      <c r="AD15" s="17">
        <f>IFERROR(AD7/AL7,0)</f>
        <v>8.3056478405315621E-3</v>
      </c>
      <c r="AE15" s="17">
        <f>IFERROR(AE7/AL7,0)</f>
        <v>0</v>
      </c>
      <c r="AF15" s="17">
        <f>IFERROR(AF7/AL7,0)</f>
        <v>2.4916943521594685E-2</v>
      </c>
      <c r="AG15" s="17">
        <f>IFERROR(AG7/AL7,0)</f>
        <v>0</v>
      </c>
      <c r="AH15" s="17">
        <f>IFERROR(AH7/AL7,0)</f>
        <v>3.0454042081949059E-2</v>
      </c>
      <c r="AI15" s="17">
        <f>IFERROR(AI7/AL7,0)</f>
        <v>0</v>
      </c>
      <c r="AJ15" s="17">
        <f>IFERROR(AJ7/AL7,0)</f>
        <v>6.9213732004429675E-3</v>
      </c>
      <c r="AK15" s="17">
        <f>IFERROR(AK7/AL7,0)</f>
        <v>0</v>
      </c>
      <c r="AL15" s="18">
        <f>IFERROR(AL7/AL7,0)</f>
        <v>1</v>
      </c>
      <c r="AN15" s="17">
        <f t="shared" si="26"/>
        <v>8.8974088318915494E-3</v>
      </c>
      <c r="AO15" s="19">
        <f t="shared" si="27"/>
        <v>0.97337652620893544</v>
      </c>
      <c r="AP15" s="17">
        <f t="shared" si="28"/>
        <v>1.7794817663783096E-3</v>
      </c>
      <c r="AQ15" s="17">
        <f t="shared" si="29"/>
        <v>0</v>
      </c>
      <c r="AR15" s="17">
        <f t="shared" si="30"/>
        <v>1.4167101426416411E-2</v>
      </c>
      <c r="AS15" s="17">
        <f t="shared" si="31"/>
        <v>0</v>
      </c>
      <c r="AT15" s="17">
        <f t="shared" si="32"/>
        <v>0</v>
      </c>
      <c r="AU15" s="17">
        <f t="shared" si="33"/>
        <v>8.8974088318915481E-4</v>
      </c>
      <c r="AV15" s="17">
        <f t="shared" si="34"/>
        <v>8.8974088318915481E-4</v>
      </c>
      <c r="AW15" s="17">
        <f t="shared" si="35"/>
        <v>0</v>
      </c>
      <c r="AX15" s="18">
        <f t="shared" si="36"/>
        <v>1</v>
      </c>
      <c r="AZ15" s="17">
        <f t="shared" si="37"/>
        <v>0</v>
      </c>
      <c r="BA15" s="19">
        <f t="shared" si="38"/>
        <v>0.93458555304263147</v>
      </c>
      <c r="BB15" s="17">
        <f t="shared" si="39"/>
        <v>2.4624859541915428E-2</v>
      </c>
      <c r="BC15" s="17">
        <f t="shared" si="40"/>
        <v>0</v>
      </c>
      <c r="BD15" s="17">
        <f t="shared" si="41"/>
        <v>7.9253493651947494E-3</v>
      </c>
      <c r="BE15" s="17">
        <f t="shared" si="42"/>
        <v>0</v>
      </c>
      <c r="BF15" s="17">
        <f t="shared" si="43"/>
        <v>2.0520716284929533E-2</v>
      </c>
      <c r="BG15" s="17">
        <f t="shared" si="44"/>
        <v>4.788167133150222E-3</v>
      </c>
      <c r="BH15" s="17">
        <f t="shared" si="45"/>
        <v>7.5553546321785988E-3</v>
      </c>
      <c r="BI15" s="17">
        <f t="shared" si="46"/>
        <v>0</v>
      </c>
      <c r="BJ15" s="18">
        <f t="shared" si="47"/>
        <v>1</v>
      </c>
      <c r="BL15" s="17">
        <f t="shared" si="48"/>
        <v>1.5936254980079682E-3</v>
      </c>
      <c r="BM15" s="19">
        <f t="shared" si="49"/>
        <v>0.95776892430278882</v>
      </c>
      <c r="BN15" s="17">
        <f t="shared" si="50"/>
        <v>1.6733067729083666E-2</v>
      </c>
      <c r="BO15" s="17">
        <f t="shared" si="51"/>
        <v>0</v>
      </c>
      <c r="BP15" s="17">
        <f t="shared" si="52"/>
        <v>1.3545816733067729E-2</v>
      </c>
      <c r="BQ15" s="17">
        <f t="shared" si="53"/>
        <v>0</v>
      </c>
      <c r="BR15" s="17">
        <f t="shared" si="54"/>
        <v>7.9681274900398405E-3</v>
      </c>
      <c r="BS15" s="17">
        <f t="shared" si="55"/>
        <v>1.5936254980079682E-3</v>
      </c>
      <c r="BT15" s="17">
        <f t="shared" si="56"/>
        <v>7.9681274900398409E-4</v>
      </c>
      <c r="BU15" s="17">
        <f t="shared" si="57"/>
        <v>0</v>
      </c>
      <c r="BV15" s="18">
        <f t="shared" si="58"/>
        <v>1</v>
      </c>
      <c r="BX15" s="17">
        <f t="shared" si="59"/>
        <v>1.8763796909492272E-2</v>
      </c>
      <c r="BY15" s="19">
        <f t="shared" si="60"/>
        <v>0.95584988962472406</v>
      </c>
      <c r="BZ15" s="17">
        <f t="shared" si="61"/>
        <v>1.379690949227373E-2</v>
      </c>
      <c r="CA15" s="17">
        <f t="shared" si="62"/>
        <v>0</v>
      </c>
      <c r="CB15" s="17">
        <f t="shared" si="63"/>
        <v>2.2075055187637969E-3</v>
      </c>
      <c r="CC15" s="17">
        <f t="shared" si="64"/>
        <v>0</v>
      </c>
      <c r="CD15" s="17">
        <f t="shared" si="65"/>
        <v>6.0706401766004413E-3</v>
      </c>
      <c r="CE15" s="17">
        <f t="shared" si="66"/>
        <v>1.1037527593818985E-3</v>
      </c>
      <c r="CF15" s="17">
        <f t="shared" si="67"/>
        <v>2.2075055187637969E-3</v>
      </c>
      <c r="CG15" s="17">
        <f t="shared" si="68"/>
        <v>0</v>
      </c>
      <c r="CH15" s="18">
        <f t="shared" si="69"/>
        <v>1</v>
      </c>
      <c r="CJ15" s="17">
        <f t="shared" si="70"/>
        <v>0</v>
      </c>
      <c r="CK15" s="19">
        <f t="shared" si="71"/>
        <v>0.91597414589104342</v>
      </c>
      <c r="CL15" s="17">
        <f t="shared" si="72"/>
        <v>5.7248384118190214E-2</v>
      </c>
      <c r="CM15" s="17">
        <f t="shared" si="73"/>
        <v>0</v>
      </c>
      <c r="CN15" s="17">
        <f t="shared" si="74"/>
        <v>1.6620498614958457E-2</v>
      </c>
      <c r="CO15" s="17">
        <f t="shared" si="75"/>
        <v>0</v>
      </c>
      <c r="CP15" s="17">
        <f t="shared" si="76"/>
        <v>1.0156971375807941E-2</v>
      </c>
      <c r="CQ15" s="17">
        <f t="shared" si="77"/>
        <v>0</v>
      </c>
      <c r="CR15" s="17">
        <f t="shared" si="78"/>
        <v>0</v>
      </c>
      <c r="CS15" s="17">
        <f t="shared" si="79"/>
        <v>0</v>
      </c>
      <c r="CT15" s="18">
        <f t="shared" si="80"/>
        <v>1</v>
      </c>
      <c r="CV15" s="17">
        <f t="shared" si="81"/>
        <v>0</v>
      </c>
      <c r="CW15" s="19">
        <f t="shared" si="82"/>
        <v>0.9128712871287129</v>
      </c>
      <c r="CX15" s="17">
        <f t="shared" si="83"/>
        <v>6.2376237623762376E-2</v>
      </c>
      <c r="CY15" s="17">
        <f t="shared" si="84"/>
        <v>0</v>
      </c>
      <c r="CZ15" s="17">
        <f t="shared" si="85"/>
        <v>6.9306930693069299E-3</v>
      </c>
      <c r="DA15" s="17">
        <f t="shared" si="86"/>
        <v>0</v>
      </c>
      <c r="DB15" s="17">
        <f t="shared" si="87"/>
        <v>1.2871287128712869E-2</v>
      </c>
      <c r="DC15" s="17">
        <f t="shared" si="88"/>
        <v>2.9702970297029703E-3</v>
      </c>
      <c r="DD15" s="17">
        <f t="shared" si="89"/>
        <v>1.9801980198019802E-3</v>
      </c>
      <c r="DE15" s="17">
        <f t="shared" si="90"/>
        <v>0</v>
      </c>
      <c r="DF15" s="18">
        <f t="shared" si="91"/>
        <v>1</v>
      </c>
      <c r="DH15" s="17">
        <f t="shared" si="92"/>
        <v>0</v>
      </c>
      <c r="DI15" s="19">
        <f t="shared" si="93"/>
        <v>0.94702842377260987</v>
      </c>
      <c r="DJ15" s="17">
        <f t="shared" si="94"/>
        <v>4.1343669250646004E-2</v>
      </c>
      <c r="DK15" s="17">
        <f t="shared" si="95"/>
        <v>0</v>
      </c>
      <c r="DL15" s="17">
        <f t="shared" si="96"/>
        <v>1.2919896640826874E-3</v>
      </c>
      <c r="DM15" s="17">
        <f t="shared" si="97"/>
        <v>0</v>
      </c>
      <c r="DN15" s="17">
        <f t="shared" si="98"/>
        <v>1.0335917312661499E-2</v>
      </c>
      <c r="DO15" s="17">
        <f t="shared" si="99"/>
        <v>0</v>
      </c>
      <c r="DP15" s="17">
        <f t="shared" si="100"/>
        <v>0</v>
      </c>
      <c r="DQ15" s="17">
        <f t="shared" si="101"/>
        <v>0</v>
      </c>
      <c r="DR15" s="18">
        <f t="shared" si="102"/>
        <v>1</v>
      </c>
      <c r="DT15" s="17">
        <f t="shared" si="103"/>
        <v>0</v>
      </c>
      <c r="DU15" s="19">
        <f t="shared" si="104"/>
        <v>0.90265486725663713</v>
      </c>
      <c r="DV15" s="17">
        <f t="shared" si="105"/>
        <v>0</v>
      </c>
      <c r="DW15" s="17">
        <f t="shared" si="106"/>
        <v>0</v>
      </c>
      <c r="DX15" s="17">
        <f t="shared" si="107"/>
        <v>0</v>
      </c>
      <c r="DY15" s="17">
        <f t="shared" si="108"/>
        <v>0</v>
      </c>
      <c r="DZ15" s="17">
        <f t="shared" si="109"/>
        <v>9.7345132743362831E-2</v>
      </c>
      <c r="EA15" s="17">
        <f t="shared" si="110"/>
        <v>0</v>
      </c>
      <c r="EB15" s="17">
        <f t="shared" si="111"/>
        <v>0</v>
      </c>
      <c r="EC15" s="17">
        <f t="shared" si="112"/>
        <v>0</v>
      </c>
      <c r="ED15" s="18">
        <f t="shared" si="113"/>
        <v>1</v>
      </c>
      <c r="EF15" s="17">
        <f t="shared" si="114"/>
        <v>0</v>
      </c>
      <c r="EG15" s="19">
        <f t="shared" si="115"/>
        <v>0.875</v>
      </c>
      <c r="EH15" s="17">
        <f t="shared" si="116"/>
        <v>8.3333333333333329E-2</v>
      </c>
      <c r="EI15" s="17">
        <f t="shared" si="117"/>
        <v>0</v>
      </c>
      <c r="EJ15" s="17">
        <f t="shared" si="118"/>
        <v>4.1666666666666664E-2</v>
      </c>
      <c r="EK15" s="17">
        <f t="shared" si="119"/>
        <v>0</v>
      </c>
      <c r="EL15" s="17">
        <f t="shared" si="120"/>
        <v>0</v>
      </c>
      <c r="EM15" s="17">
        <f t="shared" si="121"/>
        <v>0</v>
      </c>
      <c r="EN15" s="17">
        <f t="shared" si="122"/>
        <v>0</v>
      </c>
      <c r="EO15" s="17">
        <f t="shared" si="123"/>
        <v>0</v>
      </c>
      <c r="EP15" s="18">
        <f t="shared" si="124"/>
        <v>1</v>
      </c>
      <c r="ER15" s="17">
        <f t="shared" si="125"/>
        <v>0</v>
      </c>
      <c r="ES15" s="19">
        <f t="shared" si="126"/>
        <v>0.88888888888888884</v>
      </c>
      <c r="ET15" s="17">
        <f t="shared" si="127"/>
        <v>0.1111111111111111</v>
      </c>
      <c r="EU15" s="17">
        <f t="shared" si="128"/>
        <v>0</v>
      </c>
      <c r="EV15" s="17">
        <f t="shared" si="129"/>
        <v>0</v>
      </c>
      <c r="EW15" s="17">
        <f t="shared" si="130"/>
        <v>0</v>
      </c>
      <c r="EX15" s="17">
        <f t="shared" si="131"/>
        <v>0</v>
      </c>
      <c r="EY15" s="17">
        <f t="shared" si="132"/>
        <v>0</v>
      </c>
      <c r="EZ15" s="17">
        <f t="shared" si="133"/>
        <v>0</v>
      </c>
      <c r="FA15" s="17">
        <f t="shared" si="134"/>
        <v>0</v>
      </c>
      <c r="FB15" s="18">
        <f t="shared" si="135"/>
        <v>1</v>
      </c>
    </row>
    <row r="16" spans="1:158" s="14" customFormat="1" x14ac:dyDescent="0.35">
      <c r="B16" s="14" t="s">
        <v>70</v>
      </c>
      <c r="D16" s="17">
        <f>IFERROR(D8/N8,0)</f>
        <v>2.7474429548419287E-3</v>
      </c>
      <c r="E16" s="17">
        <f>IFERROR(E8/N8,0)</f>
        <v>4.3849189559277184E-2</v>
      </c>
      <c r="F16" s="19">
        <f>IFERROR(F8/N8,0)</f>
        <v>0.91566389161607287</v>
      </c>
      <c r="G16" s="17">
        <f>IFERROR(G8/N8,0)</f>
        <v>0</v>
      </c>
      <c r="H16" s="17">
        <f>IFERROR(H8/N8,0)</f>
        <v>7.0780124937720465E-3</v>
      </c>
      <c r="I16" s="17">
        <f>IFERROR(I8/N8,0)</f>
        <v>1.0989771819367712E-4</v>
      </c>
      <c r="J16" s="17">
        <f>IFERROR(J8/N8,0)</f>
        <v>2.1979543638735429E-4</v>
      </c>
      <c r="K16" s="17">
        <f>IFERROR(K8/N8,0)</f>
        <v>2.3628009411640585E-2</v>
      </c>
      <c r="L16" s="17">
        <f>IFERROR(L8/N8,0)</f>
        <v>6.7037608098143055E-3</v>
      </c>
      <c r="M16" s="17">
        <f>IFERROR(M8/N8,0)</f>
        <v>0</v>
      </c>
      <c r="N16" s="18">
        <f>IFERROR(N8/N8,0)</f>
        <v>1</v>
      </c>
      <c r="P16" s="17">
        <f>IFERROR(P8/Z8,0)</f>
        <v>0</v>
      </c>
      <c r="Q16" s="17">
        <f>IFERROR(Q8/Z8,0)</f>
        <v>2.849667107069765E-2</v>
      </c>
      <c r="R16" s="19">
        <f>IFERROR(R8/Z8,0)</f>
        <v>0.95070837847846068</v>
      </c>
      <c r="S16" s="17">
        <f>IFERROR(S8/Z8,0)</f>
        <v>0</v>
      </c>
      <c r="T16" s="17">
        <f>IFERROR(T8/Z8,0)</f>
        <v>6.5466149154928934E-3</v>
      </c>
      <c r="U16" s="17">
        <f>IFERROR(U8/Z8,0)</f>
        <v>0</v>
      </c>
      <c r="V16" s="17">
        <f>IFERROR(V8/Z8,0)</f>
        <v>2.5144121532968515E-3</v>
      </c>
      <c r="W16" s="17">
        <f>IFERROR(W8/Z8,0)</f>
        <v>4.1906869221614192E-3</v>
      </c>
      <c r="X16" s="17">
        <f>IFERROR(X8/Z8,0)</f>
        <v>7.5432364598905545E-3</v>
      </c>
      <c r="Y16" s="17">
        <f>IFERROR(Y8/Z8,0)</f>
        <v>0</v>
      </c>
      <c r="Z16" s="18">
        <f>IFERROR(Z8/Z8,0)</f>
        <v>1</v>
      </c>
      <c r="AB16" s="17">
        <f>IFERROR(AB8/AL8,0)</f>
        <v>0</v>
      </c>
      <c r="AC16" s="17">
        <f>IFERROR(AC8/AL8,0)</f>
        <v>2.0667626980647585E-2</v>
      </c>
      <c r="AD16" s="19">
        <f>IFERROR(AD8/AL8,0)</f>
        <v>0.93799711905805727</v>
      </c>
      <c r="AE16" s="17">
        <f>IFERROR(AE8/AL8,0)</f>
        <v>0</v>
      </c>
      <c r="AF16" s="17">
        <f>IFERROR(AF8/AL8,0)</f>
        <v>8.6115112419364939E-3</v>
      </c>
      <c r="AG16" s="17">
        <f>IFERROR(AG8/AL8,0)</f>
        <v>0</v>
      </c>
      <c r="AH16" s="17">
        <f>IFERROR(AH8/AL8,0)</f>
        <v>0</v>
      </c>
      <c r="AI16" s="17">
        <f>IFERROR(AI8/AL8,0)</f>
        <v>3.1001440470971378E-2</v>
      </c>
      <c r="AJ16" s="17">
        <f>IFERROR(AJ8/AL8,0)</f>
        <v>1.7223022483872988E-3</v>
      </c>
      <c r="AK16" s="17">
        <f>IFERROR(AK8/AL8,0)</f>
        <v>0</v>
      </c>
      <c r="AL16" s="18">
        <f>IFERROR(AL8/AL8,0)</f>
        <v>1</v>
      </c>
      <c r="AN16" s="17">
        <f t="shared" si="26"/>
        <v>0</v>
      </c>
      <c r="AO16" s="17">
        <f t="shared" si="27"/>
        <v>2.4521072796934874E-2</v>
      </c>
      <c r="AP16" s="19">
        <f t="shared" si="28"/>
        <v>0.96091954022988502</v>
      </c>
      <c r="AQ16" s="17">
        <f t="shared" si="29"/>
        <v>0</v>
      </c>
      <c r="AR16" s="17">
        <f t="shared" si="30"/>
        <v>6.1302681992337201E-3</v>
      </c>
      <c r="AS16" s="17">
        <f t="shared" si="31"/>
        <v>0</v>
      </c>
      <c r="AT16" s="17">
        <f t="shared" si="32"/>
        <v>0</v>
      </c>
      <c r="AU16" s="17">
        <f t="shared" si="33"/>
        <v>6.1302681992337184E-3</v>
      </c>
      <c r="AV16" s="17">
        <f t="shared" si="34"/>
        <v>2.2988505747126445E-3</v>
      </c>
      <c r="AW16" s="17">
        <f t="shared" si="35"/>
        <v>0</v>
      </c>
      <c r="AX16" s="18">
        <f t="shared" si="36"/>
        <v>1</v>
      </c>
      <c r="AZ16" s="17">
        <f t="shared" si="37"/>
        <v>7.8585461689587412E-4</v>
      </c>
      <c r="BA16" s="17">
        <f t="shared" si="38"/>
        <v>4.715127701375247E-2</v>
      </c>
      <c r="BB16" s="19">
        <f t="shared" si="39"/>
        <v>0.93870333988212185</v>
      </c>
      <c r="BC16" s="17">
        <f t="shared" si="40"/>
        <v>0</v>
      </c>
      <c r="BD16" s="17">
        <f t="shared" si="41"/>
        <v>5.1080550098231824E-3</v>
      </c>
      <c r="BE16" s="17">
        <f t="shared" si="42"/>
        <v>0</v>
      </c>
      <c r="BF16" s="17">
        <f t="shared" si="43"/>
        <v>0</v>
      </c>
      <c r="BG16" s="17">
        <f t="shared" si="44"/>
        <v>4.3222003929273079E-3</v>
      </c>
      <c r="BH16" s="17">
        <f t="shared" si="45"/>
        <v>3.929273084479371E-3</v>
      </c>
      <c r="BI16" s="17">
        <f t="shared" si="46"/>
        <v>0</v>
      </c>
      <c r="BJ16" s="18">
        <f t="shared" si="47"/>
        <v>1</v>
      </c>
      <c r="BL16" s="17">
        <f t="shared" si="48"/>
        <v>0</v>
      </c>
      <c r="BM16" s="17">
        <f t="shared" si="49"/>
        <v>9.2105263157894718E-2</v>
      </c>
      <c r="BN16" s="19">
        <f t="shared" si="50"/>
        <v>0.8861842105263158</v>
      </c>
      <c r="BO16" s="17">
        <f t="shared" si="51"/>
        <v>0</v>
      </c>
      <c r="BP16" s="17">
        <f t="shared" si="52"/>
        <v>6.578947368421054E-3</v>
      </c>
      <c r="BQ16" s="17">
        <f t="shared" si="53"/>
        <v>0</v>
      </c>
      <c r="BR16" s="17">
        <f t="shared" si="54"/>
        <v>0</v>
      </c>
      <c r="BS16" s="17">
        <f t="shared" si="55"/>
        <v>1.118421052631579E-2</v>
      </c>
      <c r="BT16" s="17">
        <f t="shared" si="56"/>
        <v>3.9473684210526308E-3</v>
      </c>
      <c r="BU16" s="17">
        <f t="shared" si="57"/>
        <v>0</v>
      </c>
      <c r="BV16" s="18">
        <f t="shared" si="58"/>
        <v>1</v>
      </c>
      <c r="BX16" s="17">
        <f t="shared" si="59"/>
        <v>1.1119347664936994E-2</v>
      </c>
      <c r="BY16" s="17">
        <f t="shared" si="60"/>
        <v>6.152705707931802E-2</v>
      </c>
      <c r="BZ16" s="19">
        <f t="shared" si="61"/>
        <v>0.89399555226093397</v>
      </c>
      <c r="CA16" s="17">
        <f t="shared" si="62"/>
        <v>0</v>
      </c>
      <c r="CB16" s="17">
        <f t="shared" si="63"/>
        <v>8.1541882876204619E-3</v>
      </c>
      <c r="CC16" s="17">
        <f t="shared" si="64"/>
        <v>1.4825796886582653E-3</v>
      </c>
      <c r="CD16" s="17">
        <f t="shared" si="65"/>
        <v>0</v>
      </c>
      <c r="CE16" s="17">
        <f t="shared" si="66"/>
        <v>1.8532246108228324E-2</v>
      </c>
      <c r="CF16" s="17">
        <f t="shared" si="67"/>
        <v>5.1890289103039312E-3</v>
      </c>
      <c r="CG16" s="17">
        <f t="shared" si="68"/>
        <v>0</v>
      </c>
      <c r="CH16" s="18">
        <f t="shared" si="69"/>
        <v>1</v>
      </c>
      <c r="CJ16" s="17">
        <f t="shared" si="70"/>
        <v>5.0428643469490675E-4</v>
      </c>
      <c r="CK16" s="17">
        <f t="shared" si="71"/>
        <v>3.5804336863338386E-2</v>
      </c>
      <c r="CL16" s="19">
        <f t="shared" si="72"/>
        <v>0.9051941502773575</v>
      </c>
      <c r="CM16" s="17">
        <f t="shared" si="73"/>
        <v>0</v>
      </c>
      <c r="CN16" s="17">
        <f t="shared" si="74"/>
        <v>2.017145738779627E-3</v>
      </c>
      <c r="CO16" s="17">
        <f t="shared" si="75"/>
        <v>0</v>
      </c>
      <c r="CP16" s="17">
        <f t="shared" si="76"/>
        <v>0</v>
      </c>
      <c r="CQ16" s="17">
        <f t="shared" si="77"/>
        <v>5.1941502773575399E-2</v>
      </c>
      <c r="CR16" s="17">
        <f t="shared" si="78"/>
        <v>4.5385779122541605E-3</v>
      </c>
      <c r="CS16" s="17">
        <f t="shared" si="79"/>
        <v>0</v>
      </c>
      <c r="CT16" s="18">
        <f t="shared" si="80"/>
        <v>1</v>
      </c>
      <c r="CV16" s="17">
        <f t="shared" si="81"/>
        <v>1.0362694300518134E-3</v>
      </c>
      <c r="CW16" s="17">
        <f t="shared" si="82"/>
        <v>9.0673575129533682E-2</v>
      </c>
      <c r="CX16" s="19">
        <f t="shared" si="83"/>
        <v>0.84922279792746103</v>
      </c>
      <c r="CY16" s="17">
        <f t="shared" si="84"/>
        <v>0</v>
      </c>
      <c r="CZ16" s="17">
        <f t="shared" si="85"/>
        <v>7.2538860103626944E-3</v>
      </c>
      <c r="DA16" s="17">
        <f t="shared" si="86"/>
        <v>0</v>
      </c>
      <c r="DB16" s="17">
        <f t="shared" si="87"/>
        <v>0</v>
      </c>
      <c r="DC16" s="17">
        <f t="shared" si="88"/>
        <v>4.4559585492227986E-2</v>
      </c>
      <c r="DD16" s="17">
        <f t="shared" si="89"/>
        <v>7.2538860103626944E-3</v>
      </c>
      <c r="DE16" s="17">
        <f t="shared" si="90"/>
        <v>0</v>
      </c>
      <c r="DF16" s="18">
        <f t="shared" si="91"/>
        <v>1</v>
      </c>
      <c r="DH16" s="17">
        <f t="shared" si="92"/>
        <v>5.3547523427041497E-3</v>
      </c>
      <c r="DI16" s="17">
        <f t="shared" si="93"/>
        <v>1.6733601070950468E-2</v>
      </c>
      <c r="DJ16" s="19">
        <f t="shared" si="94"/>
        <v>0.95247657295850063</v>
      </c>
      <c r="DK16" s="17">
        <f t="shared" si="95"/>
        <v>0</v>
      </c>
      <c r="DL16" s="17">
        <f t="shared" si="96"/>
        <v>5.3547523427041497E-3</v>
      </c>
      <c r="DM16" s="17">
        <f t="shared" si="97"/>
        <v>0</v>
      </c>
      <c r="DN16" s="17">
        <f t="shared" si="98"/>
        <v>6.6934404283801872E-4</v>
      </c>
      <c r="DO16" s="17">
        <f t="shared" si="99"/>
        <v>1.4725568942436412E-2</v>
      </c>
      <c r="DP16" s="17">
        <f t="shared" si="100"/>
        <v>4.6854082998661313E-3</v>
      </c>
      <c r="DQ16" s="17">
        <f t="shared" si="101"/>
        <v>0</v>
      </c>
      <c r="DR16" s="18">
        <f t="shared" si="102"/>
        <v>1</v>
      </c>
      <c r="DT16" s="17">
        <f t="shared" si="103"/>
        <v>4.6296296296296311E-3</v>
      </c>
      <c r="DU16" s="17">
        <f t="shared" si="104"/>
        <v>2.3148148148148161E-2</v>
      </c>
      <c r="DV16" s="19">
        <f t="shared" si="105"/>
        <v>0.94107744107744107</v>
      </c>
      <c r="DW16" s="17">
        <f t="shared" si="106"/>
        <v>0</v>
      </c>
      <c r="DX16" s="17">
        <f t="shared" si="107"/>
        <v>7.9966329966330001E-3</v>
      </c>
      <c r="DY16" s="17">
        <f t="shared" si="108"/>
        <v>0</v>
      </c>
      <c r="DZ16" s="17">
        <f t="shared" si="109"/>
        <v>0</v>
      </c>
      <c r="EA16" s="17">
        <f t="shared" si="110"/>
        <v>1.0521885521885528E-2</v>
      </c>
      <c r="EB16" s="17">
        <f t="shared" si="111"/>
        <v>1.2626262626262631E-2</v>
      </c>
      <c r="EC16" s="17">
        <f t="shared" si="112"/>
        <v>0</v>
      </c>
      <c r="ED16" s="18">
        <f t="shared" si="113"/>
        <v>1</v>
      </c>
      <c r="EF16" s="17">
        <f t="shared" si="114"/>
        <v>0</v>
      </c>
      <c r="EG16" s="17">
        <f t="shared" si="115"/>
        <v>6.0728744939271256E-3</v>
      </c>
      <c r="EH16" s="19">
        <f t="shared" si="116"/>
        <v>0.80364372469635625</v>
      </c>
      <c r="EI16" s="17">
        <f t="shared" si="117"/>
        <v>0</v>
      </c>
      <c r="EJ16" s="17">
        <f t="shared" si="118"/>
        <v>2.0242914979757085E-2</v>
      </c>
      <c r="EK16" s="17">
        <f t="shared" si="119"/>
        <v>0</v>
      </c>
      <c r="EL16" s="17">
        <f t="shared" si="120"/>
        <v>0</v>
      </c>
      <c r="EM16" s="17">
        <f t="shared" si="121"/>
        <v>0.14979757085020243</v>
      </c>
      <c r="EN16" s="17">
        <f t="shared" si="122"/>
        <v>2.0242914979757085E-2</v>
      </c>
      <c r="EO16" s="17">
        <f t="shared" si="123"/>
        <v>0</v>
      </c>
      <c r="EP16" s="18">
        <f t="shared" si="124"/>
        <v>1</v>
      </c>
      <c r="ER16" s="17">
        <f t="shared" si="125"/>
        <v>7.6976906927921623E-3</v>
      </c>
      <c r="ES16" s="17">
        <f t="shared" si="126"/>
        <v>3.358992302309307E-2</v>
      </c>
      <c r="ET16" s="19">
        <f t="shared" si="127"/>
        <v>0.90902729181245623</v>
      </c>
      <c r="EU16" s="17">
        <f t="shared" si="128"/>
        <v>0</v>
      </c>
      <c r="EV16" s="17">
        <f t="shared" si="129"/>
        <v>1.3296011196641007E-2</v>
      </c>
      <c r="EW16" s="17">
        <f t="shared" si="130"/>
        <v>0</v>
      </c>
      <c r="EX16" s="17">
        <f t="shared" si="131"/>
        <v>0</v>
      </c>
      <c r="EY16" s="17">
        <f t="shared" si="132"/>
        <v>2.5192442267319804E-2</v>
      </c>
      <c r="EZ16" s="17">
        <f t="shared" si="133"/>
        <v>1.119664100769769E-2</v>
      </c>
      <c r="FA16" s="17">
        <f t="shared" si="134"/>
        <v>0</v>
      </c>
      <c r="FB16" s="18">
        <f t="shared" si="135"/>
        <v>1</v>
      </c>
    </row>
    <row r="17" spans="2:158" s="14" customFormat="1" x14ac:dyDescent="0.35">
      <c r="B17" s="14" t="s">
        <v>71</v>
      </c>
      <c r="D17" s="17">
        <f>IFERROR(D9/N9,0)</f>
        <v>0</v>
      </c>
      <c r="E17" s="17">
        <f>IFERROR(E9/N9,0)</f>
        <v>0</v>
      </c>
      <c r="F17" s="17">
        <f>IFERROR(F9/N9,0)</f>
        <v>0</v>
      </c>
      <c r="G17" s="17">
        <f>IFERROR(G9/N9,0)</f>
        <v>0</v>
      </c>
      <c r="H17" s="19">
        <f>IFERROR(H9/N9,0)</f>
        <v>0.96455223880597019</v>
      </c>
      <c r="I17" s="17">
        <f>IFERROR(I9/N9,0)</f>
        <v>0</v>
      </c>
      <c r="J17" s="17">
        <f>IFERROR(J9/N9,0)</f>
        <v>0</v>
      </c>
      <c r="K17" s="17">
        <f>IFERROR(K9/N9,0)</f>
        <v>0</v>
      </c>
      <c r="L17" s="17">
        <f>IFERROR(L9/N9,0)</f>
        <v>3.5447761194029849E-2</v>
      </c>
      <c r="M17" s="17">
        <f>IFERROR(M9/N9,0)</f>
        <v>0</v>
      </c>
      <c r="N17" s="18">
        <f>IFERROR(N9/N9,0)</f>
        <v>1</v>
      </c>
      <c r="P17" s="17">
        <f>IFERROR(P9/Z9,0)</f>
        <v>0</v>
      </c>
      <c r="Q17" s="17">
        <f>IFERROR(Q9/Z9,0)</f>
        <v>0</v>
      </c>
      <c r="R17" s="17">
        <f>IFERROR(R9/Z9,0)</f>
        <v>0</v>
      </c>
      <c r="S17" s="17">
        <f>IFERROR(S9/Z9,0)</f>
        <v>0</v>
      </c>
      <c r="T17" s="19">
        <f>IFERROR(T9/Z9,0)</f>
        <v>0</v>
      </c>
      <c r="U17" s="17">
        <f>IFERROR(U9/Z9,0)</f>
        <v>0</v>
      </c>
      <c r="V17" s="17">
        <f>IFERROR(V9/Z9,0)</f>
        <v>0</v>
      </c>
      <c r="W17" s="17">
        <f>IFERROR(W9/Z9,0)</f>
        <v>0</v>
      </c>
      <c r="X17" s="17">
        <f>IFERROR(X9/Z9,0)</f>
        <v>0</v>
      </c>
      <c r="Y17" s="17">
        <f>IFERROR(Y9/Z9,0)</f>
        <v>0</v>
      </c>
      <c r="Z17" s="18">
        <f>IFERROR(Z9/Z9,0)</f>
        <v>0</v>
      </c>
      <c r="AB17" s="17">
        <f>IFERROR(AB9/AL9,0)</f>
        <v>0</v>
      </c>
      <c r="AC17" s="17">
        <f>IFERROR(AC9/AL9,0)</f>
        <v>0</v>
      </c>
      <c r="AD17" s="17">
        <f>IFERROR(AD9/AL9,0)</f>
        <v>0</v>
      </c>
      <c r="AE17" s="17">
        <f>IFERROR(AE9/AL9,0)</f>
        <v>0</v>
      </c>
      <c r="AF17" s="19">
        <f>IFERROR(AF9/AL9,0)</f>
        <v>0.7142857142857143</v>
      </c>
      <c r="AG17" s="17">
        <f>IFERROR(AG9/AL9,0)</f>
        <v>0</v>
      </c>
      <c r="AH17" s="17">
        <f>IFERROR(AH9/AL9,0)</f>
        <v>0</v>
      </c>
      <c r="AI17" s="17">
        <f>IFERROR(AI9/AL9,0)</f>
        <v>0</v>
      </c>
      <c r="AJ17" s="17">
        <f>IFERROR(AJ9/AL9,0)</f>
        <v>0.2857142857142857</v>
      </c>
      <c r="AK17" s="17">
        <f>IFERROR(AK9/AL9,0)</f>
        <v>0</v>
      </c>
      <c r="AL17" s="18">
        <f>IFERROR(AL9/AL9,0)</f>
        <v>1</v>
      </c>
      <c r="AN17" s="17">
        <f t="shared" si="26"/>
        <v>0</v>
      </c>
      <c r="AO17" s="17">
        <f t="shared" si="27"/>
        <v>0</v>
      </c>
      <c r="AP17" s="17">
        <f t="shared" si="28"/>
        <v>0</v>
      </c>
      <c r="AQ17" s="17">
        <f t="shared" si="29"/>
        <v>0</v>
      </c>
      <c r="AR17" s="19">
        <f t="shared" si="30"/>
        <v>1</v>
      </c>
      <c r="AS17" s="17">
        <f t="shared" si="31"/>
        <v>0</v>
      </c>
      <c r="AT17" s="17">
        <f t="shared" si="32"/>
        <v>0</v>
      </c>
      <c r="AU17" s="17">
        <f t="shared" si="33"/>
        <v>0</v>
      </c>
      <c r="AV17" s="17">
        <f t="shared" si="34"/>
        <v>0</v>
      </c>
      <c r="AW17" s="17">
        <f t="shared" si="35"/>
        <v>0</v>
      </c>
      <c r="AX17" s="18">
        <f t="shared" si="36"/>
        <v>1</v>
      </c>
      <c r="AZ17" s="17">
        <f t="shared" si="37"/>
        <v>0</v>
      </c>
      <c r="BA17" s="17">
        <f t="shared" si="38"/>
        <v>0</v>
      </c>
      <c r="BB17" s="17">
        <f t="shared" si="39"/>
        <v>0</v>
      </c>
      <c r="BC17" s="17">
        <f t="shared" si="40"/>
        <v>0</v>
      </c>
      <c r="BD17" s="19">
        <f t="shared" si="41"/>
        <v>1</v>
      </c>
      <c r="BE17" s="17">
        <f t="shared" si="42"/>
        <v>0</v>
      </c>
      <c r="BF17" s="17">
        <f t="shared" si="43"/>
        <v>0</v>
      </c>
      <c r="BG17" s="17">
        <f t="shared" si="44"/>
        <v>0</v>
      </c>
      <c r="BH17" s="17">
        <f t="shared" si="45"/>
        <v>0</v>
      </c>
      <c r="BI17" s="17">
        <f t="shared" si="46"/>
        <v>0</v>
      </c>
      <c r="BJ17" s="18">
        <f t="shared" si="47"/>
        <v>1</v>
      </c>
      <c r="BL17" s="17">
        <f t="shared" si="48"/>
        <v>0</v>
      </c>
      <c r="BM17" s="17">
        <f t="shared" si="49"/>
        <v>0</v>
      </c>
      <c r="BN17" s="17">
        <f t="shared" si="50"/>
        <v>0</v>
      </c>
      <c r="BO17" s="17">
        <f t="shared" si="51"/>
        <v>0</v>
      </c>
      <c r="BP17" s="19">
        <f t="shared" si="52"/>
        <v>0</v>
      </c>
      <c r="BQ17" s="17">
        <f t="shared" si="53"/>
        <v>0</v>
      </c>
      <c r="BR17" s="17">
        <f t="shared" si="54"/>
        <v>0</v>
      </c>
      <c r="BS17" s="17">
        <f t="shared" si="55"/>
        <v>0</v>
      </c>
      <c r="BT17" s="17">
        <f t="shared" si="56"/>
        <v>0</v>
      </c>
      <c r="BU17" s="17">
        <f t="shared" si="57"/>
        <v>0</v>
      </c>
      <c r="BV17" s="18">
        <f t="shared" si="58"/>
        <v>0</v>
      </c>
      <c r="BX17" s="17">
        <f t="shared" si="59"/>
        <v>0</v>
      </c>
      <c r="BY17" s="17">
        <f t="shared" si="60"/>
        <v>0</v>
      </c>
      <c r="BZ17" s="17">
        <f t="shared" si="61"/>
        <v>0</v>
      </c>
      <c r="CA17" s="17">
        <f t="shared" si="62"/>
        <v>0</v>
      </c>
      <c r="CB17" s="19">
        <f t="shared" si="63"/>
        <v>0</v>
      </c>
      <c r="CC17" s="17">
        <f t="shared" si="64"/>
        <v>0</v>
      </c>
      <c r="CD17" s="17">
        <f t="shared" si="65"/>
        <v>0</v>
      </c>
      <c r="CE17" s="17">
        <f t="shared" si="66"/>
        <v>0</v>
      </c>
      <c r="CF17" s="17">
        <f t="shared" si="67"/>
        <v>0</v>
      </c>
      <c r="CG17" s="17">
        <f t="shared" si="68"/>
        <v>0</v>
      </c>
      <c r="CH17" s="18">
        <f t="shared" si="69"/>
        <v>0</v>
      </c>
      <c r="CJ17" s="17">
        <f t="shared" si="70"/>
        <v>0</v>
      </c>
      <c r="CK17" s="17">
        <f t="shared" si="71"/>
        <v>0</v>
      </c>
      <c r="CL17" s="17">
        <f t="shared" si="72"/>
        <v>0</v>
      </c>
      <c r="CM17" s="17">
        <f t="shared" si="73"/>
        <v>0</v>
      </c>
      <c r="CN17" s="19">
        <f t="shared" si="74"/>
        <v>0</v>
      </c>
      <c r="CO17" s="17">
        <f t="shared" si="75"/>
        <v>0</v>
      </c>
      <c r="CP17" s="17">
        <f t="shared" si="76"/>
        <v>0</v>
      </c>
      <c r="CQ17" s="17">
        <f t="shared" si="77"/>
        <v>0</v>
      </c>
      <c r="CR17" s="17">
        <f t="shared" si="78"/>
        <v>0</v>
      </c>
      <c r="CS17" s="17">
        <f t="shared" si="79"/>
        <v>0</v>
      </c>
      <c r="CT17" s="18">
        <f t="shared" si="80"/>
        <v>0</v>
      </c>
      <c r="CV17" s="17">
        <f t="shared" si="81"/>
        <v>0</v>
      </c>
      <c r="CW17" s="17">
        <f t="shared" si="82"/>
        <v>0</v>
      </c>
      <c r="CX17" s="17">
        <f t="shared" si="83"/>
        <v>0</v>
      </c>
      <c r="CY17" s="17">
        <f t="shared" si="84"/>
        <v>0</v>
      </c>
      <c r="CZ17" s="19">
        <f t="shared" si="85"/>
        <v>0</v>
      </c>
      <c r="DA17" s="17">
        <f t="shared" si="86"/>
        <v>0</v>
      </c>
      <c r="DB17" s="17">
        <f t="shared" si="87"/>
        <v>0</v>
      </c>
      <c r="DC17" s="17">
        <f t="shared" si="88"/>
        <v>0</v>
      </c>
      <c r="DD17" s="17">
        <f t="shared" si="89"/>
        <v>0</v>
      </c>
      <c r="DE17" s="17">
        <f t="shared" si="90"/>
        <v>0</v>
      </c>
      <c r="DF17" s="18">
        <f t="shared" si="91"/>
        <v>0</v>
      </c>
      <c r="DH17" s="17">
        <f t="shared" si="92"/>
        <v>0</v>
      </c>
      <c r="DI17" s="17">
        <f t="shared" si="93"/>
        <v>0</v>
      </c>
      <c r="DJ17" s="17">
        <f t="shared" si="94"/>
        <v>0</v>
      </c>
      <c r="DK17" s="17">
        <f t="shared" si="95"/>
        <v>0</v>
      </c>
      <c r="DL17" s="19">
        <f t="shared" si="96"/>
        <v>1</v>
      </c>
      <c r="DM17" s="17">
        <f t="shared" si="97"/>
        <v>0</v>
      </c>
      <c r="DN17" s="17">
        <f t="shared" si="98"/>
        <v>0</v>
      </c>
      <c r="DO17" s="17">
        <f t="shared" si="99"/>
        <v>0</v>
      </c>
      <c r="DP17" s="17">
        <f t="shared" si="100"/>
        <v>0</v>
      </c>
      <c r="DQ17" s="17">
        <f t="shared" si="101"/>
        <v>0</v>
      </c>
      <c r="DR17" s="18">
        <f t="shared" si="102"/>
        <v>1</v>
      </c>
      <c r="DT17" s="17">
        <f t="shared" si="103"/>
        <v>0</v>
      </c>
      <c r="DU17" s="17">
        <f t="shared" si="104"/>
        <v>0</v>
      </c>
      <c r="DV17" s="17">
        <f t="shared" si="105"/>
        <v>0</v>
      </c>
      <c r="DW17" s="17">
        <f t="shared" si="106"/>
        <v>0</v>
      </c>
      <c r="DX17" s="19">
        <f t="shared" si="107"/>
        <v>0</v>
      </c>
      <c r="DY17" s="17">
        <f t="shared" si="108"/>
        <v>0</v>
      </c>
      <c r="DZ17" s="17">
        <f t="shared" si="109"/>
        <v>0</v>
      </c>
      <c r="EA17" s="17">
        <f t="shared" si="110"/>
        <v>0</v>
      </c>
      <c r="EB17" s="17">
        <f t="shared" si="111"/>
        <v>1</v>
      </c>
      <c r="EC17" s="17">
        <f t="shared" si="112"/>
        <v>0</v>
      </c>
      <c r="ED17" s="18">
        <f t="shared" si="113"/>
        <v>1</v>
      </c>
      <c r="EF17" s="17">
        <f t="shared" si="114"/>
        <v>0</v>
      </c>
      <c r="EG17" s="17">
        <f t="shared" si="115"/>
        <v>0</v>
      </c>
      <c r="EH17" s="17">
        <f t="shared" si="116"/>
        <v>0</v>
      </c>
      <c r="EI17" s="17">
        <f t="shared" si="117"/>
        <v>0</v>
      </c>
      <c r="EJ17" s="19">
        <f t="shared" si="118"/>
        <v>0</v>
      </c>
      <c r="EK17" s="17">
        <f t="shared" si="119"/>
        <v>0</v>
      </c>
      <c r="EL17" s="17">
        <f t="shared" si="120"/>
        <v>0</v>
      </c>
      <c r="EM17" s="17">
        <f t="shared" si="121"/>
        <v>0</v>
      </c>
      <c r="EN17" s="17">
        <f t="shared" si="122"/>
        <v>0</v>
      </c>
      <c r="EO17" s="17">
        <f t="shared" si="123"/>
        <v>0</v>
      </c>
      <c r="EP17" s="18">
        <f t="shared" si="124"/>
        <v>0</v>
      </c>
      <c r="ER17" s="17">
        <f t="shared" si="125"/>
        <v>0</v>
      </c>
      <c r="ES17" s="17">
        <f t="shared" si="126"/>
        <v>0</v>
      </c>
      <c r="ET17" s="17">
        <f t="shared" si="127"/>
        <v>0</v>
      </c>
      <c r="EU17" s="17">
        <f t="shared" si="128"/>
        <v>0</v>
      </c>
      <c r="EV17" s="19">
        <f t="shared" si="129"/>
        <v>0.98715203426124198</v>
      </c>
      <c r="EW17" s="17">
        <f t="shared" si="130"/>
        <v>0</v>
      </c>
      <c r="EX17" s="17">
        <f t="shared" si="131"/>
        <v>0</v>
      </c>
      <c r="EY17" s="17">
        <f t="shared" si="132"/>
        <v>0</v>
      </c>
      <c r="EZ17" s="17">
        <f t="shared" si="133"/>
        <v>1.284796573875803E-2</v>
      </c>
      <c r="FA17" s="17">
        <f t="shared" si="134"/>
        <v>0</v>
      </c>
      <c r="FB17" s="18">
        <f t="shared" si="135"/>
        <v>1</v>
      </c>
    </row>
    <row r="18" spans="2:158" x14ac:dyDescent="0.35">
      <c r="B18" s="30" t="s">
        <v>98</v>
      </c>
      <c r="C18" s="31"/>
      <c r="D18" s="32">
        <f>IFERROR(D10/N10,0)</f>
        <v>0.15036904945288779</v>
      </c>
      <c r="E18" s="32">
        <f>IFERROR(E10/N10,0)</f>
        <v>0.28888402682951664</v>
      </c>
      <c r="F18" s="32">
        <f>IFERROR(F10/N10,0)</f>
        <v>0.48944082545932099</v>
      </c>
      <c r="G18" s="32">
        <f>IFERROR(G10/N10,0)</f>
        <v>0</v>
      </c>
      <c r="H18" s="32">
        <f>IFERROR(H10/N10,0)</f>
        <v>4.4438723692008845E-2</v>
      </c>
      <c r="I18" s="32">
        <f>IFERROR(I10/N10,0)</f>
        <v>2.3550237460542908E-3</v>
      </c>
      <c r="J18" s="32">
        <f>IFERROR(J10/N10,0)</f>
        <v>3.6761346279871859E-3</v>
      </c>
      <c r="K18" s="32">
        <f>IFERROR(K10/N10,0)</f>
        <v>1.3814224656733097E-2</v>
      </c>
      <c r="L18" s="32">
        <f>IFERROR(L10/N10,0)</f>
        <v>7.0219915354911479E-3</v>
      </c>
      <c r="M18" s="32">
        <f>IFERROR(M10/N10,0)</f>
        <v>0</v>
      </c>
      <c r="N18" s="33">
        <f>IFERROR(N10/N10,0)</f>
        <v>1</v>
      </c>
      <c r="P18" s="32">
        <f>IFERROR(P10/Z10,0)</f>
        <v>0.19312941332915007</v>
      </c>
      <c r="Q18" s="32">
        <f>IFERROR(Q10/Z10,0)</f>
        <v>0.13199081206814695</v>
      </c>
      <c r="R18" s="32">
        <f>IFERROR(R10/Z10,0)</f>
        <v>0.64813254557864541</v>
      </c>
      <c r="S18" s="32">
        <f>IFERROR(S10/Z10,0)</f>
        <v>0</v>
      </c>
      <c r="T18" s="32">
        <f>IFERROR(T10/Z10,0)</f>
        <v>1.4748064290589643E-2</v>
      </c>
      <c r="U18" s="32">
        <f>IFERROR(U10/Z10,0)</f>
        <v>5.7138879683180501E-4</v>
      </c>
      <c r="V18" s="32">
        <f>IFERROR(V10/Z10,0)</f>
        <v>2.28555518732722E-3</v>
      </c>
      <c r="W18" s="32">
        <f>IFERROR(W10/Z10,0)</f>
        <v>2.8569439841590249E-3</v>
      </c>
      <c r="X18" s="32">
        <f>IFERROR(X10/Z10,0)</f>
        <v>6.2852767651498543E-3</v>
      </c>
      <c r="Y18" s="32">
        <f>IFERROR(Y10/Z10,0)</f>
        <v>0</v>
      </c>
      <c r="Z18" s="33">
        <f>IFERROR(Z10/Z10,0)</f>
        <v>1</v>
      </c>
      <c r="AB18" s="32">
        <f>IFERROR(AB10/AL10,0)</f>
        <v>0.26582705610305574</v>
      </c>
      <c r="AC18" s="32">
        <f>IFERROR(AC10/AL10,0)</f>
        <v>0.37303123232202934</v>
      </c>
      <c r="AD18" s="32">
        <f>IFERROR(AD10/AL10,0)</f>
        <v>0.3005527932434176</v>
      </c>
      <c r="AE18" s="32">
        <f>IFERROR(AE10/AL10,0)</f>
        <v>0</v>
      </c>
      <c r="AF18" s="32">
        <f>IFERROR(AF10/AL10,0)</f>
        <v>3.1113228332390507E-2</v>
      </c>
      <c r="AG18" s="32">
        <f>IFERROR(AG10/AL10,0)</f>
        <v>2.1833844443782812E-3</v>
      </c>
      <c r="AH18" s="32">
        <f>IFERROR(AH10/AL10,0)</f>
        <v>1.2008614444080547E-2</v>
      </c>
      <c r="AI18" s="32">
        <f>IFERROR(AI10/AL10,0)</f>
        <v>9.825229999702265E-3</v>
      </c>
      <c r="AJ18" s="32">
        <f>IFERROR(AJ10/AL10,0)</f>
        <v>5.4584611109457035E-3</v>
      </c>
      <c r="AK18" s="32">
        <f>IFERROR(AK10/AL10,0)</f>
        <v>0</v>
      </c>
      <c r="AL18" s="33">
        <f>IFERROR(AL10/AL10,0)</f>
        <v>1</v>
      </c>
      <c r="AN18" s="32">
        <f>IFERROR(AN10/AX10,0)</f>
        <v>3.6050030888321928E-3</v>
      </c>
      <c r="AO18" s="32">
        <f>IFERROR(AO10/AX10,0)</f>
        <v>0.40592334780250489</v>
      </c>
      <c r="AP18" s="32">
        <f>IFERROR(AP10/AX10,0)</f>
        <v>0.45278838795732324</v>
      </c>
      <c r="AQ18" s="32">
        <f>IFERROR(AQ10/AX10,0)</f>
        <v>0</v>
      </c>
      <c r="AR18" s="32">
        <f>IFERROR(AR10/AX10,0)</f>
        <v>0.13299675713585785</v>
      </c>
      <c r="AS18" s="32">
        <f>IFERROR(AS10/AX10,0)</f>
        <v>0</v>
      </c>
      <c r="AT18" s="32">
        <f>IFERROR(AT10/AX10,0)</f>
        <v>0</v>
      </c>
      <c r="AU18" s="32">
        <f>IFERROR(AU10/AX10,0)</f>
        <v>3.2445027799489733E-3</v>
      </c>
      <c r="AV18" s="32">
        <f>IFERROR(AV10/AX10,0)</f>
        <v>1.4420012355328771E-3</v>
      </c>
      <c r="AW18" s="32">
        <f>IFERROR(AW10/AX10,0)</f>
        <v>0</v>
      </c>
      <c r="AX18" s="33">
        <f>IFERROR(AX10/AX10,0)</f>
        <v>1</v>
      </c>
      <c r="AZ18" s="32">
        <f>IFERROR(AZ10/BJ10,0)</f>
        <v>1.222213802527138E-3</v>
      </c>
      <c r="BA18" s="32">
        <f>IFERROR(BA10/BJ10,0)</f>
        <v>0.36331660826336531</v>
      </c>
      <c r="BB18" s="32">
        <f>IFERROR(BB10/BJ10,0)</f>
        <v>0.59277369422566206</v>
      </c>
      <c r="BC18" s="32">
        <f>IFERROR(BC10/BJ10,0)</f>
        <v>0</v>
      </c>
      <c r="BD18" s="32">
        <f>IFERROR(BD10/BJ10,0)</f>
        <v>2.580982219900263E-2</v>
      </c>
      <c r="BE18" s="32">
        <f>IFERROR(BE10/BJ10,0)</f>
        <v>0</v>
      </c>
      <c r="BF18" s="32">
        <f>IFERROR(BF10/BJ10,0)</f>
        <v>7.3332828151628322E-3</v>
      </c>
      <c r="BG18" s="32">
        <f>IFERROR(BG10/BJ10,0)</f>
        <v>4.3999696890976974E-3</v>
      </c>
      <c r="BH18" s="32">
        <f>IFERROR(BH10/BJ10,0)</f>
        <v>5.1444090051824092E-3</v>
      </c>
      <c r="BI18" s="32">
        <f>IFERROR(BI10/BJ10,0)</f>
        <v>0</v>
      </c>
      <c r="BJ18" s="33">
        <f>IFERROR(BJ10/BJ10,0)</f>
        <v>1</v>
      </c>
      <c r="BL18" s="32">
        <f t="shared" si="48"/>
        <v>9.4998427178357964E-2</v>
      </c>
      <c r="BM18" s="32">
        <f t="shared" si="49"/>
        <v>0.44699591066373073</v>
      </c>
      <c r="BN18" s="32">
        <f t="shared" si="50"/>
        <v>0.43032400125825732</v>
      </c>
      <c r="BO18" s="32">
        <f t="shared" si="51"/>
        <v>0</v>
      </c>
      <c r="BP18" s="32">
        <f t="shared" si="52"/>
        <v>1.1953444479396037E-2</v>
      </c>
      <c r="BQ18" s="32">
        <f t="shared" si="53"/>
        <v>3.1456432840515884E-4</v>
      </c>
      <c r="BR18" s="32">
        <f t="shared" si="54"/>
        <v>3.1456432840515887E-3</v>
      </c>
      <c r="BS18" s="32">
        <f t="shared" si="55"/>
        <v>1.0066058508965083E-2</v>
      </c>
      <c r="BT18" s="32">
        <f t="shared" si="56"/>
        <v>2.2019502988361119E-3</v>
      </c>
      <c r="BU18" s="32">
        <f t="shared" si="57"/>
        <v>0</v>
      </c>
      <c r="BV18" s="33">
        <f t="shared" si="58"/>
        <v>1</v>
      </c>
      <c r="BX18" s="32">
        <f t="shared" si="59"/>
        <v>0.12980902297259894</v>
      </c>
      <c r="BY18" s="32">
        <f t="shared" si="60"/>
        <v>0.50456684195959034</v>
      </c>
      <c r="BZ18" s="32">
        <f t="shared" si="61"/>
        <v>0.34071408801549952</v>
      </c>
      <c r="CA18" s="32">
        <f t="shared" si="62"/>
        <v>0</v>
      </c>
      <c r="CB18" s="32">
        <f t="shared" si="63"/>
        <v>5.8123443122059231E-3</v>
      </c>
      <c r="CC18" s="32">
        <f t="shared" si="64"/>
        <v>2.2142264046498754E-3</v>
      </c>
      <c r="CD18" s="32">
        <f t="shared" si="65"/>
        <v>4.1516745087185163E-3</v>
      </c>
      <c r="CE18" s="32">
        <f t="shared" si="66"/>
        <v>8.0265707168557989E-3</v>
      </c>
      <c r="CF18" s="32">
        <f t="shared" si="67"/>
        <v>4.7052311098809852E-3</v>
      </c>
      <c r="CG18" s="32">
        <f t="shared" si="68"/>
        <v>0</v>
      </c>
      <c r="CH18" s="33">
        <f t="shared" si="69"/>
        <v>1</v>
      </c>
      <c r="CJ18" s="32">
        <f t="shared" si="70"/>
        <v>8.6815773984696878E-2</v>
      </c>
      <c r="CK18" s="32">
        <f t="shared" si="71"/>
        <v>0.31283107710417896</v>
      </c>
      <c r="CL18" s="32">
        <f t="shared" si="72"/>
        <v>0.5464979399646851</v>
      </c>
      <c r="CM18" s="32">
        <f t="shared" si="73"/>
        <v>0</v>
      </c>
      <c r="CN18" s="32">
        <f t="shared" si="74"/>
        <v>1.2948793407886995E-2</v>
      </c>
      <c r="CO18" s="32">
        <f t="shared" si="75"/>
        <v>2.942907592701589E-3</v>
      </c>
      <c r="CP18" s="32">
        <f t="shared" si="76"/>
        <v>3.2371983519717479E-3</v>
      </c>
      <c r="CQ18" s="32">
        <f t="shared" si="77"/>
        <v>3.0311948204826373E-2</v>
      </c>
      <c r="CR18" s="32">
        <f t="shared" si="78"/>
        <v>4.4143613890523835E-3</v>
      </c>
      <c r="CS18" s="32">
        <f t="shared" si="79"/>
        <v>0</v>
      </c>
      <c r="CT18" s="33">
        <f t="shared" si="80"/>
        <v>1</v>
      </c>
      <c r="CV18" s="32">
        <f t="shared" si="81"/>
        <v>0.15879850065849457</v>
      </c>
      <c r="CW18" s="32">
        <f t="shared" si="82"/>
        <v>0.31313949954411913</v>
      </c>
      <c r="CX18" s="32">
        <f t="shared" si="83"/>
        <v>0.47444534494985302</v>
      </c>
      <c r="CY18" s="32">
        <f t="shared" si="84"/>
        <v>0</v>
      </c>
      <c r="CZ18" s="32">
        <f t="shared" si="85"/>
        <v>1.6158443926653832E-2</v>
      </c>
      <c r="DA18" s="32">
        <f t="shared" si="86"/>
        <v>0</v>
      </c>
      <c r="DB18" s="32">
        <f t="shared" si="87"/>
        <v>3.9003140512612697E-3</v>
      </c>
      <c r="DC18" s="32">
        <f t="shared" si="88"/>
        <v>2.6466416776415768E-2</v>
      </c>
      <c r="DD18" s="32">
        <f t="shared" si="89"/>
        <v>7.0914800932023094E-3</v>
      </c>
      <c r="DE18" s="32">
        <f t="shared" si="90"/>
        <v>0</v>
      </c>
      <c r="DF18" s="33">
        <f t="shared" si="91"/>
        <v>1</v>
      </c>
      <c r="DH18" s="32">
        <f t="shared" si="92"/>
        <v>0.12092686459087618</v>
      </c>
      <c r="DI18" s="32">
        <f t="shared" si="93"/>
        <v>0.27552498189717595</v>
      </c>
      <c r="DJ18" s="32">
        <f t="shared" si="94"/>
        <v>0.52787834902244746</v>
      </c>
      <c r="DK18" s="32">
        <f t="shared" si="95"/>
        <v>0</v>
      </c>
      <c r="DL18" s="32">
        <f t="shared" si="96"/>
        <v>6.1549601737871107E-2</v>
      </c>
      <c r="DM18" s="32">
        <f t="shared" si="97"/>
        <v>0</v>
      </c>
      <c r="DN18" s="32">
        <f t="shared" si="98"/>
        <v>3.2585083272990588E-3</v>
      </c>
      <c r="DO18" s="32">
        <f t="shared" si="99"/>
        <v>7.965242577842143E-3</v>
      </c>
      <c r="DP18" s="32">
        <f t="shared" si="100"/>
        <v>2.8964518464880519E-3</v>
      </c>
      <c r="DQ18" s="32">
        <f t="shared" si="101"/>
        <v>0</v>
      </c>
      <c r="DR18" s="33">
        <f t="shared" si="102"/>
        <v>1</v>
      </c>
      <c r="DT18" s="32">
        <f t="shared" si="103"/>
        <v>0.19408555842664374</v>
      </c>
      <c r="DU18" s="32">
        <f t="shared" si="104"/>
        <v>6.316393913293139E-2</v>
      </c>
      <c r="DV18" s="32">
        <f t="shared" si="105"/>
        <v>0.66953775480907252</v>
      </c>
      <c r="DW18" s="32">
        <f t="shared" si="106"/>
        <v>0</v>
      </c>
      <c r="DX18" s="32">
        <f t="shared" si="107"/>
        <v>2.0384725811082405E-2</v>
      </c>
      <c r="DY18" s="32">
        <f t="shared" si="108"/>
        <v>1.5503875968992251E-2</v>
      </c>
      <c r="DZ18" s="32">
        <f t="shared" si="109"/>
        <v>3.15819695664657E-3</v>
      </c>
      <c r="EA18" s="32">
        <f t="shared" si="110"/>
        <v>1.1484352569623889E-2</v>
      </c>
      <c r="EB18" s="32">
        <f t="shared" si="111"/>
        <v>2.2681596325007183E-2</v>
      </c>
      <c r="EC18" s="32">
        <f t="shared" si="112"/>
        <v>0</v>
      </c>
      <c r="ED18" s="33">
        <f t="shared" si="113"/>
        <v>1</v>
      </c>
      <c r="EF18" s="32">
        <f t="shared" si="114"/>
        <v>0.59476740775503023</v>
      </c>
      <c r="EG18" s="32">
        <f t="shared" si="115"/>
        <v>2.7101542793453393E-2</v>
      </c>
      <c r="EH18" s="32">
        <f t="shared" si="116"/>
        <v>0.26456267965037839</v>
      </c>
      <c r="EI18" s="32">
        <f t="shared" si="117"/>
        <v>0</v>
      </c>
      <c r="EJ18" s="32">
        <f t="shared" si="118"/>
        <v>5.3557810758491232E-2</v>
      </c>
      <c r="EK18" s="32">
        <f t="shared" si="119"/>
        <v>1.290549656831114E-3</v>
      </c>
      <c r="EL18" s="32">
        <f t="shared" si="120"/>
        <v>0</v>
      </c>
      <c r="EM18" s="32">
        <f t="shared" si="121"/>
        <v>4.7750337302751217E-2</v>
      </c>
      <c r="EN18" s="32">
        <f t="shared" si="122"/>
        <v>1.0969672083064468E-2</v>
      </c>
      <c r="EO18" s="32">
        <f t="shared" si="123"/>
        <v>0</v>
      </c>
      <c r="EP18" s="33">
        <f t="shared" si="124"/>
        <v>1</v>
      </c>
      <c r="ER18" s="32">
        <f t="shared" si="125"/>
        <v>0.29592566118656183</v>
      </c>
      <c r="ES18" s="32">
        <f t="shared" si="126"/>
        <v>2.7877055039313797E-2</v>
      </c>
      <c r="ET18" s="32">
        <f t="shared" si="127"/>
        <v>0.47069335239456755</v>
      </c>
      <c r="EU18" s="32">
        <f t="shared" si="128"/>
        <v>0</v>
      </c>
      <c r="EV18" s="32">
        <f t="shared" si="129"/>
        <v>0.18048606147248034</v>
      </c>
      <c r="EW18" s="32">
        <f t="shared" si="130"/>
        <v>7.1479628305932811E-4</v>
      </c>
      <c r="EX18" s="32">
        <f t="shared" si="131"/>
        <v>7.1479628305932789E-4</v>
      </c>
      <c r="EY18" s="32">
        <f t="shared" si="132"/>
        <v>1.2866333095067906E-2</v>
      </c>
      <c r="EZ18" s="32">
        <f t="shared" si="133"/>
        <v>1.0721944245889922E-2</v>
      </c>
      <c r="FA18" s="32">
        <f t="shared" si="134"/>
        <v>0</v>
      </c>
      <c r="FB18" s="33">
        <f t="shared" si="135"/>
        <v>1</v>
      </c>
    </row>
    <row r="19" spans="2:158" x14ac:dyDescent="0.35">
      <c r="L19" s="2"/>
    </row>
    <row r="20" spans="2:158" ht="15" thickBot="1" x14ac:dyDescent="0.4">
      <c r="B20" s="15" t="s">
        <v>97</v>
      </c>
      <c r="L20" s="2"/>
    </row>
    <row r="21" spans="2:158" x14ac:dyDescent="0.35">
      <c r="B21" s="14" t="s">
        <v>68</v>
      </c>
      <c r="D21" s="26">
        <f>D6/D$10</f>
        <v>0.97994547948535415</v>
      </c>
      <c r="E21" s="23">
        <f t="shared" ref="E21:BK25" si="136">E6/E$10</f>
        <v>2.0778021679276278E-2</v>
      </c>
      <c r="F21" s="23">
        <f t="shared" si="136"/>
        <v>7.3935291789949944E-3</v>
      </c>
      <c r="G21" s="23" t="e">
        <f t="shared" si="136"/>
        <v>#DIV/0!</v>
      </c>
      <c r="H21" s="23">
        <f t="shared" si="136"/>
        <v>0.1861282734017527</v>
      </c>
      <c r="I21" s="27">
        <f t="shared" si="136"/>
        <v>0.97560975609756095</v>
      </c>
      <c r="J21" s="23">
        <f t="shared" si="136"/>
        <v>5.46875E-2</v>
      </c>
      <c r="K21" s="23">
        <f t="shared" si="136"/>
        <v>7.4844074844074848E-2</v>
      </c>
      <c r="L21" s="23">
        <f t="shared" si="136"/>
        <v>0.23907789551961331</v>
      </c>
      <c r="M21" s="23" t="e">
        <f t="shared" si="136"/>
        <v>#DIV/0!</v>
      </c>
      <c r="N21" s="28">
        <f t="shared" si="136"/>
        <v>0.17045724535326662</v>
      </c>
      <c r="O21" s="23" t="e">
        <f t="shared" si="136"/>
        <v>#DIV/0!</v>
      </c>
      <c r="P21" s="26">
        <f t="shared" si="136"/>
        <v>0.97633136094674555</v>
      </c>
      <c r="Q21" s="23">
        <f t="shared" si="136"/>
        <v>1.7316017316017316E-2</v>
      </c>
      <c r="R21" s="23">
        <f t="shared" si="136"/>
        <v>0</v>
      </c>
      <c r="S21" s="23" t="e">
        <f t="shared" si="136"/>
        <v>#DIV/0!</v>
      </c>
      <c r="T21" s="23">
        <f t="shared" si="136"/>
        <v>0.58114961961115807</v>
      </c>
      <c r="U21" s="27">
        <f>U6/U$10</f>
        <v>1</v>
      </c>
      <c r="V21" s="23">
        <f t="shared" si="136"/>
        <v>0</v>
      </c>
      <c r="W21" s="23">
        <f t="shared" si="136"/>
        <v>0</v>
      </c>
      <c r="X21" s="23">
        <f t="shared" si="136"/>
        <v>0</v>
      </c>
      <c r="Y21" s="23" t="e">
        <f t="shared" si="136"/>
        <v>#DIV/0!</v>
      </c>
      <c r="Z21" s="28">
        <f t="shared" si="136"/>
        <v>0.19998607889113174</v>
      </c>
      <c r="AA21" s="23" t="e">
        <f t="shared" si="136"/>
        <v>#DIV/0!</v>
      </c>
      <c r="AB21" s="26">
        <f t="shared" si="136"/>
        <v>0.99794661190965095</v>
      </c>
      <c r="AC21" s="23">
        <f t="shared" si="136"/>
        <v>1.4632718759145448E-3</v>
      </c>
      <c r="AD21" s="23">
        <f t="shared" si="136"/>
        <v>0</v>
      </c>
      <c r="AE21" s="23" t="e">
        <f t="shared" si="136"/>
        <v>#DIV/0!</v>
      </c>
      <c r="AF21" s="23">
        <f t="shared" si="136"/>
        <v>0.50877192982456132</v>
      </c>
      <c r="AG21" s="27">
        <f t="shared" si="136"/>
        <v>1</v>
      </c>
      <c r="AH21" s="23">
        <f t="shared" si="136"/>
        <v>0</v>
      </c>
      <c r="AI21" s="23">
        <f t="shared" si="136"/>
        <v>0</v>
      </c>
      <c r="AJ21" s="23">
        <f t="shared" si="136"/>
        <v>0.2</v>
      </c>
      <c r="AK21" s="23" t="e">
        <f t="shared" si="136"/>
        <v>#DIV/0!</v>
      </c>
      <c r="AL21" s="28">
        <f t="shared" si="136"/>
        <v>0.28493166999136571</v>
      </c>
      <c r="AM21" s="23" t="e">
        <f t="shared" si="136"/>
        <v>#DIV/0!</v>
      </c>
      <c r="AN21" s="26">
        <f t="shared" si="136"/>
        <v>0</v>
      </c>
      <c r="AO21" s="23">
        <f t="shared" si="136"/>
        <v>0</v>
      </c>
      <c r="AP21" s="23">
        <f t="shared" si="136"/>
        <v>0</v>
      </c>
      <c r="AQ21" s="23" t="e">
        <f t="shared" si="136"/>
        <v>#DIV/0!</v>
      </c>
      <c r="AR21" s="23">
        <f t="shared" si="136"/>
        <v>0</v>
      </c>
      <c r="AS21" s="27" t="e">
        <f t="shared" si="136"/>
        <v>#DIV/0!</v>
      </c>
      <c r="AT21" s="23" t="e">
        <f t="shared" si="136"/>
        <v>#DIV/0!</v>
      </c>
      <c r="AU21" s="23">
        <f t="shared" si="136"/>
        <v>0</v>
      </c>
      <c r="AV21" s="23">
        <f t="shared" si="136"/>
        <v>0</v>
      </c>
      <c r="AW21" s="23" t="e">
        <f t="shared" si="136"/>
        <v>#DIV/0!</v>
      </c>
      <c r="AX21" s="28">
        <f t="shared" si="136"/>
        <v>0</v>
      </c>
      <c r="AY21" s="23" t="e">
        <f t="shared" si="136"/>
        <v>#DIV/0!</v>
      </c>
      <c r="AZ21" s="26">
        <f t="shared" si="136"/>
        <v>0.6</v>
      </c>
      <c r="BA21" s="23">
        <f t="shared" si="136"/>
        <v>0</v>
      </c>
      <c r="BB21" s="23">
        <f t="shared" si="136"/>
        <v>0</v>
      </c>
      <c r="BC21" s="23" t="e">
        <f t="shared" si="136"/>
        <v>#DIV/0!</v>
      </c>
      <c r="BD21" s="23">
        <f t="shared" si="136"/>
        <v>9.4709199707262472E-3</v>
      </c>
      <c r="BE21" s="27" t="e">
        <f t="shared" si="136"/>
        <v>#DIV/0!</v>
      </c>
      <c r="BF21" s="23">
        <f t="shared" si="136"/>
        <v>0</v>
      </c>
      <c r="BG21" s="23">
        <f t="shared" si="136"/>
        <v>0</v>
      </c>
      <c r="BH21" s="23">
        <f t="shared" si="136"/>
        <v>0</v>
      </c>
      <c r="BI21" s="23" t="e">
        <f t="shared" si="136"/>
        <v>#DIV/0!</v>
      </c>
      <c r="BJ21" s="28">
        <f t="shared" si="136"/>
        <v>9.7777104202171044E-4</v>
      </c>
      <c r="BK21" s="23" t="e">
        <f t="shared" si="136"/>
        <v>#DIV/0!</v>
      </c>
      <c r="BL21" s="26">
        <f t="shared" ref="BL21:BV21" si="137">BL6/BL$10</f>
        <v>0.99337748344370858</v>
      </c>
      <c r="BM21" s="23">
        <f t="shared" si="137"/>
        <v>5.5594651653764954E-2</v>
      </c>
      <c r="BN21" s="23">
        <f t="shared" si="137"/>
        <v>0</v>
      </c>
      <c r="BO21" s="23" t="e">
        <f t="shared" si="137"/>
        <v>#DIV/0!</v>
      </c>
      <c r="BP21" s="23">
        <f t="shared" si="137"/>
        <v>0.28947368421052633</v>
      </c>
      <c r="BQ21" s="27">
        <f t="shared" si="137"/>
        <v>1</v>
      </c>
      <c r="BR21" s="23">
        <f t="shared" si="137"/>
        <v>0</v>
      </c>
      <c r="BS21" s="23">
        <f t="shared" si="137"/>
        <v>0.40625</v>
      </c>
      <c r="BT21" s="23">
        <f t="shared" si="137"/>
        <v>0</v>
      </c>
      <c r="BU21" s="23" t="e">
        <f t="shared" si="137"/>
        <v>#DIV/0!</v>
      </c>
      <c r="BV21" s="28">
        <f t="shared" si="137"/>
        <v>0.12708398867568416</v>
      </c>
      <c r="BX21" s="26">
        <f t="shared" ref="BX21:CH21" si="138">BX6/BX$10</f>
        <v>0.89552238805970152</v>
      </c>
      <c r="BY21" s="23">
        <f t="shared" si="138"/>
        <v>4.388370817334065E-3</v>
      </c>
      <c r="BZ21" s="23">
        <f t="shared" si="138"/>
        <v>0</v>
      </c>
      <c r="CA21" s="23" t="e">
        <f t="shared" si="138"/>
        <v>#DIV/0!</v>
      </c>
      <c r="CB21" s="23">
        <f t="shared" si="138"/>
        <v>0.2857142857142857</v>
      </c>
      <c r="CC21" s="27">
        <f t="shared" si="138"/>
        <v>0.75</v>
      </c>
      <c r="CD21" s="23">
        <f t="shared" si="138"/>
        <v>0.26666666666666666</v>
      </c>
      <c r="CE21" s="23">
        <f t="shared" si="138"/>
        <v>6.8965517241379309E-2</v>
      </c>
      <c r="CF21" s="23">
        <f t="shared" si="138"/>
        <v>0.35294117647058826</v>
      </c>
      <c r="CG21" s="23" t="e">
        <f t="shared" si="138"/>
        <v>#DIV/0!</v>
      </c>
      <c r="CH21" s="28">
        <f t="shared" si="138"/>
        <v>0.12510379186271794</v>
      </c>
      <c r="CJ21" s="26">
        <f t="shared" ref="CJ21:CT21" si="139">CJ6/CJ$10</f>
        <v>0.99661016949152548</v>
      </c>
      <c r="CK21" s="23">
        <f t="shared" si="139"/>
        <v>0</v>
      </c>
      <c r="CL21" s="23">
        <f t="shared" si="139"/>
        <v>0</v>
      </c>
      <c r="CM21" s="23" t="e">
        <f t="shared" si="139"/>
        <v>#DIV/0!</v>
      </c>
      <c r="CN21" s="23">
        <f t="shared" si="139"/>
        <v>0.49999999999999994</v>
      </c>
      <c r="CO21" s="27">
        <f t="shared" si="139"/>
        <v>1</v>
      </c>
      <c r="CP21" s="23">
        <f t="shared" si="139"/>
        <v>0</v>
      </c>
      <c r="CQ21" s="23">
        <f t="shared" si="139"/>
        <v>0</v>
      </c>
      <c r="CR21" s="23">
        <f t="shared" si="139"/>
        <v>0.39999999999999997</v>
      </c>
      <c r="CS21" s="23" t="e">
        <f t="shared" si="139"/>
        <v>#DIV/0!</v>
      </c>
      <c r="CT21" s="28">
        <f t="shared" si="139"/>
        <v>9.7704532077692766E-2</v>
      </c>
      <c r="CV21" s="26">
        <f t="shared" ref="CV21:DF21" si="140">CV6/CV$10</f>
        <v>0.99649122807017543</v>
      </c>
      <c r="CW21" s="23">
        <f t="shared" si="140"/>
        <v>2.4021352313167259E-2</v>
      </c>
      <c r="CX21" s="23">
        <f t="shared" si="140"/>
        <v>5.8719906048150332E-4</v>
      </c>
      <c r="CY21" s="23" t="e">
        <f t="shared" si="140"/>
        <v>#DIV/0!</v>
      </c>
      <c r="CZ21" s="23">
        <f t="shared" si="140"/>
        <v>0.63793103448275856</v>
      </c>
      <c r="DA21" s="27" t="e">
        <f t="shared" si="140"/>
        <v>#DIV/0!</v>
      </c>
      <c r="DB21" s="23">
        <f t="shared" si="140"/>
        <v>7.1428571428571438E-2</v>
      </c>
      <c r="DC21" s="23">
        <f t="shared" si="140"/>
        <v>6.3157894736842093E-2</v>
      </c>
      <c r="DD21" s="23">
        <f t="shared" si="140"/>
        <v>0.37142857142857144</v>
      </c>
      <c r="DE21" s="23" t="e">
        <f t="shared" si="140"/>
        <v>#DIV/0!</v>
      </c>
      <c r="DF21" s="28">
        <f t="shared" si="140"/>
        <v>0.18093404923513323</v>
      </c>
      <c r="DH21" s="26">
        <f t="shared" ref="DH21:DR21" si="141">DH6/DH$10</f>
        <v>0.9760479041916168</v>
      </c>
      <c r="DI21" s="23">
        <f t="shared" si="141"/>
        <v>3.9421813403416554E-3</v>
      </c>
      <c r="DJ21" s="23">
        <f t="shared" si="141"/>
        <v>2.05761316872428E-3</v>
      </c>
      <c r="DK21" s="23" t="e">
        <f t="shared" si="141"/>
        <v>#DIV/0!</v>
      </c>
      <c r="DL21" s="23">
        <f t="shared" si="141"/>
        <v>0.10588235294117647</v>
      </c>
      <c r="DM21" s="27" t="e">
        <f t="shared" si="141"/>
        <v>#DIV/0!</v>
      </c>
      <c r="DN21" s="23">
        <f t="shared" si="141"/>
        <v>0</v>
      </c>
      <c r="DO21" s="23">
        <f t="shared" si="141"/>
        <v>0</v>
      </c>
      <c r="DP21" s="23">
        <f t="shared" si="141"/>
        <v>0.125</v>
      </c>
      <c r="DQ21" s="23" t="e">
        <f t="shared" si="141"/>
        <v>#DIV/0!</v>
      </c>
      <c r="DR21" s="28">
        <f t="shared" si="141"/>
        <v>0.12708182476466329</v>
      </c>
      <c r="DT21" s="26">
        <f t="shared" ref="DT21:ED21" si="142">DT6/DT$10</f>
        <v>0.98372781065088755</v>
      </c>
      <c r="DU21" s="23">
        <f t="shared" si="142"/>
        <v>0.28636363636363638</v>
      </c>
      <c r="DV21" s="23">
        <f t="shared" si="142"/>
        <v>4.1166380789022315E-2</v>
      </c>
      <c r="DW21" s="23" t="e">
        <f t="shared" si="142"/>
        <v>#DIV/0!</v>
      </c>
      <c r="DX21" s="23">
        <f t="shared" si="142"/>
        <v>0.73239436619718312</v>
      </c>
      <c r="DY21" s="27">
        <f t="shared" si="142"/>
        <v>1</v>
      </c>
      <c r="DZ21" s="23">
        <f t="shared" si="142"/>
        <v>0</v>
      </c>
      <c r="EA21" s="23">
        <f t="shared" si="142"/>
        <v>0.375</v>
      </c>
      <c r="EB21" s="23">
        <f t="shared" si="142"/>
        <v>0.24050632911392408</v>
      </c>
      <c r="EC21" s="23" t="e">
        <f t="shared" si="142"/>
        <v>#DIV/0!</v>
      </c>
      <c r="ED21" s="28">
        <f t="shared" si="142"/>
        <v>0.27677289692793577</v>
      </c>
      <c r="EF21" s="26">
        <f t="shared" ref="EF21:EP21" si="143">EF6/EF$10</f>
        <v>1</v>
      </c>
      <c r="EG21" s="23">
        <f t="shared" si="143"/>
        <v>0.42857142857142855</v>
      </c>
      <c r="EH21" s="23">
        <f t="shared" si="143"/>
        <v>2.6829268292682926E-2</v>
      </c>
      <c r="EI21" s="23" t="e">
        <f t="shared" si="143"/>
        <v>#DIV/0!</v>
      </c>
      <c r="EJ21" s="23">
        <f t="shared" si="143"/>
        <v>0.86746987951807231</v>
      </c>
      <c r="EK21" s="27">
        <f t="shared" si="143"/>
        <v>1</v>
      </c>
      <c r="EL21" s="23" t="e">
        <f t="shared" si="143"/>
        <v>#DIV/0!</v>
      </c>
      <c r="EM21" s="23">
        <f t="shared" si="143"/>
        <v>0</v>
      </c>
      <c r="EN21" s="23">
        <f t="shared" si="143"/>
        <v>0.41176470588235292</v>
      </c>
      <c r="EO21" s="23" t="e">
        <f t="shared" si="143"/>
        <v>#DIV/0!</v>
      </c>
      <c r="EP21" s="28">
        <f t="shared" si="143"/>
        <v>0.66574763888074151</v>
      </c>
      <c r="ER21" s="26">
        <f t="shared" ref="ER21:FB21" si="144">ER6/ER$10</f>
        <v>0.98671497584541068</v>
      </c>
      <c r="ES21" s="23">
        <f t="shared" si="144"/>
        <v>7.6923076923076927E-2</v>
      </c>
      <c r="ET21" s="23">
        <f t="shared" si="144"/>
        <v>1.1389521640091117E-2</v>
      </c>
      <c r="EU21" s="23" t="e">
        <f t="shared" si="144"/>
        <v>#DIV/0!</v>
      </c>
      <c r="EV21" s="23">
        <f t="shared" si="144"/>
        <v>4.95049504950495E-2</v>
      </c>
      <c r="EW21" s="27">
        <f t="shared" si="144"/>
        <v>1</v>
      </c>
      <c r="EX21" s="23">
        <f t="shared" si="144"/>
        <v>1</v>
      </c>
      <c r="EY21" s="23">
        <f t="shared" si="144"/>
        <v>0</v>
      </c>
      <c r="EZ21" s="23">
        <f t="shared" si="144"/>
        <v>0.26666666666666666</v>
      </c>
      <c r="FA21" s="23" t="e">
        <f t="shared" si="144"/>
        <v>#DIV/0!</v>
      </c>
      <c r="FB21" s="28">
        <f t="shared" si="144"/>
        <v>0.31272337383845605</v>
      </c>
    </row>
    <row r="22" spans="2:158" x14ac:dyDescent="0.35">
      <c r="B22" s="14" t="s">
        <v>69</v>
      </c>
      <c r="D22" s="23">
        <f t="shared" ref="D22:O25" si="145">D7/D$10</f>
        <v>1.0504748841004984E-2</v>
      </c>
      <c r="E22" s="26">
        <f t="shared" si="145"/>
        <v>0.8998877137271234</v>
      </c>
      <c r="F22" s="23">
        <f t="shared" si="145"/>
        <v>1.4787058357989989E-2</v>
      </c>
      <c r="G22" s="23" t="e">
        <f t="shared" si="145"/>
        <v>#DIV/0!</v>
      </c>
      <c r="H22" s="23">
        <f t="shared" si="145"/>
        <v>6.2371772425284307E-2</v>
      </c>
      <c r="I22" s="23">
        <f t="shared" si="145"/>
        <v>0</v>
      </c>
      <c r="J22" s="27">
        <f t="shared" si="145"/>
        <v>0.91406250000000011</v>
      </c>
      <c r="K22" s="23">
        <f t="shared" si="145"/>
        <v>3.1185031185031187E-2</v>
      </c>
      <c r="L22" s="23">
        <f t="shared" si="145"/>
        <v>0.10652537646402677</v>
      </c>
      <c r="M22" s="23" t="e">
        <f t="shared" si="145"/>
        <v>#DIV/0!</v>
      </c>
      <c r="N22" s="28">
        <f t="shared" si="145"/>
        <v>0.27609092167065696</v>
      </c>
      <c r="O22" s="23" t="e">
        <f t="shared" si="145"/>
        <v>#DIV/0!</v>
      </c>
      <c r="P22" s="23">
        <f t="shared" si="136"/>
        <v>2.3668639053254437E-2</v>
      </c>
      <c r="Q22" s="26">
        <f t="shared" si="136"/>
        <v>0.83549783549783552</v>
      </c>
      <c r="R22" s="23">
        <f t="shared" si="136"/>
        <v>0</v>
      </c>
      <c r="S22" s="23" t="e">
        <f t="shared" si="136"/>
        <v>#DIV/0!</v>
      </c>
      <c r="T22" s="23">
        <f t="shared" si="136"/>
        <v>0.11622992392223161</v>
      </c>
      <c r="U22" s="23">
        <f t="shared" si="136"/>
        <v>0</v>
      </c>
      <c r="V22" s="27">
        <f t="shared" si="136"/>
        <v>0.25</v>
      </c>
      <c r="W22" s="23">
        <f t="shared" si="136"/>
        <v>0</v>
      </c>
      <c r="X22" s="23">
        <f t="shared" si="136"/>
        <v>0.18181818181818182</v>
      </c>
      <c r="Y22" s="23" t="e">
        <f t="shared" si="136"/>
        <v>#DIV/0!</v>
      </c>
      <c r="Z22" s="28">
        <f t="shared" si="136"/>
        <v>0.11827748094418362</v>
      </c>
      <c r="AA22" s="23" t="e">
        <f t="shared" si="136"/>
        <v>#DIV/0!</v>
      </c>
      <c r="AB22" s="23">
        <f t="shared" si="136"/>
        <v>2.0533880903490761E-3</v>
      </c>
      <c r="AC22" s="26">
        <f t="shared" si="136"/>
        <v>0.98097746561311094</v>
      </c>
      <c r="AD22" s="23">
        <f t="shared" si="136"/>
        <v>1.0896843217540616E-2</v>
      </c>
      <c r="AE22" s="23" t="e">
        <f t="shared" si="136"/>
        <v>#DIV/0!</v>
      </c>
      <c r="AF22" s="23">
        <f t="shared" si="136"/>
        <v>0.31578947368421051</v>
      </c>
      <c r="AG22" s="23">
        <f t="shared" si="136"/>
        <v>0</v>
      </c>
      <c r="AH22" s="27">
        <f t="shared" si="136"/>
        <v>1</v>
      </c>
      <c r="AI22" s="23">
        <f t="shared" si="136"/>
        <v>0</v>
      </c>
      <c r="AJ22" s="23">
        <f t="shared" si="136"/>
        <v>0.5</v>
      </c>
      <c r="AK22" s="23" t="e">
        <f t="shared" si="136"/>
        <v>#DIV/0!</v>
      </c>
      <c r="AL22" s="28">
        <f t="shared" si="136"/>
        <v>0.39431923065471758</v>
      </c>
      <c r="AM22" s="23" t="e">
        <f t="shared" si="136"/>
        <v>#DIV/0!</v>
      </c>
      <c r="AN22" s="23">
        <f t="shared" si="136"/>
        <v>1</v>
      </c>
      <c r="AO22" s="26">
        <f t="shared" si="136"/>
        <v>0.97158081705150978</v>
      </c>
      <c r="AP22" s="23">
        <f t="shared" si="136"/>
        <v>1.5923566878980897E-3</v>
      </c>
      <c r="AQ22" s="23" t="e">
        <f t="shared" si="136"/>
        <v>#DIV/0!</v>
      </c>
      <c r="AR22" s="23">
        <f t="shared" si="136"/>
        <v>4.316006061875486E-2</v>
      </c>
      <c r="AS22" s="23" t="e">
        <f t="shared" si="136"/>
        <v>#DIV/0!</v>
      </c>
      <c r="AT22" s="27" t="e">
        <f t="shared" si="136"/>
        <v>#DIV/0!</v>
      </c>
      <c r="AU22" s="23">
        <f t="shared" si="136"/>
        <v>0.1111111111111111</v>
      </c>
      <c r="AV22" s="23">
        <f t="shared" si="136"/>
        <v>0.25</v>
      </c>
      <c r="AW22" s="23" t="e">
        <f t="shared" si="136"/>
        <v>#DIV/0!</v>
      </c>
      <c r="AX22" s="28">
        <f t="shared" si="136"/>
        <v>0.40517449034268838</v>
      </c>
      <c r="AY22" s="23" t="e">
        <f t="shared" si="136"/>
        <v>#DIV/0!</v>
      </c>
      <c r="AZ22" s="23">
        <f t="shared" si="136"/>
        <v>0</v>
      </c>
      <c r="BA22" s="26">
        <f t="shared" si="136"/>
        <v>0.91926289469434885</v>
      </c>
      <c r="BB22" s="23">
        <f t="shared" si="136"/>
        <v>1.4845360824742266E-2</v>
      </c>
      <c r="BC22" s="23" t="e">
        <f t="shared" si="136"/>
        <v>#DIV/0!</v>
      </c>
      <c r="BD22" s="23">
        <f t="shared" si="136"/>
        <v>0.10973352275173272</v>
      </c>
      <c r="BE22" s="23" t="e">
        <f t="shared" si="136"/>
        <v>#DIV/0!</v>
      </c>
      <c r="BF22" s="27">
        <f t="shared" si="136"/>
        <v>1</v>
      </c>
      <c r="BG22" s="23">
        <f t="shared" si="136"/>
        <v>0.3888888888888889</v>
      </c>
      <c r="BH22" s="23">
        <f t="shared" si="136"/>
        <v>0.52483801295896337</v>
      </c>
      <c r="BI22" s="23" t="e">
        <f t="shared" si="136"/>
        <v>#DIV/0!</v>
      </c>
      <c r="BJ22" s="28">
        <f t="shared" si="136"/>
        <v>0.35735998263123075</v>
      </c>
      <c r="BK22" s="23" t="e">
        <f t="shared" si="136"/>
        <v>#DIV/0!</v>
      </c>
      <c r="BL22" s="23">
        <f t="shared" ref="BL22:BV22" si="146">BL7/BL$10</f>
        <v>6.6225165562913916E-3</v>
      </c>
      <c r="BM22" s="26">
        <f t="shared" si="146"/>
        <v>0.8458831808585503</v>
      </c>
      <c r="BN22" s="23">
        <f t="shared" si="146"/>
        <v>1.5350877192982455E-2</v>
      </c>
      <c r="BO22" s="23" t="e">
        <f t="shared" si="146"/>
        <v>#DIV/0!</v>
      </c>
      <c r="BP22" s="23">
        <f t="shared" si="146"/>
        <v>0.44736842105263158</v>
      </c>
      <c r="BQ22" s="23">
        <f t="shared" si="146"/>
        <v>0</v>
      </c>
      <c r="BR22" s="27">
        <f t="shared" si="146"/>
        <v>1</v>
      </c>
      <c r="BS22" s="23">
        <f t="shared" si="146"/>
        <v>6.25E-2</v>
      </c>
      <c r="BT22" s="23">
        <f t="shared" si="146"/>
        <v>0.14285714285714288</v>
      </c>
      <c r="BU22" s="23" t="e">
        <f t="shared" si="146"/>
        <v>#DIV/0!</v>
      </c>
      <c r="BV22" s="28">
        <f t="shared" si="146"/>
        <v>0.39477823214847435</v>
      </c>
      <c r="BX22" s="23">
        <f t="shared" ref="BX22:CH22" si="147">BX7/BX$10</f>
        <v>7.2494669509594892E-2</v>
      </c>
      <c r="BY22" s="26">
        <f t="shared" si="147"/>
        <v>0.95008228195282496</v>
      </c>
      <c r="BZ22" s="23">
        <f t="shared" si="147"/>
        <v>2.030869212022746E-2</v>
      </c>
      <c r="CA22" s="23" t="e">
        <f t="shared" si="147"/>
        <v>#DIV/0!</v>
      </c>
      <c r="CB22" s="23">
        <f t="shared" si="147"/>
        <v>0.19047619047619047</v>
      </c>
      <c r="CC22" s="23">
        <f t="shared" si="147"/>
        <v>0</v>
      </c>
      <c r="CD22" s="27">
        <f t="shared" si="147"/>
        <v>0.73333333333333328</v>
      </c>
      <c r="CE22" s="23">
        <f t="shared" si="147"/>
        <v>6.8965517241379309E-2</v>
      </c>
      <c r="CF22" s="23">
        <f t="shared" si="147"/>
        <v>0.23529411764705882</v>
      </c>
      <c r="CG22" s="23" t="e">
        <f t="shared" si="147"/>
        <v>#DIV/0!</v>
      </c>
      <c r="CH22" s="28">
        <f t="shared" si="147"/>
        <v>0.50152228065319682</v>
      </c>
      <c r="CJ22" s="23">
        <f t="shared" ref="CJ22:CT22" si="148">CJ7/CJ$10</f>
        <v>0</v>
      </c>
      <c r="CK22" s="26">
        <f t="shared" si="148"/>
        <v>0.93320790216368765</v>
      </c>
      <c r="CL22" s="23">
        <f t="shared" si="148"/>
        <v>3.3387183629509959E-2</v>
      </c>
      <c r="CM22" s="23" t="e">
        <f t="shared" si="148"/>
        <v>#DIV/0!</v>
      </c>
      <c r="CN22" s="23">
        <f t="shared" si="148"/>
        <v>0.40909090909090917</v>
      </c>
      <c r="CO22" s="23">
        <f t="shared" si="148"/>
        <v>0</v>
      </c>
      <c r="CP22" s="27">
        <f t="shared" si="148"/>
        <v>1</v>
      </c>
      <c r="CQ22" s="23">
        <f t="shared" si="148"/>
        <v>0</v>
      </c>
      <c r="CR22" s="23">
        <f t="shared" si="148"/>
        <v>0</v>
      </c>
      <c r="CS22" s="23" t="e">
        <f t="shared" si="148"/>
        <v>#DIV/0!</v>
      </c>
      <c r="CT22" s="28">
        <f t="shared" si="148"/>
        <v>0.31871689228958211</v>
      </c>
      <c r="CV22" s="23">
        <f t="shared" ref="CV22:DF22" si="149">CV7/CV$10</f>
        <v>0</v>
      </c>
      <c r="CW22" s="26">
        <f t="shared" si="149"/>
        <v>0.82028469750889677</v>
      </c>
      <c r="CX22" s="23">
        <f t="shared" si="149"/>
        <v>3.6993540810334707E-2</v>
      </c>
      <c r="CY22" s="23" t="e">
        <f t="shared" si="149"/>
        <v>#DIV/0!</v>
      </c>
      <c r="CZ22" s="23">
        <f t="shared" si="149"/>
        <v>0.1206896551724138</v>
      </c>
      <c r="DA22" s="23" t="e">
        <f t="shared" si="149"/>
        <v>#DIV/0!</v>
      </c>
      <c r="DB22" s="27">
        <f t="shared" si="149"/>
        <v>0.9285714285714286</v>
      </c>
      <c r="DC22" s="23">
        <f t="shared" si="149"/>
        <v>3.1578947368421047E-2</v>
      </c>
      <c r="DD22" s="23">
        <f t="shared" si="149"/>
        <v>7.857142857142857E-2</v>
      </c>
      <c r="DE22" s="23" t="e">
        <f t="shared" si="149"/>
        <v>#DIV/0!</v>
      </c>
      <c r="DF22" s="28">
        <f t="shared" si="149"/>
        <v>0.2813797994124202</v>
      </c>
      <c r="DH22" s="23">
        <f t="shared" ref="DH22:DR22" si="150">DH7/DH$10</f>
        <v>0</v>
      </c>
      <c r="DI22" s="26">
        <f t="shared" si="150"/>
        <v>0.96320630749014458</v>
      </c>
      <c r="DJ22" s="23">
        <f t="shared" si="150"/>
        <v>2.1947873799725657E-2</v>
      </c>
      <c r="DK22" s="23" t="e">
        <f t="shared" si="150"/>
        <v>#DIV/0!</v>
      </c>
      <c r="DL22" s="23">
        <f t="shared" si="150"/>
        <v>5.8823529411764705E-3</v>
      </c>
      <c r="DM22" s="23" t="e">
        <f t="shared" si="150"/>
        <v>#DIV/0!</v>
      </c>
      <c r="DN22" s="27">
        <f t="shared" si="150"/>
        <v>0.88888888888888884</v>
      </c>
      <c r="DO22" s="23">
        <f t="shared" si="150"/>
        <v>0</v>
      </c>
      <c r="DP22" s="23">
        <f t="shared" si="150"/>
        <v>0</v>
      </c>
      <c r="DQ22" s="23" t="e">
        <f t="shared" si="150"/>
        <v>#DIV/0!</v>
      </c>
      <c r="DR22" s="28">
        <f t="shared" si="150"/>
        <v>0.28023171614771902</v>
      </c>
      <c r="DT22" s="23">
        <f t="shared" ref="DT22:ED22" si="151">DT7/DT$10</f>
        <v>0</v>
      </c>
      <c r="DU22" s="26">
        <f t="shared" si="151"/>
        <v>0.46363636363636362</v>
      </c>
      <c r="DV22" s="23">
        <f t="shared" si="151"/>
        <v>0</v>
      </c>
      <c r="DW22" s="23" t="e">
        <f t="shared" si="151"/>
        <v>#DIV/0!</v>
      </c>
      <c r="DX22" s="23">
        <f t="shared" si="151"/>
        <v>0</v>
      </c>
      <c r="DY22" s="23">
        <f t="shared" si="151"/>
        <v>0</v>
      </c>
      <c r="DZ22" s="27">
        <f t="shared" si="151"/>
        <v>1</v>
      </c>
      <c r="EA22" s="23">
        <f t="shared" si="151"/>
        <v>0</v>
      </c>
      <c r="EB22" s="23">
        <f t="shared" si="151"/>
        <v>0</v>
      </c>
      <c r="EC22" s="23" t="e">
        <f t="shared" si="151"/>
        <v>#DIV/0!</v>
      </c>
      <c r="ED22" s="28">
        <f t="shared" si="151"/>
        <v>3.2443296009187488E-2</v>
      </c>
      <c r="EF22" s="23">
        <f t="shared" ref="EF22:EP22" si="152">EF7/EF$10</f>
        <v>0</v>
      </c>
      <c r="EG22" s="26">
        <f t="shared" si="152"/>
        <v>0.5</v>
      </c>
      <c r="EH22" s="23">
        <f t="shared" si="152"/>
        <v>4.8780487804878049E-3</v>
      </c>
      <c r="EI22" s="23" t="e">
        <f t="shared" si="152"/>
        <v>#DIV/0!</v>
      </c>
      <c r="EJ22" s="23">
        <f t="shared" si="152"/>
        <v>1.2048192771084338E-2</v>
      </c>
      <c r="EK22" s="23">
        <f t="shared" si="152"/>
        <v>0</v>
      </c>
      <c r="EL22" s="27" t="e">
        <f t="shared" si="152"/>
        <v>#DIV/0!</v>
      </c>
      <c r="EM22" s="23">
        <f t="shared" si="152"/>
        <v>0</v>
      </c>
      <c r="EN22" s="23">
        <f t="shared" si="152"/>
        <v>0</v>
      </c>
      <c r="EO22" s="23" t="e">
        <f t="shared" si="152"/>
        <v>#DIV/0!</v>
      </c>
      <c r="EP22" s="28">
        <f t="shared" si="152"/>
        <v>1.5486595881973368E-2</v>
      </c>
      <c r="ER22" s="23">
        <f t="shared" ref="ER22:FB22" si="153">ER7/ER$10</f>
        <v>0</v>
      </c>
      <c r="ES22" s="26">
        <f t="shared" si="153"/>
        <v>0.30769230769230771</v>
      </c>
      <c r="ET22" s="23">
        <f t="shared" si="153"/>
        <v>2.2779043280182231E-3</v>
      </c>
      <c r="EU22" s="23" t="e">
        <f t="shared" si="153"/>
        <v>#DIV/0!</v>
      </c>
      <c r="EV22" s="23">
        <f t="shared" si="153"/>
        <v>0</v>
      </c>
      <c r="EW22" s="23">
        <f t="shared" si="153"/>
        <v>0</v>
      </c>
      <c r="EX22" s="27">
        <f t="shared" si="153"/>
        <v>0</v>
      </c>
      <c r="EY22" s="23">
        <f t="shared" si="153"/>
        <v>0</v>
      </c>
      <c r="EZ22" s="23">
        <f t="shared" si="153"/>
        <v>0</v>
      </c>
      <c r="FA22" s="23" t="e">
        <f t="shared" si="153"/>
        <v>#DIV/0!</v>
      </c>
      <c r="FB22" s="28">
        <f t="shared" si="153"/>
        <v>9.6497498213009292E-3</v>
      </c>
    </row>
    <row r="23" spans="2:158" x14ac:dyDescent="0.35">
      <c r="B23" s="14" t="s">
        <v>70</v>
      </c>
      <c r="D23" s="23">
        <f t="shared" si="145"/>
        <v>9.5497716736408934E-3</v>
      </c>
      <c r="E23" s="23">
        <f t="shared" si="145"/>
        <v>7.9334264593600337E-2</v>
      </c>
      <c r="F23" s="26">
        <f t="shared" si="145"/>
        <v>0.97781941246301507</v>
      </c>
      <c r="G23" s="23" t="e">
        <f t="shared" si="145"/>
        <v>#DIV/0!</v>
      </c>
      <c r="H23" s="23">
        <f t="shared" si="145"/>
        <v>8.324775036250362E-2</v>
      </c>
      <c r="I23" s="23">
        <f t="shared" si="145"/>
        <v>2.4390243902439018E-2</v>
      </c>
      <c r="J23" s="23">
        <f t="shared" si="145"/>
        <v>3.125E-2</v>
      </c>
      <c r="K23" s="27">
        <f t="shared" si="145"/>
        <v>0.89397089397089402</v>
      </c>
      <c r="L23" s="23">
        <f t="shared" si="145"/>
        <v>0.49897750511247446</v>
      </c>
      <c r="M23" s="23" t="e">
        <f t="shared" si="145"/>
        <v>#DIV/0!</v>
      </c>
      <c r="N23" s="28">
        <f t="shared" si="145"/>
        <v>0.52266420546668368</v>
      </c>
      <c r="O23" s="23" t="e">
        <f t="shared" si="145"/>
        <v>#DIV/0!</v>
      </c>
      <c r="P23" s="23">
        <f t="shared" si="136"/>
        <v>0</v>
      </c>
      <c r="Q23" s="23">
        <f t="shared" si="136"/>
        <v>0.1471861471861472</v>
      </c>
      <c r="R23" s="26">
        <f t="shared" si="136"/>
        <v>1</v>
      </c>
      <c r="S23" s="23" t="e">
        <f t="shared" si="136"/>
        <v>#DIV/0!</v>
      </c>
      <c r="T23" s="23">
        <f t="shared" si="136"/>
        <v>0.30262045646661029</v>
      </c>
      <c r="U23" s="23">
        <f t="shared" si="136"/>
        <v>0</v>
      </c>
      <c r="V23" s="23">
        <f t="shared" si="136"/>
        <v>0.75</v>
      </c>
      <c r="W23" s="27">
        <f t="shared" si="136"/>
        <v>1</v>
      </c>
      <c r="X23" s="23">
        <f t="shared" si="136"/>
        <v>0.81818181818181823</v>
      </c>
      <c r="Y23" s="23" t="e">
        <f t="shared" si="136"/>
        <v>#DIV/0!</v>
      </c>
      <c r="Z23" s="28">
        <f t="shared" si="136"/>
        <v>0.6817364401646846</v>
      </c>
      <c r="AA23" s="23" t="e">
        <f t="shared" si="136"/>
        <v>#DIV/0!</v>
      </c>
      <c r="AB23" s="23">
        <f t="shared" si="136"/>
        <v>0</v>
      </c>
      <c r="AC23" s="23">
        <f t="shared" si="136"/>
        <v>1.755926251097454E-2</v>
      </c>
      <c r="AD23" s="26">
        <f t="shared" si="136"/>
        <v>0.98910315678245941</v>
      </c>
      <c r="AE23" s="23" t="e">
        <f t="shared" si="136"/>
        <v>#DIV/0!</v>
      </c>
      <c r="AF23" s="23">
        <f t="shared" si="136"/>
        <v>8.771929824561403E-2</v>
      </c>
      <c r="AG23" s="23">
        <f t="shared" si="136"/>
        <v>0</v>
      </c>
      <c r="AH23" s="23">
        <f t="shared" si="136"/>
        <v>0</v>
      </c>
      <c r="AI23" s="27">
        <f t="shared" si="136"/>
        <v>1</v>
      </c>
      <c r="AJ23" s="23">
        <f t="shared" si="136"/>
        <v>0.1</v>
      </c>
      <c r="AK23" s="23" t="e">
        <f t="shared" si="136"/>
        <v>#DIV/0!</v>
      </c>
      <c r="AL23" s="28">
        <f t="shared" si="136"/>
        <v>0.31692817657625472</v>
      </c>
      <c r="AM23" s="23" t="e">
        <f t="shared" si="136"/>
        <v>#DIV/0!</v>
      </c>
      <c r="AN23" s="23">
        <f t="shared" si="136"/>
        <v>0</v>
      </c>
      <c r="AO23" s="23">
        <f t="shared" si="136"/>
        <v>2.8419182948490232E-2</v>
      </c>
      <c r="AP23" s="26">
        <f t="shared" si="136"/>
        <v>0.99840764331210186</v>
      </c>
      <c r="AQ23" s="23" t="e">
        <f t="shared" si="136"/>
        <v>#DIV/0!</v>
      </c>
      <c r="AR23" s="23">
        <f t="shared" si="136"/>
        <v>2.1684757833002728E-2</v>
      </c>
      <c r="AS23" s="23" t="e">
        <f t="shared" si="136"/>
        <v>#DIV/0!</v>
      </c>
      <c r="AT23" s="23" t="e">
        <f t="shared" si="136"/>
        <v>#DIV/0!</v>
      </c>
      <c r="AU23" s="27">
        <f t="shared" si="136"/>
        <v>0.88888888888888884</v>
      </c>
      <c r="AV23" s="23">
        <f t="shared" si="136"/>
        <v>0.75</v>
      </c>
      <c r="AW23" s="23" t="e">
        <f t="shared" si="136"/>
        <v>#DIV/0!</v>
      </c>
      <c r="AX23" s="28">
        <f t="shared" si="136"/>
        <v>0.47045290309260096</v>
      </c>
      <c r="AY23" s="23" t="e">
        <f t="shared" si="136"/>
        <v>#DIV/0!</v>
      </c>
      <c r="AZ23" s="23">
        <f t="shared" si="136"/>
        <v>0.4</v>
      </c>
      <c r="BA23" s="23">
        <f t="shared" si="136"/>
        <v>8.0737105305651147E-2</v>
      </c>
      <c r="BB23" s="26">
        <f t="shared" si="136"/>
        <v>0.9851546391752577</v>
      </c>
      <c r="BC23" s="23" t="e">
        <f t="shared" si="136"/>
        <v>#DIV/0!</v>
      </c>
      <c r="BD23" s="23">
        <f t="shared" si="136"/>
        <v>0.12312195961944124</v>
      </c>
      <c r="BE23" s="23" t="e">
        <f t="shared" si="136"/>
        <v>#DIV/0!</v>
      </c>
      <c r="BF23" s="23">
        <f t="shared" si="136"/>
        <v>0</v>
      </c>
      <c r="BG23" s="27">
        <f t="shared" si="136"/>
        <v>0.61111111111111116</v>
      </c>
      <c r="BH23" s="23">
        <f t="shared" si="136"/>
        <v>0.47516198704103674</v>
      </c>
      <c r="BI23" s="23" t="e">
        <f t="shared" si="136"/>
        <v>#DIV/0!</v>
      </c>
      <c r="BJ23" s="28">
        <f t="shared" si="136"/>
        <v>0.62210682548631346</v>
      </c>
      <c r="BK23" s="23" t="e">
        <f t="shared" si="136"/>
        <v>#DIV/0!</v>
      </c>
      <c r="BL23" s="23">
        <f t="shared" ref="BL23:BV23" si="154">BL8/BL$10</f>
        <v>0</v>
      </c>
      <c r="BM23" s="23">
        <f t="shared" si="154"/>
        <v>9.8522167487684706E-2</v>
      </c>
      <c r="BN23" s="26">
        <f t="shared" si="154"/>
        <v>0.98464912280701755</v>
      </c>
      <c r="BO23" s="23" t="e">
        <f t="shared" si="154"/>
        <v>#DIV/0!</v>
      </c>
      <c r="BP23" s="23">
        <f t="shared" si="154"/>
        <v>0.26315789473684215</v>
      </c>
      <c r="BQ23" s="23">
        <f t="shared" si="154"/>
        <v>0</v>
      </c>
      <c r="BR23" s="23">
        <f t="shared" si="154"/>
        <v>0</v>
      </c>
      <c r="BS23" s="27">
        <f t="shared" si="154"/>
        <v>0.53125</v>
      </c>
      <c r="BT23" s="23">
        <f t="shared" si="154"/>
        <v>0.8571428571428571</v>
      </c>
      <c r="BU23" s="23" t="e">
        <f t="shared" si="154"/>
        <v>#DIV/0!</v>
      </c>
      <c r="BV23" s="28">
        <f t="shared" si="154"/>
        <v>0.47813777917584144</v>
      </c>
      <c r="BX23" s="23">
        <f t="shared" ref="BX23:CH23" si="155">BX8/BX$10</f>
        <v>3.1982942430703633E-2</v>
      </c>
      <c r="BY23" s="23">
        <f t="shared" si="155"/>
        <v>4.5529347229840922E-2</v>
      </c>
      <c r="BZ23" s="26">
        <f t="shared" si="155"/>
        <v>0.97969130787977254</v>
      </c>
      <c r="CA23" s="23" t="e">
        <f t="shared" si="155"/>
        <v>#DIV/0!</v>
      </c>
      <c r="CB23" s="23">
        <f t="shared" si="155"/>
        <v>0.52380952380952384</v>
      </c>
      <c r="CC23" s="23">
        <f t="shared" si="155"/>
        <v>0.24999999999999994</v>
      </c>
      <c r="CD23" s="23">
        <f t="shared" si="155"/>
        <v>0</v>
      </c>
      <c r="CE23" s="27">
        <f t="shared" si="155"/>
        <v>0.86206896551724144</v>
      </c>
      <c r="CF23" s="23">
        <f t="shared" si="155"/>
        <v>0.41176470588235303</v>
      </c>
      <c r="CG23" s="23" t="e">
        <f t="shared" si="155"/>
        <v>#DIV/0!</v>
      </c>
      <c r="CH23" s="28">
        <f t="shared" si="155"/>
        <v>0.37337392748408521</v>
      </c>
      <c r="CJ23" s="23">
        <f t="shared" ref="CJ23:CT23" si="156">CJ8/CJ$10</f>
        <v>3.3898305084745762E-3</v>
      </c>
      <c r="CK23" s="23">
        <f t="shared" si="156"/>
        <v>6.6792097836312334E-2</v>
      </c>
      <c r="CL23" s="26">
        <f t="shared" si="156"/>
        <v>0.96661281637049001</v>
      </c>
      <c r="CM23" s="23" t="e">
        <f t="shared" si="156"/>
        <v>#DIV/0!</v>
      </c>
      <c r="CN23" s="23">
        <f t="shared" si="156"/>
        <v>9.0909090909090898E-2</v>
      </c>
      <c r="CO23" s="23">
        <f t="shared" si="156"/>
        <v>0</v>
      </c>
      <c r="CP23" s="23">
        <f t="shared" si="156"/>
        <v>0</v>
      </c>
      <c r="CQ23" s="27">
        <f t="shared" si="156"/>
        <v>1</v>
      </c>
      <c r="CR23" s="23">
        <f t="shared" si="156"/>
        <v>0.6</v>
      </c>
      <c r="CS23" s="23" t="e">
        <f t="shared" si="156"/>
        <v>#DIV/0!</v>
      </c>
      <c r="CT23" s="28">
        <f t="shared" si="156"/>
        <v>0.58357857563272508</v>
      </c>
      <c r="CV23" s="23">
        <f t="shared" ref="CV23:DF23" si="157">CV8/CV$10</f>
        <v>3.5087719298245615E-3</v>
      </c>
      <c r="CW23" s="23">
        <f t="shared" si="157"/>
        <v>0.15569395017793594</v>
      </c>
      <c r="CX23" s="26">
        <f t="shared" si="157"/>
        <v>0.96241926012918377</v>
      </c>
      <c r="CY23" s="23" t="e">
        <f t="shared" si="157"/>
        <v>#DIV/0!</v>
      </c>
      <c r="CZ23" s="23">
        <f t="shared" si="157"/>
        <v>0.24137931034482762</v>
      </c>
      <c r="DA23" s="23" t="e">
        <f t="shared" si="157"/>
        <v>#DIV/0!</v>
      </c>
      <c r="DB23" s="23">
        <f t="shared" si="157"/>
        <v>0</v>
      </c>
      <c r="DC23" s="27">
        <f t="shared" si="157"/>
        <v>0.90526315789473688</v>
      </c>
      <c r="DD23" s="23">
        <f t="shared" si="157"/>
        <v>0.55000000000000004</v>
      </c>
      <c r="DE23" s="23" t="e">
        <f t="shared" si="157"/>
        <v>#DIV/0!</v>
      </c>
      <c r="DF23" s="28">
        <f t="shared" si="157"/>
        <v>0.53768615135244657</v>
      </c>
      <c r="DH23" s="23">
        <f t="shared" ref="DH23:DR23" si="158">DH8/DH$10</f>
        <v>2.3952095808383235E-2</v>
      </c>
      <c r="DI23" s="23">
        <f t="shared" si="158"/>
        <v>3.2851511169513799E-2</v>
      </c>
      <c r="DJ23" s="26">
        <f t="shared" si="158"/>
        <v>0.97599451303155005</v>
      </c>
      <c r="DK23" s="23" t="e">
        <f t="shared" si="158"/>
        <v>#DIV/0!</v>
      </c>
      <c r="DL23" s="23">
        <f t="shared" si="158"/>
        <v>4.7058823529411764E-2</v>
      </c>
      <c r="DM23" s="23" t="e">
        <f t="shared" si="158"/>
        <v>#DIV/0!</v>
      </c>
      <c r="DN23" s="23">
        <f t="shared" si="158"/>
        <v>0.1111111111111111</v>
      </c>
      <c r="DO23" s="27">
        <f t="shared" si="158"/>
        <v>1</v>
      </c>
      <c r="DP23" s="23">
        <f t="shared" si="158"/>
        <v>0.87500000000000011</v>
      </c>
      <c r="DQ23" s="23" t="e">
        <f t="shared" si="158"/>
        <v>#DIV/0!</v>
      </c>
      <c r="DR23" s="28">
        <f t="shared" si="158"/>
        <v>0.54091238233164374</v>
      </c>
      <c r="DT23" s="23">
        <f t="shared" ref="DT23:ED23" si="159">DT8/DT$10</f>
        <v>1.6272189349112426E-2</v>
      </c>
      <c r="DU23" s="23">
        <f t="shared" si="159"/>
        <v>0.25000000000000006</v>
      </c>
      <c r="DV23" s="26">
        <f t="shared" si="159"/>
        <v>0.95883361921097765</v>
      </c>
      <c r="DW23" s="23" t="e">
        <f t="shared" si="159"/>
        <v>#DIV/0!</v>
      </c>
      <c r="DX23" s="23">
        <f t="shared" si="159"/>
        <v>0.26760563380281688</v>
      </c>
      <c r="DY23" s="23">
        <f t="shared" si="159"/>
        <v>0</v>
      </c>
      <c r="DZ23" s="23">
        <f t="shared" si="159"/>
        <v>0</v>
      </c>
      <c r="EA23" s="27">
        <f t="shared" si="159"/>
        <v>0.62500000000000011</v>
      </c>
      <c r="EB23" s="23">
        <f t="shared" si="159"/>
        <v>0.379746835443038</v>
      </c>
      <c r="EC23" s="23" t="e">
        <f t="shared" si="159"/>
        <v>#DIV/0!</v>
      </c>
      <c r="ED23" s="28">
        <f t="shared" si="159"/>
        <v>0.68217054263565879</v>
      </c>
      <c r="EF23" s="23">
        <f t="shared" ref="EF23:EP23" si="160">EF8/EF$10</f>
        <v>0</v>
      </c>
      <c r="EG23" s="23">
        <f t="shared" si="160"/>
        <v>7.1428571428571425E-2</v>
      </c>
      <c r="EH23" s="26">
        <f t="shared" si="160"/>
        <v>0.96829268292682924</v>
      </c>
      <c r="EI23" s="23" t="e">
        <f t="shared" si="160"/>
        <v>#DIV/0!</v>
      </c>
      <c r="EJ23" s="23">
        <f t="shared" si="160"/>
        <v>0.12048192771084337</v>
      </c>
      <c r="EK23" s="23">
        <f t="shared" si="160"/>
        <v>0</v>
      </c>
      <c r="EL23" s="23" t="e">
        <f t="shared" si="160"/>
        <v>#DIV/0!</v>
      </c>
      <c r="EM23" s="27">
        <f t="shared" si="160"/>
        <v>1</v>
      </c>
      <c r="EN23" s="23">
        <f t="shared" si="160"/>
        <v>0.58823529411764708</v>
      </c>
      <c r="EO23" s="23" t="e">
        <f t="shared" si="160"/>
        <v>#DIV/0!</v>
      </c>
      <c r="EP23" s="28">
        <f t="shared" si="160"/>
        <v>0.31876576523728517</v>
      </c>
      <c r="ER23" s="23">
        <f t="shared" ref="ER23:FB23" si="161">ER8/ER$10</f>
        <v>1.3285024154589372E-2</v>
      </c>
      <c r="ES23" s="23">
        <f t="shared" si="161"/>
        <v>0.61538461538461542</v>
      </c>
      <c r="ET23" s="26">
        <f t="shared" si="161"/>
        <v>0.98633257403189067</v>
      </c>
      <c r="EU23" s="23" t="e">
        <f t="shared" si="161"/>
        <v>#DIV/0!</v>
      </c>
      <c r="EV23" s="23">
        <f t="shared" si="161"/>
        <v>3.7623762376237622E-2</v>
      </c>
      <c r="EW23" s="23">
        <f t="shared" si="161"/>
        <v>0</v>
      </c>
      <c r="EX23" s="23">
        <f t="shared" si="161"/>
        <v>0</v>
      </c>
      <c r="EY23" s="27">
        <f t="shared" si="161"/>
        <v>1</v>
      </c>
      <c r="EZ23" s="23">
        <f t="shared" si="161"/>
        <v>0.53333333333333333</v>
      </c>
      <c r="FA23" s="23" t="e">
        <f t="shared" si="161"/>
        <v>#DIV/0!</v>
      </c>
      <c r="FB23" s="28">
        <f t="shared" si="161"/>
        <v>0.5107219442458899</v>
      </c>
    </row>
    <row r="24" spans="2:158" x14ac:dyDescent="0.35">
      <c r="B24" s="14" t="s">
        <v>71</v>
      </c>
      <c r="D24" s="23">
        <f t="shared" si="145"/>
        <v>0</v>
      </c>
      <c r="E24" s="23">
        <f t="shared" si="145"/>
        <v>0</v>
      </c>
      <c r="F24" s="23">
        <f t="shared" si="145"/>
        <v>0</v>
      </c>
      <c r="G24" s="23" t="e">
        <f t="shared" si="145"/>
        <v>#DIV/0!</v>
      </c>
      <c r="H24" s="26">
        <f>H9/H$10</f>
        <v>0.66825220381045936</v>
      </c>
      <c r="I24" s="23">
        <f t="shared" si="145"/>
        <v>0</v>
      </c>
      <c r="J24" s="23">
        <f t="shared" si="145"/>
        <v>0</v>
      </c>
      <c r="K24" s="23">
        <f t="shared" si="145"/>
        <v>0</v>
      </c>
      <c r="L24" s="27">
        <f t="shared" si="145"/>
        <v>0.15541922290388549</v>
      </c>
      <c r="M24" s="23" t="e">
        <f t="shared" si="145"/>
        <v>#DIV/0!</v>
      </c>
      <c r="N24" s="28">
        <f t="shared" si="145"/>
        <v>3.0787627509392682E-2</v>
      </c>
      <c r="O24" s="23" t="e">
        <f t="shared" si="145"/>
        <v>#DIV/0!</v>
      </c>
      <c r="P24" s="23">
        <f t="shared" si="136"/>
        <v>0</v>
      </c>
      <c r="Q24" s="23">
        <f t="shared" si="136"/>
        <v>0</v>
      </c>
      <c r="R24" s="23">
        <f t="shared" si="136"/>
        <v>0</v>
      </c>
      <c r="S24" s="23" t="e">
        <f t="shared" si="136"/>
        <v>#DIV/0!</v>
      </c>
      <c r="T24" s="26">
        <f t="shared" si="136"/>
        <v>0</v>
      </c>
      <c r="U24" s="23">
        <f t="shared" si="136"/>
        <v>0</v>
      </c>
      <c r="V24" s="23">
        <f t="shared" si="136"/>
        <v>0</v>
      </c>
      <c r="W24" s="23">
        <f t="shared" si="136"/>
        <v>0</v>
      </c>
      <c r="X24" s="27">
        <f t="shared" si="136"/>
        <v>0</v>
      </c>
      <c r="Y24" s="23" t="e">
        <f t="shared" si="136"/>
        <v>#DIV/0!</v>
      </c>
      <c r="Z24" s="28">
        <f t="shared" si="136"/>
        <v>0</v>
      </c>
      <c r="AA24" s="23" t="e">
        <f t="shared" si="136"/>
        <v>#DIV/0!</v>
      </c>
      <c r="AB24" s="23">
        <f t="shared" si="136"/>
        <v>0</v>
      </c>
      <c r="AC24" s="23">
        <f t="shared" si="136"/>
        <v>0</v>
      </c>
      <c r="AD24" s="23">
        <f t="shared" si="136"/>
        <v>0</v>
      </c>
      <c r="AE24" s="23" t="e">
        <f t="shared" si="136"/>
        <v>#DIV/0!</v>
      </c>
      <c r="AF24" s="26">
        <f t="shared" si="136"/>
        <v>8.771929824561403E-2</v>
      </c>
      <c r="AG24" s="23">
        <f t="shared" si="136"/>
        <v>0</v>
      </c>
      <c r="AH24" s="23">
        <f t="shared" si="136"/>
        <v>0</v>
      </c>
      <c r="AI24" s="23">
        <f t="shared" si="136"/>
        <v>0</v>
      </c>
      <c r="AJ24" s="27">
        <f t="shared" si="136"/>
        <v>0.2</v>
      </c>
      <c r="AK24" s="23" t="e">
        <f t="shared" si="136"/>
        <v>#DIV/0!</v>
      </c>
      <c r="AL24" s="28">
        <f t="shared" si="136"/>
        <v>3.8209227776619921E-3</v>
      </c>
      <c r="AM24" s="23" t="e">
        <f t="shared" si="136"/>
        <v>#DIV/0!</v>
      </c>
      <c r="AN24" s="23">
        <f t="shared" si="136"/>
        <v>0</v>
      </c>
      <c r="AO24" s="23">
        <f t="shared" si="136"/>
        <v>0</v>
      </c>
      <c r="AP24" s="23">
        <f t="shared" si="136"/>
        <v>0</v>
      </c>
      <c r="AQ24" s="23" t="e">
        <f t="shared" si="136"/>
        <v>#DIV/0!</v>
      </c>
      <c r="AR24" s="26">
        <f t="shared" si="136"/>
        <v>0.9351551815482424</v>
      </c>
      <c r="AS24" s="23" t="e">
        <f t="shared" si="136"/>
        <v>#DIV/0!</v>
      </c>
      <c r="AT24" s="23" t="e">
        <f t="shared" si="136"/>
        <v>#DIV/0!</v>
      </c>
      <c r="AU24" s="23">
        <f t="shared" si="136"/>
        <v>0</v>
      </c>
      <c r="AV24" s="27">
        <f t="shared" si="136"/>
        <v>0</v>
      </c>
      <c r="AW24" s="23" t="e">
        <f t="shared" si="136"/>
        <v>#DIV/0!</v>
      </c>
      <c r="AX24" s="28">
        <f t="shared" si="136"/>
        <v>0.12437260656471065</v>
      </c>
      <c r="AY24" s="23" t="e">
        <f t="shared" si="136"/>
        <v>#DIV/0!</v>
      </c>
      <c r="AZ24" s="23">
        <f t="shared" si="136"/>
        <v>0</v>
      </c>
      <c r="BA24" s="23">
        <f t="shared" si="136"/>
        <v>0</v>
      </c>
      <c r="BB24" s="23">
        <f t="shared" si="136"/>
        <v>0</v>
      </c>
      <c r="BC24" s="23" t="e">
        <f t="shared" si="136"/>
        <v>#DIV/0!</v>
      </c>
      <c r="BD24" s="26">
        <f t="shared" si="136"/>
        <v>0.75767359765809983</v>
      </c>
      <c r="BE24" s="23" t="e">
        <f t="shared" si="136"/>
        <v>#DIV/0!</v>
      </c>
      <c r="BF24" s="23">
        <f t="shared" si="136"/>
        <v>0</v>
      </c>
      <c r="BG24" s="23">
        <f t="shared" si="136"/>
        <v>0</v>
      </c>
      <c r="BH24" s="27">
        <f t="shared" si="136"/>
        <v>0</v>
      </c>
      <c r="BI24" s="23" t="e">
        <f t="shared" si="136"/>
        <v>#DIV/0!</v>
      </c>
      <c r="BJ24" s="28">
        <f t="shared" si="136"/>
        <v>1.9555420840434209E-2</v>
      </c>
      <c r="BK24" s="23" t="e">
        <f t="shared" si="136"/>
        <v>#DIV/0!</v>
      </c>
      <c r="BL24" s="23">
        <f t="shared" ref="BL24:BV24" si="162">BL9/BL$10</f>
        <v>0</v>
      </c>
      <c r="BM24" s="23">
        <f t="shared" si="162"/>
        <v>0</v>
      </c>
      <c r="BN24" s="23">
        <f t="shared" si="162"/>
        <v>0</v>
      </c>
      <c r="BO24" s="23" t="e">
        <f t="shared" si="162"/>
        <v>#DIV/0!</v>
      </c>
      <c r="BP24" s="26">
        <f t="shared" si="162"/>
        <v>0</v>
      </c>
      <c r="BQ24" s="23">
        <f t="shared" si="162"/>
        <v>0</v>
      </c>
      <c r="BR24" s="23">
        <f t="shared" si="162"/>
        <v>0</v>
      </c>
      <c r="BS24" s="23">
        <f t="shared" si="162"/>
        <v>0</v>
      </c>
      <c r="BT24" s="27">
        <f t="shared" si="162"/>
        <v>0</v>
      </c>
      <c r="BU24" s="23" t="e">
        <f t="shared" si="162"/>
        <v>#DIV/0!</v>
      </c>
      <c r="BV24" s="28">
        <f t="shared" si="162"/>
        <v>0</v>
      </c>
      <c r="BX24" s="23">
        <f t="shared" ref="BX24:CH24" si="163">BX9/BX$10</f>
        <v>0</v>
      </c>
      <c r="BY24" s="23">
        <f t="shared" si="163"/>
        <v>0</v>
      </c>
      <c r="BZ24" s="23">
        <f t="shared" si="163"/>
        <v>0</v>
      </c>
      <c r="CA24" s="23" t="e">
        <f t="shared" si="163"/>
        <v>#DIV/0!</v>
      </c>
      <c r="CB24" s="26">
        <f t="shared" si="163"/>
        <v>0</v>
      </c>
      <c r="CC24" s="23">
        <f t="shared" si="163"/>
        <v>0</v>
      </c>
      <c r="CD24" s="23">
        <f t="shared" si="163"/>
        <v>0</v>
      </c>
      <c r="CE24" s="23">
        <f t="shared" si="163"/>
        <v>0</v>
      </c>
      <c r="CF24" s="27">
        <f t="shared" si="163"/>
        <v>0</v>
      </c>
      <c r="CG24" s="23" t="e">
        <f t="shared" si="163"/>
        <v>#DIV/0!</v>
      </c>
      <c r="CH24" s="28">
        <f t="shared" si="163"/>
        <v>0</v>
      </c>
      <c r="CJ24" s="23">
        <f t="shared" ref="CJ24:CT24" si="164">CJ9/CJ$10</f>
        <v>0</v>
      </c>
      <c r="CK24" s="23">
        <f t="shared" si="164"/>
        <v>0</v>
      </c>
      <c r="CL24" s="23">
        <f t="shared" si="164"/>
        <v>0</v>
      </c>
      <c r="CM24" s="23" t="e">
        <f t="shared" si="164"/>
        <v>#DIV/0!</v>
      </c>
      <c r="CN24" s="26">
        <f t="shared" si="164"/>
        <v>0</v>
      </c>
      <c r="CO24" s="23">
        <f t="shared" si="164"/>
        <v>0</v>
      </c>
      <c r="CP24" s="23">
        <f t="shared" si="164"/>
        <v>0</v>
      </c>
      <c r="CQ24" s="23">
        <f t="shared" si="164"/>
        <v>0</v>
      </c>
      <c r="CR24" s="27">
        <f t="shared" si="164"/>
        <v>0</v>
      </c>
      <c r="CS24" s="23" t="e">
        <f t="shared" si="164"/>
        <v>#DIV/0!</v>
      </c>
      <c r="CT24" s="28">
        <f t="shared" si="164"/>
        <v>0</v>
      </c>
      <c r="CV24" s="23">
        <f t="shared" ref="CV24:DF24" si="165">CV9/CV$10</f>
        <v>0</v>
      </c>
      <c r="CW24" s="23">
        <f t="shared" si="165"/>
        <v>0</v>
      </c>
      <c r="CX24" s="23">
        <f t="shared" si="165"/>
        <v>0</v>
      </c>
      <c r="CY24" s="23" t="e">
        <f t="shared" si="165"/>
        <v>#DIV/0!</v>
      </c>
      <c r="CZ24" s="26">
        <f t="shared" si="165"/>
        <v>0</v>
      </c>
      <c r="DA24" s="23" t="e">
        <f t="shared" si="165"/>
        <v>#DIV/0!</v>
      </c>
      <c r="DB24" s="23">
        <f t="shared" si="165"/>
        <v>0</v>
      </c>
      <c r="DC24" s="23">
        <f t="shared" si="165"/>
        <v>0</v>
      </c>
      <c r="DD24" s="27">
        <f t="shared" si="165"/>
        <v>0</v>
      </c>
      <c r="DE24" s="23" t="e">
        <f t="shared" si="165"/>
        <v>#DIV/0!</v>
      </c>
      <c r="DF24" s="28">
        <f t="shared" si="165"/>
        <v>0</v>
      </c>
      <c r="DH24" s="23">
        <f t="shared" ref="DH24:DR24" si="166">DH9/DH$10</f>
        <v>0</v>
      </c>
      <c r="DI24" s="23">
        <f t="shared" si="166"/>
        <v>0</v>
      </c>
      <c r="DJ24" s="23">
        <f t="shared" si="166"/>
        <v>0</v>
      </c>
      <c r="DK24" s="23" t="e">
        <f t="shared" si="166"/>
        <v>#DIV/0!</v>
      </c>
      <c r="DL24" s="26">
        <f t="shared" si="166"/>
        <v>0.8411764705882353</v>
      </c>
      <c r="DM24" s="23" t="e">
        <f t="shared" si="166"/>
        <v>#DIV/0!</v>
      </c>
      <c r="DN24" s="23">
        <f t="shared" si="166"/>
        <v>0</v>
      </c>
      <c r="DO24" s="23">
        <f t="shared" si="166"/>
        <v>0</v>
      </c>
      <c r="DP24" s="27">
        <f t="shared" si="166"/>
        <v>0</v>
      </c>
      <c r="DQ24" s="23" t="e">
        <f t="shared" si="166"/>
        <v>#DIV/0!</v>
      </c>
      <c r="DR24" s="28">
        <f t="shared" si="166"/>
        <v>5.1774076755973931E-2</v>
      </c>
      <c r="DT24" s="23">
        <f t="shared" ref="DT24:ED24" si="167">DT9/DT$10</f>
        <v>0</v>
      </c>
      <c r="DU24" s="23">
        <f t="shared" si="167"/>
        <v>0</v>
      </c>
      <c r="DV24" s="23">
        <f t="shared" si="167"/>
        <v>0</v>
      </c>
      <c r="DW24" s="23" t="e">
        <f t="shared" si="167"/>
        <v>#DIV/0!</v>
      </c>
      <c r="DX24" s="26">
        <f t="shared" si="167"/>
        <v>0</v>
      </c>
      <c r="DY24" s="23">
        <f t="shared" si="167"/>
        <v>0</v>
      </c>
      <c r="DZ24" s="23">
        <f t="shared" si="167"/>
        <v>0</v>
      </c>
      <c r="EA24" s="23">
        <f t="shared" si="167"/>
        <v>0</v>
      </c>
      <c r="EB24" s="27">
        <f t="shared" si="167"/>
        <v>0.379746835443038</v>
      </c>
      <c r="EC24" s="23" t="e">
        <f t="shared" si="167"/>
        <v>#DIV/0!</v>
      </c>
      <c r="ED24" s="28">
        <f t="shared" si="167"/>
        <v>8.613264427217918E-3</v>
      </c>
      <c r="EF24" s="23">
        <f t="shared" ref="EF24:EP24" si="168">EF9/EF$10</f>
        <v>0</v>
      </c>
      <c r="EG24" s="23">
        <f t="shared" si="168"/>
        <v>0</v>
      </c>
      <c r="EH24" s="23">
        <f t="shared" si="168"/>
        <v>0</v>
      </c>
      <c r="EI24" s="23" t="e">
        <f t="shared" si="168"/>
        <v>#DIV/0!</v>
      </c>
      <c r="EJ24" s="26">
        <f t="shared" si="168"/>
        <v>0</v>
      </c>
      <c r="EK24" s="23">
        <f t="shared" si="168"/>
        <v>0</v>
      </c>
      <c r="EL24" s="23" t="e">
        <f t="shared" si="168"/>
        <v>#DIV/0!</v>
      </c>
      <c r="EM24" s="23">
        <f t="shared" si="168"/>
        <v>0</v>
      </c>
      <c r="EN24" s="27">
        <f t="shared" si="168"/>
        <v>0</v>
      </c>
      <c r="EO24" s="23" t="e">
        <f t="shared" si="168"/>
        <v>#DIV/0!</v>
      </c>
      <c r="EP24" s="28">
        <f t="shared" si="168"/>
        <v>0</v>
      </c>
      <c r="ER24" s="23">
        <f t="shared" ref="ER24:FB24" si="169">ER9/ER$10</f>
        <v>0</v>
      </c>
      <c r="ES24" s="23">
        <f t="shared" si="169"/>
        <v>0</v>
      </c>
      <c r="ET24" s="23">
        <f t="shared" si="169"/>
        <v>0</v>
      </c>
      <c r="EU24" s="23" t="e">
        <f t="shared" si="169"/>
        <v>#DIV/0!</v>
      </c>
      <c r="EV24" s="26">
        <f t="shared" si="169"/>
        <v>0.9128712871287129</v>
      </c>
      <c r="EW24" s="23">
        <f t="shared" si="169"/>
        <v>0</v>
      </c>
      <c r="EX24" s="23">
        <f t="shared" si="169"/>
        <v>0</v>
      </c>
      <c r="EY24" s="23">
        <f t="shared" si="169"/>
        <v>0</v>
      </c>
      <c r="EZ24" s="27">
        <f t="shared" si="169"/>
        <v>0.2</v>
      </c>
      <c r="FA24" s="23" t="e">
        <f t="shared" si="169"/>
        <v>#DIV/0!</v>
      </c>
      <c r="FB24" s="28">
        <f t="shared" si="169"/>
        <v>0.16690493209435311</v>
      </c>
    </row>
    <row r="25" spans="2:158" x14ac:dyDescent="0.35">
      <c r="B25" s="25" t="s">
        <v>98</v>
      </c>
      <c r="D25" s="24">
        <f>D10/D$10</f>
        <v>1</v>
      </c>
      <c r="E25" s="24">
        <f t="shared" si="145"/>
        <v>1</v>
      </c>
      <c r="F25" s="24">
        <f t="shared" si="145"/>
        <v>1</v>
      </c>
      <c r="G25" s="24" t="e">
        <f t="shared" si="145"/>
        <v>#DIV/0!</v>
      </c>
      <c r="H25" s="24">
        <f t="shared" si="145"/>
        <v>1</v>
      </c>
      <c r="I25" s="24">
        <f t="shared" si="145"/>
        <v>1</v>
      </c>
      <c r="J25" s="24">
        <f t="shared" si="145"/>
        <v>1</v>
      </c>
      <c r="K25" s="24">
        <f t="shared" si="145"/>
        <v>1</v>
      </c>
      <c r="L25" s="24">
        <f t="shared" si="145"/>
        <v>1</v>
      </c>
      <c r="M25" s="24" t="e">
        <f t="shared" si="145"/>
        <v>#DIV/0!</v>
      </c>
      <c r="N25" s="28">
        <f t="shared" si="145"/>
        <v>1</v>
      </c>
      <c r="O25" s="24" t="e">
        <f t="shared" si="145"/>
        <v>#DIV/0!</v>
      </c>
      <c r="P25" s="24">
        <f t="shared" si="136"/>
        <v>1</v>
      </c>
      <c r="Q25" s="24">
        <f t="shared" si="136"/>
        <v>1</v>
      </c>
      <c r="R25" s="24">
        <f t="shared" si="136"/>
        <v>1</v>
      </c>
      <c r="S25" s="24" t="e">
        <f t="shared" si="136"/>
        <v>#DIV/0!</v>
      </c>
      <c r="T25" s="24">
        <f t="shared" si="136"/>
        <v>1</v>
      </c>
      <c r="U25" s="24">
        <f t="shared" si="136"/>
        <v>1</v>
      </c>
      <c r="V25" s="24">
        <f t="shared" si="136"/>
        <v>1</v>
      </c>
      <c r="W25" s="24">
        <f t="shared" si="136"/>
        <v>1</v>
      </c>
      <c r="X25" s="24">
        <f t="shared" si="136"/>
        <v>1</v>
      </c>
      <c r="Y25" s="24" t="e">
        <f t="shared" si="136"/>
        <v>#DIV/0!</v>
      </c>
      <c r="Z25" s="28">
        <f t="shared" si="136"/>
        <v>1</v>
      </c>
      <c r="AA25" s="24" t="e">
        <f t="shared" si="136"/>
        <v>#DIV/0!</v>
      </c>
      <c r="AB25" s="24">
        <f t="shared" si="136"/>
        <v>1</v>
      </c>
      <c r="AC25" s="24">
        <f t="shared" si="136"/>
        <v>1</v>
      </c>
      <c r="AD25" s="24">
        <f t="shared" si="136"/>
        <v>1</v>
      </c>
      <c r="AE25" s="24" t="e">
        <f t="shared" si="136"/>
        <v>#DIV/0!</v>
      </c>
      <c r="AF25" s="24">
        <f t="shared" si="136"/>
        <v>1</v>
      </c>
      <c r="AG25" s="24">
        <f t="shared" si="136"/>
        <v>1</v>
      </c>
      <c r="AH25" s="24">
        <f t="shared" si="136"/>
        <v>1</v>
      </c>
      <c r="AI25" s="24">
        <f t="shared" si="136"/>
        <v>1</v>
      </c>
      <c r="AJ25" s="24">
        <f t="shared" si="136"/>
        <v>1</v>
      </c>
      <c r="AK25" s="24" t="e">
        <f t="shared" si="136"/>
        <v>#DIV/0!</v>
      </c>
      <c r="AL25" s="28">
        <f t="shared" si="136"/>
        <v>1</v>
      </c>
      <c r="AM25" s="24" t="e">
        <f t="shared" si="136"/>
        <v>#DIV/0!</v>
      </c>
      <c r="AN25" s="24">
        <f t="shared" si="136"/>
        <v>1</v>
      </c>
      <c r="AO25" s="24">
        <f t="shared" si="136"/>
        <v>1</v>
      </c>
      <c r="AP25" s="24">
        <f t="shared" si="136"/>
        <v>1</v>
      </c>
      <c r="AQ25" s="24" t="e">
        <f t="shared" si="136"/>
        <v>#DIV/0!</v>
      </c>
      <c r="AR25" s="24">
        <f t="shared" si="136"/>
        <v>1</v>
      </c>
      <c r="AS25" s="24" t="e">
        <f t="shared" si="136"/>
        <v>#DIV/0!</v>
      </c>
      <c r="AT25" s="24" t="e">
        <f t="shared" si="136"/>
        <v>#DIV/0!</v>
      </c>
      <c r="AU25" s="24">
        <f t="shared" si="136"/>
        <v>1</v>
      </c>
      <c r="AV25" s="24">
        <f t="shared" si="136"/>
        <v>1</v>
      </c>
      <c r="AW25" s="24" t="e">
        <f t="shared" si="136"/>
        <v>#DIV/0!</v>
      </c>
      <c r="AX25" s="28">
        <f t="shared" si="136"/>
        <v>1</v>
      </c>
      <c r="AY25" s="24" t="e">
        <f t="shared" si="136"/>
        <v>#DIV/0!</v>
      </c>
      <c r="AZ25" s="24">
        <f t="shared" si="136"/>
        <v>1</v>
      </c>
      <c r="BA25" s="24">
        <f t="shared" si="136"/>
        <v>1</v>
      </c>
      <c r="BB25" s="24">
        <f t="shared" si="136"/>
        <v>1</v>
      </c>
      <c r="BC25" s="24" t="e">
        <f t="shared" si="136"/>
        <v>#DIV/0!</v>
      </c>
      <c r="BD25" s="24">
        <f t="shared" si="136"/>
        <v>1</v>
      </c>
      <c r="BE25" s="24" t="e">
        <f t="shared" si="136"/>
        <v>#DIV/0!</v>
      </c>
      <c r="BF25" s="24">
        <f t="shared" si="136"/>
        <v>1</v>
      </c>
      <c r="BG25" s="24">
        <f t="shared" si="136"/>
        <v>1</v>
      </c>
      <c r="BH25" s="24">
        <f t="shared" si="136"/>
        <v>1</v>
      </c>
      <c r="BI25" s="24" t="e">
        <f t="shared" si="136"/>
        <v>#DIV/0!</v>
      </c>
      <c r="BJ25" s="28">
        <f t="shared" si="136"/>
        <v>1</v>
      </c>
      <c r="BK25" s="24" t="e">
        <f t="shared" si="136"/>
        <v>#DIV/0!</v>
      </c>
      <c r="BL25" s="24">
        <f t="shared" ref="BL25:BV25" si="170">BL10/BL$10</f>
        <v>1</v>
      </c>
      <c r="BM25" s="24">
        <f t="shared" si="170"/>
        <v>1</v>
      </c>
      <c r="BN25" s="24">
        <f t="shared" si="170"/>
        <v>1</v>
      </c>
      <c r="BO25" s="24" t="e">
        <f t="shared" si="170"/>
        <v>#DIV/0!</v>
      </c>
      <c r="BP25" s="24">
        <f t="shared" si="170"/>
        <v>1</v>
      </c>
      <c r="BQ25" s="24">
        <f t="shared" si="170"/>
        <v>1</v>
      </c>
      <c r="BR25" s="24">
        <f t="shared" si="170"/>
        <v>1</v>
      </c>
      <c r="BS25" s="24">
        <f t="shared" si="170"/>
        <v>1</v>
      </c>
      <c r="BT25" s="24">
        <f t="shared" si="170"/>
        <v>1</v>
      </c>
      <c r="BU25" s="24" t="e">
        <f t="shared" si="170"/>
        <v>#DIV/0!</v>
      </c>
      <c r="BV25" s="28">
        <f t="shared" si="170"/>
        <v>1</v>
      </c>
      <c r="BX25" s="24">
        <f t="shared" ref="BX25:CH25" si="171">BX10/BX$10</f>
        <v>1</v>
      </c>
      <c r="BY25" s="24">
        <f t="shared" si="171"/>
        <v>1</v>
      </c>
      <c r="BZ25" s="24">
        <f t="shared" si="171"/>
        <v>1</v>
      </c>
      <c r="CA25" s="24" t="e">
        <f t="shared" si="171"/>
        <v>#DIV/0!</v>
      </c>
      <c r="CB25" s="24">
        <f t="shared" si="171"/>
        <v>1</v>
      </c>
      <c r="CC25" s="24">
        <f t="shared" si="171"/>
        <v>1</v>
      </c>
      <c r="CD25" s="24">
        <f t="shared" si="171"/>
        <v>1</v>
      </c>
      <c r="CE25" s="24">
        <f t="shared" si="171"/>
        <v>1</v>
      </c>
      <c r="CF25" s="24">
        <f t="shared" si="171"/>
        <v>1</v>
      </c>
      <c r="CG25" s="24" t="e">
        <f t="shared" si="171"/>
        <v>#DIV/0!</v>
      </c>
      <c r="CH25" s="28">
        <f t="shared" si="171"/>
        <v>1</v>
      </c>
      <c r="CJ25" s="24">
        <f t="shared" ref="CJ25:CT25" si="172">CJ10/CJ$10</f>
        <v>1</v>
      </c>
      <c r="CK25" s="24">
        <f t="shared" si="172"/>
        <v>1</v>
      </c>
      <c r="CL25" s="24">
        <f t="shared" si="172"/>
        <v>1</v>
      </c>
      <c r="CM25" s="24" t="e">
        <f t="shared" si="172"/>
        <v>#DIV/0!</v>
      </c>
      <c r="CN25" s="24">
        <f t="shared" si="172"/>
        <v>1</v>
      </c>
      <c r="CO25" s="24">
        <f t="shared" si="172"/>
        <v>1</v>
      </c>
      <c r="CP25" s="24">
        <f t="shared" si="172"/>
        <v>1</v>
      </c>
      <c r="CQ25" s="24">
        <f t="shared" si="172"/>
        <v>1</v>
      </c>
      <c r="CR25" s="24">
        <f t="shared" si="172"/>
        <v>1</v>
      </c>
      <c r="CS25" s="24" t="e">
        <f t="shared" si="172"/>
        <v>#DIV/0!</v>
      </c>
      <c r="CT25" s="28">
        <f t="shared" si="172"/>
        <v>1</v>
      </c>
      <c r="CV25" s="24">
        <f t="shared" ref="CV25:DF25" si="173">CV10/CV$10</f>
        <v>1</v>
      </c>
      <c r="CW25" s="24">
        <f t="shared" si="173"/>
        <v>1</v>
      </c>
      <c r="CX25" s="24">
        <f t="shared" si="173"/>
        <v>1</v>
      </c>
      <c r="CY25" s="24" t="e">
        <f t="shared" si="173"/>
        <v>#DIV/0!</v>
      </c>
      <c r="CZ25" s="24">
        <f t="shared" si="173"/>
        <v>1</v>
      </c>
      <c r="DA25" s="24" t="e">
        <f t="shared" si="173"/>
        <v>#DIV/0!</v>
      </c>
      <c r="DB25" s="24">
        <f t="shared" si="173"/>
        <v>1</v>
      </c>
      <c r="DC25" s="24">
        <f t="shared" si="173"/>
        <v>1</v>
      </c>
      <c r="DD25" s="24">
        <f t="shared" si="173"/>
        <v>1</v>
      </c>
      <c r="DE25" s="24" t="e">
        <f t="shared" si="173"/>
        <v>#DIV/0!</v>
      </c>
      <c r="DF25" s="28">
        <f t="shared" si="173"/>
        <v>1</v>
      </c>
      <c r="DH25" s="24">
        <f t="shared" ref="DH25:DR25" si="174">DH10/DH$10</f>
        <v>1</v>
      </c>
      <c r="DI25" s="24">
        <f t="shared" si="174"/>
        <v>1</v>
      </c>
      <c r="DJ25" s="24">
        <f t="shared" si="174"/>
        <v>1</v>
      </c>
      <c r="DK25" s="24" t="e">
        <f t="shared" si="174"/>
        <v>#DIV/0!</v>
      </c>
      <c r="DL25" s="24">
        <f t="shared" si="174"/>
        <v>1</v>
      </c>
      <c r="DM25" s="24" t="e">
        <f t="shared" si="174"/>
        <v>#DIV/0!</v>
      </c>
      <c r="DN25" s="24">
        <f t="shared" si="174"/>
        <v>1</v>
      </c>
      <c r="DO25" s="24">
        <f t="shared" si="174"/>
        <v>1</v>
      </c>
      <c r="DP25" s="24">
        <f t="shared" si="174"/>
        <v>1</v>
      </c>
      <c r="DQ25" s="24" t="e">
        <f t="shared" si="174"/>
        <v>#DIV/0!</v>
      </c>
      <c r="DR25" s="28">
        <f t="shared" si="174"/>
        <v>1</v>
      </c>
      <c r="DT25" s="24">
        <f t="shared" ref="DT25:ED25" si="175">DT10/DT$10</f>
        <v>1</v>
      </c>
      <c r="DU25" s="24">
        <f t="shared" si="175"/>
        <v>1</v>
      </c>
      <c r="DV25" s="24">
        <f t="shared" si="175"/>
        <v>1</v>
      </c>
      <c r="DW25" s="24" t="e">
        <f t="shared" si="175"/>
        <v>#DIV/0!</v>
      </c>
      <c r="DX25" s="24">
        <f t="shared" si="175"/>
        <v>1</v>
      </c>
      <c r="DY25" s="24">
        <f t="shared" si="175"/>
        <v>1</v>
      </c>
      <c r="DZ25" s="24">
        <f t="shared" si="175"/>
        <v>1</v>
      </c>
      <c r="EA25" s="24">
        <f t="shared" si="175"/>
        <v>1</v>
      </c>
      <c r="EB25" s="24">
        <f t="shared" si="175"/>
        <v>1</v>
      </c>
      <c r="EC25" s="24" t="e">
        <f t="shared" si="175"/>
        <v>#DIV/0!</v>
      </c>
      <c r="ED25" s="28">
        <f t="shared" si="175"/>
        <v>1</v>
      </c>
      <c r="EF25" s="24">
        <f t="shared" ref="EF25:EP25" si="176">EF10/EF$10</f>
        <v>1</v>
      </c>
      <c r="EG25" s="24">
        <f t="shared" si="176"/>
        <v>1</v>
      </c>
      <c r="EH25" s="24">
        <f t="shared" si="176"/>
        <v>1</v>
      </c>
      <c r="EI25" s="24" t="e">
        <f t="shared" si="176"/>
        <v>#DIV/0!</v>
      </c>
      <c r="EJ25" s="24">
        <f t="shared" si="176"/>
        <v>1</v>
      </c>
      <c r="EK25" s="24">
        <f t="shared" si="176"/>
        <v>1</v>
      </c>
      <c r="EL25" s="24" t="e">
        <f t="shared" si="176"/>
        <v>#DIV/0!</v>
      </c>
      <c r="EM25" s="24">
        <f t="shared" si="176"/>
        <v>1</v>
      </c>
      <c r="EN25" s="24">
        <f t="shared" si="176"/>
        <v>1</v>
      </c>
      <c r="EO25" s="24" t="e">
        <f t="shared" si="176"/>
        <v>#DIV/0!</v>
      </c>
      <c r="EP25" s="28">
        <f t="shared" si="176"/>
        <v>1</v>
      </c>
      <c r="ER25" s="24">
        <f t="shared" ref="ER25:FB25" si="177">ER10/ER$10</f>
        <v>1</v>
      </c>
      <c r="ES25" s="24">
        <f t="shared" si="177"/>
        <v>1</v>
      </c>
      <c r="ET25" s="24">
        <f t="shared" si="177"/>
        <v>1</v>
      </c>
      <c r="EU25" s="24" t="e">
        <f t="shared" si="177"/>
        <v>#DIV/0!</v>
      </c>
      <c r="EV25" s="24">
        <f t="shared" si="177"/>
        <v>1</v>
      </c>
      <c r="EW25" s="24">
        <f t="shared" si="177"/>
        <v>1</v>
      </c>
      <c r="EX25" s="24">
        <f t="shared" si="177"/>
        <v>1</v>
      </c>
      <c r="EY25" s="24">
        <f t="shared" si="177"/>
        <v>1</v>
      </c>
      <c r="EZ25" s="24">
        <f t="shared" si="177"/>
        <v>1</v>
      </c>
      <c r="FA25" s="24" t="e">
        <f t="shared" si="177"/>
        <v>#DIV/0!</v>
      </c>
      <c r="FB25" s="28">
        <f t="shared" si="177"/>
        <v>1</v>
      </c>
    </row>
    <row r="26" spans="2:158" x14ac:dyDescent="0.35">
      <c r="L26" s="2"/>
    </row>
    <row r="27" spans="2:158" x14ac:dyDescent="0.35">
      <c r="L27" s="2"/>
    </row>
    <row r="28" spans="2:158" x14ac:dyDescent="0.35">
      <c r="L28" s="2"/>
    </row>
    <row r="29" spans="2:158" x14ac:dyDescent="0.35">
      <c r="L29" s="2"/>
    </row>
    <row r="30" spans="2:158" x14ac:dyDescent="0.35">
      <c r="L30" s="2"/>
    </row>
    <row r="31" spans="2:158" x14ac:dyDescent="0.35">
      <c r="L31" s="2"/>
    </row>
    <row r="32" spans="2:158" x14ac:dyDescent="0.35">
      <c r="L32" s="2"/>
    </row>
    <row r="33" spans="12:12" x14ac:dyDescent="0.35">
      <c r="L33" s="2"/>
    </row>
    <row r="34" spans="12:12" x14ac:dyDescent="0.35">
      <c r="L34" s="2"/>
    </row>
    <row r="35" spans="12:12" x14ac:dyDescent="0.35">
      <c r="L35" s="2"/>
    </row>
    <row r="36" spans="12:12" x14ac:dyDescent="0.35">
      <c r="L36" s="2"/>
    </row>
    <row r="37" spans="12:12" x14ac:dyDescent="0.35">
      <c r="L37" s="2"/>
    </row>
    <row r="38" spans="12:12" x14ac:dyDescent="0.35">
      <c r="L38" s="2"/>
    </row>
    <row r="39" spans="12:12" x14ac:dyDescent="0.35">
      <c r="L39" s="2"/>
    </row>
    <row r="40" spans="12:12" x14ac:dyDescent="0.35">
      <c r="L40" s="2"/>
    </row>
    <row r="41" spans="12:12" x14ac:dyDescent="0.35">
      <c r="L41" s="2"/>
    </row>
  </sheetData>
  <mergeCells count="13">
    <mergeCell ref="BL4:BV4"/>
    <mergeCell ref="B4:B5"/>
    <mergeCell ref="P4:Z4"/>
    <mergeCell ref="AB4:AL4"/>
    <mergeCell ref="AN4:AX4"/>
    <mergeCell ref="AZ4:BJ4"/>
    <mergeCell ref="ER4:FB4"/>
    <mergeCell ref="BX4:CH4"/>
    <mergeCell ref="CJ4:CT4"/>
    <mergeCell ref="CV4:DF4"/>
    <mergeCell ref="DH4:DR4"/>
    <mergeCell ref="DT4:ED4"/>
    <mergeCell ref="EF4:E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B50-AA33-445D-91E1-4173FCEDFD91}">
  <sheetPr>
    <tabColor rgb="FFFFFF00"/>
  </sheetPr>
  <dimension ref="A1:FB41"/>
  <sheetViews>
    <sheetView showGridLines="0" zoomScale="115" zoomScaleNormal="115" workbookViewId="0">
      <pane xSplit="2" ySplit="5" topLeftCell="G6" activePane="bottomRight" state="frozen"/>
      <selection pane="topRight" activeCell="C1" sqref="C1"/>
      <selection pane="bottomLeft" activeCell="A4" sqref="A4"/>
      <selection pane="bottomRight" activeCell="N12" sqref="N12"/>
    </sheetView>
  </sheetViews>
  <sheetFormatPr defaultRowHeight="14.5" outlineLevelRow="1" outlineLevelCol="1" x14ac:dyDescent="0.35"/>
  <cols>
    <col min="1" max="1" width="3.08203125" style="5" hidden="1" customWidth="1" outlineLevel="1"/>
    <col min="2" max="2" width="14.9140625" customWidth="1" collapsed="1"/>
    <col min="3" max="3" width="0.75" customWidth="1"/>
    <col min="4" max="14" width="12.4140625" customWidth="1"/>
    <col min="15" max="15" width="0.75" customWidth="1"/>
    <col min="16" max="20" width="11.25" hidden="1" customWidth="1" outlineLevel="1"/>
    <col min="21" max="25" width="13" hidden="1" customWidth="1" outlineLevel="1"/>
    <col min="26" max="26" width="11.25" customWidth="1" collapsed="1"/>
    <col min="27" max="27" width="0.75" customWidth="1"/>
    <col min="28" max="32" width="11.25" hidden="1" customWidth="1" outlineLevel="1"/>
    <col min="33" max="37" width="13" hidden="1" customWidth="1" outlineLevel="1"/>
    <col min="38" max="38" width="11.25" customWidth="1" collapsed="1"/>
    <col min="39" max="39" width="0.75" customWidth="1"/>
    <col min="40" max="44" width="11.25" hidden="1" customWidth="1" outlineLevel="1"/>
    <col min="45" max="49" width="13" hidden="1" customWidth="1" outlineLevel="1"/>
    <col min="50" max="50" width="11.25" customWidth="1" collapsed="1"/>
    <col min="51" max="51" width="0.75" customWidth="1"/>
    <col min="52" max="56" width="11.25" hidden="1" customWidth="1" outlineLevel="1"/>
    <col min="57" max="61" width="13" hidden="1" customWidth="1" outlineLevel="1"/>
    <col min="62" max="62" width="11.25" customWidth="1" collapsed="1"/>
    <col min="63" max="63" width="0.75" customWidth="1"/>
    <col min="64" max="68" width="11.25" hidden="1" customWidth="1" outlineLevel="1"/>
    <col min="69" max="73" width="13" hidden="1" customWidth="1" outlineLevel="1"/>
    <col min="74" max="74" width="11.25" customWidth="1" collapsed="1"/>
    <col min="75" max="75" width="0.75" customWidth="1"/>
    <col min="76" max="80" width="11.25" hidden="1" customWidth="1" outlineLevel="1"/>
    <col min="81" max="85" width="13" hidden="1" customWidth="1" outlineLevel="1"/>
    <col min="86" max="86" width="11.25" customWidth="1" collapsed="1"/>
    <col min="87" max="87" width="0.75" customWidth="1"/>
    <col min="88" max="92" width="11.25" hidden="1" customWidth="1" outlineLevel="1"/>
    <col min="93" max="97" width="13" hidden="1" customWidth="1" outlineLevel="1"/>
    <col min="98" max="98" width="11.25" customWidth="1" collapsed="1"/>
    <col min="99" max="99" width="0.75" customWidth="1"/>
    <col min="100" max="104" width="11.25" hidden="1" customWidth="1" outlineLevel="1"/>
    <col min="105" max="109" width="13" hidden="1" customWidth="1" outlineLevel="1"/>
    <col min="110" max="110" width="11.25" customWidth="1" collapsed="1"/>
    <col min="111" max="111" width="0.75" customWidth="1"/>
    <col min="112" max="116" width="11.25" hidden="1" customWidth="1" outlineLevel="1"/>
    <col min="117" max="121" width="13" hidden="1" customWidth="1" outlineLevel="1"/>
    <col min="122" max="122" width="11.25" customWidth="1" collapsed="1"/>
    <col min="123" max="123" width="0.75" customWidth="1"/>
    <col min="124" max="128" width="11.25" hidden="1" customWidth="1" outlineLevel="1"/>
    <col min="129" max="133" width="13" hidden="1" customWidth="1" outlineLevel="1"/>
    <col min="134" max="134" width="11.25" customWidth="1" collapsed="1"/>
    <col min="135" max="135" width="0.75" customWidth="1"/>
    <col min="136" max="140" width="11.25" hidden="1" customWidth="1" outlineLevel="1"/>
    <col min="141" max="145" width="13" hidden="1" customWidth="1" outlineLevel="1"/>
    <col min="146" max="146" width="11.25" customWidth="1" collapsed="1"/>
    <col min="147" max="147" width="0.75" customWidth="1"/>
    <col min="148" max="152" width="11.25" hidden="1" customWidth="1" outlineLevel="1"/>
    <col min="153" max="157" width="13" hidden="1" customWidth="1" outlineLevel="1"/>
    <col min="158" max="158" width="11.25" customWidth="1" collapsed="1"/>
  </cols>
  <sheetData>
    <row r="1" spans="1:158" s="5" customFormat="1" x14ac:dyDescent="0.35">
      <c r="D1" s="5">
        <v>2024</v>
      </c>
      <c r="E1" s="5">
        <v>2024</v>
      </c>
      <c r="F1" s="5">
        <v>2024</v>
      </c>
      <c r="G1" s="5">
        <v>2024</v>
      </c>
      <c r="H1" s="5">
        <v>2024</v>
      </c>
      <c r="I1" s="5">
        <v>2024</v>
      </c>
      <c r="J1" s="5">
        <v>2024</v>
      </c>
      <c r="K1" s="5">
        <v>2024</v>
      </c>
      <c r="L1" s="5">
        <v>2024</v>
      </c>
      <c r="M1" s="5">
        <v>2024</v>
      </c>
      <c r="P1" s="5">
        <v>2024</v>
      </c>
      <c r="Q1" s="5">
        <v>2024</v>
      </c>
      <c r="R1" s="5">
        <v>2024</v>
      </c>
      <c r="S1" s="5">
        <v>2024</v>
      </c>
      <c r="T1" s="5">
        <v>2024</v>
      </c>
      <c r="U1" s="5">
        <v>2024</v>
      </c>
      <c r="V1" s="5">
        <v>2024</v>
      </c>
      <c r="W1" s="5">
        <v>2024</v>
      </c>
      <c r="X1" s="5">
        <v>2024</v>
      </c>
      <c r="Y1" s="5">
        <v>2024</v>
      </c>
      <c r="AB1" s="5">
        <v>2024</v>
      </c>
      <c r="AC1" s="5">
        <v>2024</v>
      </c>
      <c r="AD1" s="5">
        <v>2024</v>
      </c>
      <c r="AE1" s="5">
        <v>2024</v>
      </c>
      <c r="AF1" s="5">
        <v>2024</v>
      </c>
      <c r="AG1" s="5">
        <v>2024</v>
      </c>
      <c r="AH1" s="5">
        <v>2024</v>
      </c>
      <c r="AI1" s="5">
        <v>2024</v>
      </c>
      <c r="AJ1" s="5">
        <v>2024</v>
      </c>
      <c r="AK1" s="5">
        <v>2024</v>
      </c>
      <c r="AN1" s="5">
        <v>2024</v>
      </c>
      <c r="AO1" s="5">
        <v>2024</v>
      </c>
      <c r="AP1" s="5">
        <v>2024</v>
      </c>
      <c r="AQ1" s="5">
        <v>2024</v>
      </c>
      <c r="AR1" s="5">
        <v>2024</v>
      </c>
      <c r="AS1" s="5">
        <v>2024</v>
      </c>
      <c r="AT1" s="5">
        <v>2024</v>
      </c>
      <c r="AU1" s="5">
        <v>2024</v>
      </c>
      <c r="AV1" s="5">
        <v>2024</v>
      </c>
      <c r="AW1" s="5">
        <v>2024</v>
      </c>
      <c r="AZ1" s="5">
        <v>2024</v>
      </c>
      <c r="BA1" s="5">
        <v>2024</v>
      </c>
      <c r="BB1" s="5">
        <v>2024</v>
      </c>
      <c r="BC1" s="5">
        <v>2024</v>
      </c>
      <c r="BD1" s="5">
        <v>2024</v>
      </c>
      <c r="BE1" s="5">
        <v>2024</v>
      </c>
      <c r="BF1" s="5">
        <v>2024</v>
      </c>
      <c r="BG1" s="5">
        <v>2024</v>
      </c>
      <c r="BH1" s="5">
        <v>2024</v>
      </c>
      <c r="BI1" s="5">
        <v>2024</v>
      </c>
      <c r="BL1" s="5">
        <v>2024</v>
      </c>
      <c r="BM1" s="5">
        <v>2024</v>
      </c>
      <c r="BN1" s="5">
        <v>2024</v>
      </c>
      <c r="BO1" s="5">
        <v>2024</v>
      </c>
      <c r="BP1" s="5">
        <v>2024</v>
      </c>
      <c r="BQ1" s="5">
        <v>2024</v>
      </c>
      <c r="BR1" s="5">
        <v>2024</v>
      </c>
      <c r="BS1" s="5">
        <v>2024</v>
      </c>
      <c r="BT1" s="5">
        <v>2024</v>
      </c>
      <c r="BU1" s="5">
        <v>2024</v>
      </c>
      <c r="BX1" s="5">
        <v>2024</v>
      </c>
      <c r="BY1" s="5">
        <v>2024</v>
      </c>
      <c r="BZ1" s="5">
        <v>2024</v>
      </c>
      <c r="CA1" s="5">
        <v>2024</v>
      </c>
      <c r="CB1" s="5">
        <v>2024</v>
      </c>
      <c r="CC1" s="5">
        <v>2024</v>
      </c>
      <c r="CD1" s="5">
        <v>2024</v>
      </c>
      <c r="CE1" s="5">
        <v>2024</v>
      </c>
      <c r="CF1" s="5">
        <v>2024</v>
      </c>
      <c r="CG1" s="5">
        <v>2024</v>
      </c>
      <c r="CJ1" s="5">
        <v>2024</v>
      </c>
      <c r="CK1" s="5">
        <v>2024</v>
      </c>
      <c r="CL1" s="5">
        <v>2024</v>
      </c>
      <c r="CM1" s="5">
        <v>2024</v>
      </c>
      <c r="CN1" s="5">
        <v>2024</v>
      </c>
      <c r="CO1" s="5">
        <v>2024</v>
      </c>
      <c r="CP1" s="5">
        <v>2024</v>
      </c>
      <c r="CQ1" s="5">
        <v>2024</v>
      </c>
      <c r="CR1" s="5">
        <v>2024</v>
      </c>
      <c r="CS1" s="5">
        <v>2024</v>
      </c>
      <c r="CV1" s="5">
        <v>2024</v>
      </c>
      <c r="CW1" s="5">
        <v>2024</v>
      </c>
      <c r="CX1" s="5">
        <v>2024</v>
      </c>
      <c r="CY1" s="5">
        <v>2024</v>
      </c>
      <c r="CZ1" s="5">
        <v>2024</v>
      </c>
      <c r="DA1" s="5">
        <v>2024</v>
      </c>
      <c r="DB1" s="5">
        <v>2024</v>
      </c>
      <c r="DC1" s="5">
        <v>2024</v>
      </c>
      <c r="DD1" s="5">
        <v>2024</v>
      </c>
      <c r="DE1" s="5">
        <v>2024</v>
      </c>
      <c r="DH1" s="5">
        <v>2024</v>
      </c>
      <c r="DI1" s="5">
        <v>2024</v>
      </c>
      <c r="DJ1" s="5">
        <v>2024</v>
      </c>
      <c r="DK1" s="5">
        <v>2024</v>
      </c>
      <c r="DL1" s="5">
        <v>2024</v>
      </c>
      <c r="DM1" s="5">
        <v>2024</v>
      </c>
      <c r="DN1" s="5">
        <v>2024</v>
      </c>
      <c r="DO1" s="5">
        <v>2024</v>
      </c>
      <c r="DP1" s="5">
        <v>2024</v>
      </c>
      <c r="DQ1" s="5">
        <v>2024</v>
      </c>
      <c r="DT1" s="5">
        <v>2024</v>
      </c>
      <c r="DU1" s="5">
        <v>2024</v>
      </c>
      <c r="DV1" s="5">
        <v>2024</v>
      </c>
      <c r="DW1" s="5">
        <v>2024</v>
      </c>
      <c r="DX1" s="5">
        <v>2024</v>
      </c>
      <c r="DY1" s="5">
        <v>2024</v>
      </c>
      <c r="DZ1" s="5">
        <v>2024</v>
      </c>
      <c r="EA1" s="5">
        <v>2024</v>
      </c>
      <c r="EB1" s="5">
        <v>2024</v>
      </c>
      <c r="EC1" s="5">
        <v>2024</v>
      </c>
      <c r="EF1" s="5">
        <v>2024</v>
      </c>
      <c r="EG1" s="5">
        <v>2024</v>
      </c>
      <c r="EH1" s="5">
        <v>2024</v>
      </c>
      <c r="EI1" s="5">
        <v>2024</v>
      </c>
      <c r="EJ1" s="5">
        <v>2024</v>
      </c>
      <c r="EK1" s="5">
        <v>2024</v>
      </c>
      <c r="EL1" s="5">
        <v>2024</v>
      </c>
      <c r="EM1" s="5">
        <v>2024</v>
      </c>
      <c r="EN1" s="5">
        <v>2024</v>
      </c>
      <c r="EO1" s="5">
        <v>2024</v>
      </c>
      <c r="ER1" s="5">
        <v>2024</v>
      </c>
      <c r="ES1" s="5">
        <v>2024</v>
      </c>
      <c r="ET1" s="5">
        <v>2024</v>
      </c>
      <c r="EU1" s="5">
        <v>2024</v>
      </c>
      <c r="EV1" s="5">
        <v>2024</v>
      </c>
      <c r="EW1" s="5">
        <v>2024</v>
      </c>
      <c r="EX1" s="5">
        <v>2024</v>
      </c>
      <c r="EY1" s="5">
        <v>2024</v>
      </c>
      <c r="EZ1" s="5">
        <v>2024</v>
      </c>
      <c r="FA1" s="5">
        <v>2024</v>
      </c>
    </row>
    <row r="2" spans="1:158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AB2" s="5">
        <v>2</v>
      </c>
      <c r="AC2" s="5">
        <v>2</v>
      </c>
      <c r="AD2" s="5">
        <v>2</v>
      </c>
      <c r="AE2" s="5">
        <v>2</v>
      </c>
      <c r="AF2" s="5">
        <v>2</v>
      </c>
      <c r="AG2" s="5">
        <v>2</v>
      </c>
      <c r="AH2" s="5">
        <v>2</v>
      </c>
      <c r="AI2" s="5">
        <v>2</v>
      </c>
      <c r="AJ2" s="5">
        <v>2</v>
      </c>
      <c r="AK2" s="5">
        <v>2</v>
      </c>
      <c r="AN2" s="5">
        <v>3</v>
      </c>
      <c r="AO2" s="5">
        <v>3</v>
      </c>
      <c r="AP2" s="5">
        <v>3</v>
      </c>
      <c r="AQ2" s="5">
        <v>3</v>
      </c>
      <c r="AR2" s="5">
        <v>3</v>
      </c>
      <c r="AS2" s="5">
        <v>3</v>
      </c>
      <c r="AT2" s="5">
        <v>3</v>
      </c>
      <c r="AU2" s="5">
        <v>3</v>
      </c>
      <c r="AV2" s="5">
        <v>3</v>
      </c>
      <c r="AW2" s="5">
        <v>3</v>
      </c>
      <c r="AZ2" s="5">
        <v>4</v>
      </c>
      <c r="BA2" s="5">
        <v>4</v>
      </c>
      <c r="BB2" s="5">
        <v>4</v>
      </c>
      <c r="BC2" s="5">
        <v>4</v>
      </c>
      <c r="BD2" s="5">
        <v>4</v>
      </c>
      <c r="BE2" s="5">
        <v>4</v>
      </c>
      <c r="BF2" s="5">
        <v>4</v>
      </c>
      <c r="BG2" s="5">
        <v>4</v>
      </c>
      <c r="BH2" s="5">
        <v>4</v>
      </c>
      <c r="BI2" s="5">
        <v>4</v>
      </c>
      <c r="BL2" s="5">
        <v>5</v>
      </c>
      <c r="BM2" s="5">
        <v>5</v>
      </c>
      <c r="BN2" s="5">
        <v>5</v>
      </c>
      <c r="BO2" s="5">
        <v>5</v>
      </c>
      <c r="BP2" s="5">
        <v>5</v>
      </c>
      <c r="BQ2" s="5">
        <v>5</v>
      </c>
      <c r="BR2" s="5">
        <v>5</v>
      </c>
      <c r="BS2" s="5">
        <v>5</v>
      </c>
      <c r="BT2" s="5">
        <v>5</v>
      </c>
      <c r="BU2" s="5">
        <v>5</v>
      </c>
      <c r="BX2" s="5">
        <v>6</v>
      </c>
      <c r="BY2" s="5">
        <v>6</v>
      </c>
      <c r="BZ2" s="5">
        <v>6</v>
      </c>
      <c r="CA2" s="5">
        <v>6</v>
      </c>
      <c r="CB2" s="5">
        <v>6</v>
      </c>
      <c r="CC2" s="5">
        <v>6</v>
      </c>
      <c r="CD2" s="5">
        <v>6</v>
      </c>
      <c r="CE2" s="5">
        <v>6</v>
      </c>
      <c r="CF2" s="5">
        <v>6</v>
      </c>
      <c r="CG2" s="5">
        <v>6</v>
      </c>
      <c r="CJ2" s="5">
        <v>7</v>
      </c>
      <c r="CK2" s="5">
        <v>7</v>
      </c>
      <c r="CL2" s="5">
        <v>7</v>
      </c>
      <c r="CM2" s="5">
        <v>7</v>
      </c>
      <c r="CN2" s="5">
        <v>7</v>
      </c>
      <c r="CO2" s="5">
        <v>7</v>
      </c>
      <c r="CP2" s="5">
        <v>7</v>
      </c>
      <c r="CQ2" s="5">
        <v>7</v>
      </c>
      <c r="CR2" s="5">
        <v>7</v>
      </c>
      <c r="CS2" s="5">
        <v>7</v>
      </c>
      <c r="CV2" s="5">
        <v>8</v>
      </c>
      <c r="CW2" s="5">
        <v>8</v>
      </c>
      <c r="CX2" s="5">
        <v>8</v>
      </c>
      <c r="CY2" s="5">
        <v>8</v>
      </c>
      <c r="CZ2" s="5">
        <v>8</v>
      </c>
      <c r="DA2" s="5">
        <v>8</v>
      </c>
      <c r="DB2" s="5">
        <v>8</v>
      </c>
      <c r="DC2" s="5">
        <v>8</v>
      </c>
      <c r="DD2" s="5">
        <v>8</v>
      </c>
      <c r="DE2" s="5">
        <v>8</v>
      </c>
      <c r="DH2" s="5">
        <v>9</v>
      </c>
      <c r="DI2" s="5">
        <v>9</v>
      </c>
      <c r="DJ2" s="5">
        <v>9</v>
      </c>
      <c r="DK2" s="5">
        <v>9</v>
      </c>
      <c r="DL2" s="5">
        <v>9</v>
      </c>
      <c r="DM2" s="5">
        <v>9</v>
      </c>
      <c r="DN2" s="5">
        <v>9</v>
      </c>
      <c r="DO2" s="5">
        <v>9</v>
      </c>
      <c r="DP2" s="5">
        <v>9</v>
      </c>
      <c r="DQ2" s="5">
        <v>9</v>
      </c>
      <c r="DT2" s="5">
        <v>10</v>
      </c>
      <c r="DU2" s="5">
        <v>10</v>
      </c>
      <c r="DV2" s="5">
        <v>10</v>
      </c>
      <c r="DW2" s="5">
        <v>10</v>
      </c>
      <c r="DX2" s="5">
        <v>10</v>
      </c>
      <c r="DY2" s="5">
        <v>10</v>
      </c>
      <c r="DZ2" s="5">
        <v>10</v>
      </c>
      <c r="EA2" s="5">
        <v>10</v>
      </c>
      <c r="EB2" s="5">
        <v>10</v>
      </c>
      <c r="EC2" s="5">
        <v>10</v>
      </c>
      <c r="EF2" s="5">
        <v>11</v>
      </c>
      <c r="EG2" s="5">
        <v>11</v>
      </c>
      <c r="EH2" s="5">
        <v>11</v>
      </c>
      <c r="EI2" s="5">
        <v>11</v>
      </c>
      <c r="EJ2" s="5">
        <v>11</v>
      </c>
      <c r="EK2" s="5">
        <v>11</v>
      </c>
      <c r="EL2" s="5">
        <v>11</v>
      </c>
      <c r="EM2" s="5">
        <v>11</v>
      </c>
      <c r="EN2" s="5">
        <v>11</v>
      </c>
      <c r="EO2" s="5">
        <v>11</v>
      </c>
      <c r="ER2" s="5">
        <v>12</v>
      </c>
      <c r="ES2" s="5">
        <v>12</v>
      </c>
      <c r="ET2" s="5">
        <v>12</v>
      </c>
      <c r="EU2" s="5">
        <v>12</v>
      </c>
      <c r="EV2" s="5">
        <v>12</v>
      </c>
      <c r="EW2" s="5">
        <v>12</v>
      </c>
      <c r="EX2" s="5">
        <v>12</v>
      </c>
      <c r="EY2" s="5">
        <v>12</v>
      </c>
      <c r="EZ2" s="5">
        <v>12</v>
      </c>
      <c r="FA2" s="5">
        <v>12</v>
      </c>
    </row>
    <row r="3" spans="1:158" s="5" customFormat="1" outlineLevel="1" x14ac:dyDescent="0.35">
      <c r="D3" s="5" t="s">
        <v>68</v>
      </c>
      <c r="E3" s="5" t="s">
        <v>69</v>
      </c>
      <c r="F3" s="5" t="s">
        <v>70</v>
      </c>
      <c r="G3" s="5" t="s">
        <v>67</v>
      </c>
      <c r="H3" s="5" t="s">
        <v>71</v>
      </c>
      <c r="I3" s="5" t="s">
        <v>72</v>
      </c>
      <c r="J3" s="5" t="s">
        <v>73</v>
      </c>
      <c r="K3" s="5" t="s">
        <v>74</v>
      </c>
      <c r="L3" s="5" t="s">
        <v>75</v>
      </c>
      <c r="M3" s="5" t="s">
        <v>76</v>
      </c>
      <c r="P3" s="5" t="s">
        <v>68</v>
      </c>
      <c r="Q3" s="5" t="s">
        <v>69</v>
      </c>
      <c r="R3" s="5" t="s">
        <v>70</v>
      </c>
      <c r="S3" s="5" t="s">
        <v>67</v>
      </c>
      <c r="T3" s="5" t="s">
        <v>71</v>
      </c>
      <c r="U3" s="5" t="s">
        <v>72</v>
      </c>
      <c r="V3" s="5" t="s">
        <v>73</v>
      </c>
      <c r="W3" s="5" t="s">
        <v>74</v>
      </c>
      <c r="X3" s="5" t="s">
        <v>75</v>
      </c>
      <c r="Y3" s="5" t="s">
        <v>76</v>
      </c>
      <c r="AB3" s="5" t="s">
        <v>68</v>
      </c>
      <c r="AC3" s="5" t="s">
        <v>69</v>
      </c>
      <c r="AD3" s="5" t="s">
        <v>70</v>
      </c>
      <c r="AE3" s="5" t="s">
        <v>67</v>
      </c>
      <c r="AF3" s="5" t="s">
        <v>71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  <c r="AN3" s="5" t="s">
        <v>68</v>
      </c>
      <c r="AO3" s="5" t="s">
        <v>69</v>
      </c>
      <c r="AP3" s="5" t="s">
        <v>70</v>
      </c>
      <c r="AQ3" s="5" t="s">
        <v>67</v>
      </c>
      <c r="AR3" s="5" t="s">
        <v>71</v>
      </c>
      <c r="AS3" s="5" t="s">
        <v>72</v>
      </c>
      <c r="AT3" s="5" t="s">
        <v>73</v>
      </c>
      <c r="AU3" s="5" t="s">
        <v>74</v>
      </c>
      <c r="AV3" s="5" t="s">
        <v>75</v>
      </c>
      <c r="AW3" s="5" t="s">
        <v>76</v>
      </c>
      <c r="AZ3" s="5" t="s">
        <v>68</v>
      </c>
      <c r="BA3" s="5" t="s">
        <v>69</v>
      </c>
      <c r="BB3" s="5" t="s">
        <v>70</v>
      </c>
      <c r="BC3" s="5" t="s">
        <v>67</v>
      </c>
      <c r="BD3" s="5" t="s">
        <v>71</v>
      </c>
      <c r="BE3" s="5" t="s">
        <v>72</v>
      </c>
      <c r="BF3" s="5" t="s">
        <v>73</v>
      </c>
      <c r="BG3" s="5" t="s">
        <v>74</v>
      </c>
      <c r="BH3" s="5" t="s">
        <v>75</v>
      </c>
      <c r="BI3" s="5" t="s">
        <v>76</v>
      </c>
      <c r="BL3" s="5" t="s">
        <v>68</v>
      </c>
      <c r="BM3" s="5" t="s">
        <v>69</v>
      </c>
      <c r="BN3" s="5" t="s">
        <v>70</v>
      </c>
      <c r="BO3" s="5" t="s">
        <v>67</v>
      </c>
      <c r="BP3" s="5" t="s">
        <v>71</v>
      </c>
      <c r="BQ3" s="5" t="s">
        <v>72</v>
      </c>
      <c r="BR3" s="5" t="s">
        <v>73</v>
      </c>
      <c r="BS3" s="5" t="s">
        <v>74</v>
      </c>
      <c r="BT3" s="5" t="s">
        <v>75</v>
      </c>
      <c r="BU3" s="5" t="s">
        <v>76</v>
      </c>
      <c r="BX3" s="5" t="s">
        <v>68</v>
      </c>
      <c r="BY3" s="5" t="s">
        <v>69</v>
      </c>
      <c r="BZ3" s="5" t="s">
        <v>70</v>
      </c>
      <c r="CA3" s="5" t="s">
        <v>67</v>
      </c>
      <c r="CB3" s="5" t="s">
        <v>71</v>
      </c>
      <c r="CC3" s="5" t="s">
        <v>72</v>
      </c>
      <c r="CD3" s="5" t="s">
        <v>73</v>
      </c>
      <c r="CE3" s="5" t="s">
        <v>74</v>
      </c>
      <c r="CF3" s="5" t="s">
        <v>75</v>
      </c>
      <c r="CG3" s="5" t="s">
        <v>76</v>
      </c>
      <c r="CJ3" s="5" t="s">
        <v>68</v>
      </c>
      <c r="CK3" s="5" t="s">
        <v>69</v>
      </c>
      <c r="CL3" s="5" t="s">
        <v>70</v>
      </c>
      <c r="CM3" s="5" t="s">
        <v>67</v>
      </c>
      <c r="CN3" s="5" t="s">
        <v>71</v>
      </c>
      <c r="CO3" s="5" t="s">
        <v>72</v>
      </c>
      <c r="CP3" s="5" t="s">
        <v>73</v>
      </c>
      <c r="CQ3" s="5" t="s">
        <v>74</v>
      </c>
      <c r="CR3" s="5" t="s">
        <v>75</v>
      </c>
      <c r="CS3" s="5" t="s">
        <v>76</v>
      </c>
      <c r="CV3" s="5" t="s">
        <v>68</v>
      </c>
      <c r="CW3" s="5" t="s">
        <v>69</v>
      </c>
      <c r="CX3" s="5" t="s">
        <v>70</v>
      </c>
      <c r="CY3" s="5" t="s">
        <v>67</v>
      </c>
      <c r="CZ3" s="5" t="s">
        <v>71</v>
      </c>
      <c r="DA3" s="5" t="s">
        <v>72</v>
      </c>
      <c r="DB3" s="5" t="s">
        <v>73</v>
      </c>
      <c r="DC3" s="5" t="s">
        <v>74</v>
      </c>
      <c r="DD3" s="5" t="s">
        <v>75</v>
      </c>
      <c r="DE3" s="5" t="s">
        <v>76</v>
      </c>
      <c r="DH3" s="5" t="s">
        <v>68</v>
      </c>
      <c r="DI3" s="5" t="s">
        <v>69</v>
      </c>
      <c r="DJ3" s="5" t="s">
        <v>70</v>
      </c>
      <c r="DK3" s="5" t="s">
        <v>67</v>
      </c>
      <c r="DL3" s="5" t="s">
        <v>71</v>
      </c>
      <c r="DM3" s="5" t="s">
        <v>72</v>
      </c>
      <c r="DN3" s="5" t="s">
        <v>73</v>
      </c>
      <c r="DO3" s="5" t="s">
        <v>74</v>
      </c>
      <c r="DP3" s="5" t="s">
        <v>75</v>
      </c>
      <c r="DQ3" s="5" t="s">
        <v>76</v>
      </c>
      <c r="DT3" s="5" t="s">
        <v>68</v>
      </c>
      <c r="DU3" s="5" t="s">
        <v>69</v>
      </c>
      <c r="DV3" s="5" t="s">
        <v>70</v>
      </c>
      <c r="DW3" s="5" t="s">
        <v>67</v>
      </c>
      <c r="DX3" s="5" t="s">
        <v>71</v>
      </c>
      <c r="DY3" s="5" t="s">
        <v>72</v>
      </c>
      <c r="DZ3" s="5" t="s">
        <v>73</v>
      </c>
      <c r="EA3" s="5" t="s">
        <v>74</v>
      </c>
      <c r="EB3" s="5" t="s">
        <v>75</v>
      </c>
      <c r="EC3" s="5" t="s">
        <v>76</v>
      </c>
      <c r="EF3" s="5" t="s">
        <v>68</v>
      </c>
      <c r="EG3" s="5" t="s">
        <v>69</v>
      </c>
      <c r="EH3" s="5" t="s">
        <v>70</v>
      </c>
      <c r="EI3" s="5" t="s">
        <v>67</v>
      </c>
      <c r="EJ3" s="5" t="s">
        <v>71</v>
      </c>
      <c r="EK3" s="5" t="s">
        <v>72</v>
      </c>
      <c r="EL3" s="5" t="s">
        <v>73</v>
      </c>
      <c r="EM3" s="5" t="s">
        <v>74</v>
      </c>
      <c r="EN3" s="5" t="s">
        <v>75</v>
      </c>
      <c r="EO3" s="5" t="s">
        <v>76</v>
      </c>
      <c r="ER3" s="5" t="s">
        <v>68</v>
      </c>
      <c r="ES3" s="5" t="s">
        <v>69</v>
      </c>
      <c r="ET3" s="5" t="s">
        <v>70</v>
      </c>
      <c r="EU3" s="5" t="s">
        <v>67</v>
      </c>
      <c r="EV3" s="5" t="s">
        <v>71</v>
      </c>
      <c r="EW3" s="5" t="s">
        <v>72</v>
      </c>
      <c r="EX3" s="5" t="s">
        <v>73</v>
      </c>
      <c r="EY3" s="5" t="s">
        <v>74</v>
      </c>
      <c r="EZ3" s="5" t="s">
        <v>75</v>
      </c>
      <c r="FA3" s="5" t="s">
        <v>76</v>
      </c>
    </row>
    <row r="4" spans="1:158" x14ac:dyDescent="0.35">
      <c r="B4" s="21" t="s">
        <v>79</v>
      </c>
      <c r="D4" s="10" t="s">
        <v>81</v>
      </c>
      <c r="E4" s="10"/>
      <c r="F4" s="10"/>
      <c r="G4" s="10"/>
      <c r="H4" s="10"/>
      <c r="I4" s="10"/>
      <c r="J4" s="10"/>
      <c r="K4" s="10"/>
      <c r="L4" s="10"/>
      <c r="M4" s="10"/>
      <c r="N4" s="10"/>
      <c r="P4" s="20" t="s">
        <v>82</v>
      </c>
      <c r="Q4" s="20"/>
      <c r="R4" s="20"/>
      <c r="S4" s="20"/>
      <c r="T4" s="20"/>
      <c r="U4" s="20"/>
      <c r="V4" s="20"/>
      <c r="W4" s="20"/>
      <c r="X4" s="20"/>
      <c r="Y4" s="20"/>
      <c r="Z4" s="20"/>
      <c r="AB4" s="20" t="s">
        <v>83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N4" s="20" t="s">
        <v>84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Z4" s="20" t="s">
        <v>85</v>
      </c>
      <c r="BA4" s="20"/>
      <c r="BB4" s="20"/>
      <c r="BC4" s="20"/>
      <c r="BD4" s="20"/>
      <c r="BE4" s="20"/>
      <c r="BF4" s="20"/>
      <c r="BG4" s="20"/>
      <c r="BH4" s="20"/>
      <c r="BI4" s="20"/>
      <c r="BJ4" s="20"/>
      <c r="BL4" s="20" t="s">
        <v>86</v>
      </c>
      <c r="BM4" s="20"/>
      <c r="BN4" s="20"/>
      <c r="BO4" s="20"/>
      <c r="BP4" s="20"/>
      <c r="BQ4" s="20"/>
      <c r="BR4" s="20"/>
      <c r="BS4" s="20"/>
      <c r="BT4" s="20"/>
      <c r="BU4" s="20"/>
      <c r="BV4" s="20"/>
      <c r="BX4" s="20" t="s">
        <v>87</v>
      </c>
      <c r="BY4" s="20"/>
      <c r="BZ4" s="20"/>
      <c r="CA4" s="20"/>
      <c r="CB4" s="20"/>
      <c r="CC4" s="20"/>
      <c r="CD4" s="20"/>
      <c r="CE4" s="20"/>
      <c r="CF4" s="20"/>
      <c r="CG4" s="20"/>
      <c r="CH4" s="20"/>
      <c r="CJ4" s="20" t="s">
        <v>88</v>
      </c>
      <c r="CK4" s="20"/>
      <c r="CL4" s="20"/>
      <c r="CM4" s="20"/>
      <c r="CN4" s="20"/>
      <c r="CO4" s="20"/>
      <c r="CP4" s="20"/>
      <c r="CQ4" s="20"/>
      <c r="CR4" s="20"/>
      <c r="CS4" s="20"/>
      <c r="CT4" s="20"/>
      <c r="CV4" s="20" t="s">
        <v>89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H4" s="20" t="s">
        <v>90</v>
      </c>
      <c r="DI4" s="20"/>
      <c r="DJ4" s="20"/>
      <c r="DK4" s="20"/>
      <c r="DL4" s="20"/>
      <c r="DM4" s="20"/>
      <c r="DN4" s="20"/>
      <c r="DO4" s="20"/>
      <c r="DP4" s="20"/>
      <c r="DQ4" s="20"/>
      <c r="DR4" s="20"/>
      <c r="DT4" s="20" t="s">
        <v>91</v>
      </c>
      <c r="DU4" s="20"/>
      <c r="DV4" s="20"/>
      <c r="DW4" s="20"/>
      <c r="DX4" s="20"/>
      <c r="DY4" s="20"/>
      <c r="DZ4" s="20"/>
      <c r="EA4" s="20"/>
      <c r="EB4" s="20"/>
      <c r="EC4" s="20"/>
      <c r="ED4" s="20"/>
      <c r="EF4" s="20" t="s">
        <v>92</v>
      </c>
      <c r="EG4" s="20"/>
      <c r="EH4" s="20"/>
      <c r="EI4" s="20"/>
      <c r="EJ4" s="20"/>
      <c r="EK4" s="20"/>
      <c r="EL4" s="20"/>
      <c r="EM4" s="20"/>
      <c r="EN4" s="20"/>
      <c r="EO4" s="20"/>
      <c r="EP4" s="20"/>
      <c r="ER4" s="20" t="s">
        <v>93</v>
      </c>
      <c r="ES4" s="20"/>
      <c r="ET4" s="20"/>
      <c r="EU4" s="20"/>
      <c r="EV4" s="20"/>
      <c r="EW4" s="20"/>
      <c r="EX4" s="20"/>
      <c r="EY4" s="20"/>
      <c r="EZ4" s="20"/>
      <c r="FA4" s="20"/>
      <c r="FB4" s="20"/>
    </row>
    <row r="5" spans="1:158" x14ac:dyDescent="0.35">
      <c r="B5" s="22"/>
      <c r="D5" s="11" t="s">
        <v>68</v>
      </c>
      <c r="E5" s="11" t="s">
        <v>69</v>
      </c>
      <c r="F5" s="11" t="s">
        <v>70</v>
      </c>
      <c r="G5" s="11" t="s">
        <v>67</v>
      </c>
      <c r="H5" s="11" t="s">
        <v>71</v>
      </c>
      <c r="I5" s="11" t="s">
        <v>72</v>
      </c>
      <c r="J5" s="11" t="s">
        <v>73</v>
      </c>
      <c r="K5" s="11" t="s">
        <v>74</v>
      </c>
      <c r="L5" s="11" t="s">
        <v>75</v>
      </c>
      <c r="M5" s="11" t="s">
        <v>76</v>
      </c>
      <c r="N5" s="11" t="s">
        <v>78</v>
      </c>
      <c r="P5" s="12" t="s">
        <v>68</v>
      </c>
      <c r="Q5" s="12" t="s">
        <v>69</v>
      </c>
      <c r="R5" s="12" t="s">
        <v>70</v>
      </c>
      <c r="S5" s="12" t="s">
        <v>67</v>
      </c>
      <c r="T5" s="12" t="s">
        <v>71</v>
      </c>
      <c r="U5" s="12" t="s">
        <v>72</v>
      </c>
      <c r="V5" s="12" t="s">
        <v>73</v>
      </c>
      <c r="W5" s="12" t="s">
        <v>74</v>
      </c>
      <c r="X5" s="12" t="s">
        <v>75</v>
      </c>
      <c r="Y5" s="12" t="s">
        <v>76</v>
      </c>
      <c r="Z5" s="12" t="s">
        <v>78</v>
      </c>
      <c r="AB5" s="12" t="s">
        <v>68</v>
      </c>
      <c r="AC5" s="12" t="s">
        <v>69</v>
      </c>
      <c r="AD5" s="12" t="s">
        <v>70</v>
      </c>
      <c r="AE5" s="12" t="s">
        <v>67</v>
      </c>
      <c r="AF5" s="12" t="s">
        <v>71</v>
      </c>
      <c r="AG5" s="12" t="s">
        <v>72</v>
      </c>
      <c r="AH5" s="12" t="s">
        <v>73</v>
      </c>
      <c r="AI5" s="12" t="s">
        <v>74</v>
      </c>
      <c r="AJ5" s="12" t="s">
        <v>75</v>
      </c>
      <c r="AK5" s="12" t="s">
        <v>76</v>
      </c>
      <c r="AL5" s="12" t="s">
        <v>78</v>
      </c>
      <c r="AN5" s="12" t="s">
        <v>68</v>
      </c>
      <c r="AO5" s="12" t="s">
        <v>69</v>
      </c>
      <c r="AP5" s="12" t="s">
        <v>70</v>
      </c>
      <c r="AQ5" s="12" t="s">
        <v>67</v>
      </c>
      <c r="AR5" s="12" t="s">
        <v>71</v>
      </c>
      <c r="AS5" s="12" t="s">
        <v>72</v>
      </c>
      <c r="AT5" s="12" t="s">
        <v>73</v>
      </c>
      <c r="AU5" s="12" t="s">
        <v>74</v>
      </c>
      <c r="AV5" s="12" t="s">
        <v>75</v>
      </c>
      <c r="AW5" s="12" t="s">
        <v>76</v>
      </c>
      <c r="AX5" s="12" t="s">
        <v>78</v>
      </c>
      <c r="AZ5" s="12" t="s">
        <v>68</v>
      </c>
      <c r="BA5" s="12" t="s">
        <v>69</v>
      </c>
      <c r="BB5" s="12" t="s">
        <v>70</v>
      </c>
      <c r="BC5" s="12" t="s">
        <v>67</v>
      </c>
      <c r="BD5" s="12" t="s">
        <v>71</v>
      </c>
      <c r="BE5" s="12" t="s">
        <v>72</v>
      </c>
      <c r="BF5" s="12" t="s">
        <v>73</v>
      </c>
      <c r="BG5" s="12" t="s">
        <v>74</v>
      </c>
      <c r="BH5" s="12" t="s">
        <v>75</v>
      </c>
      <c r="BI5" s="12" t="s">
        <v>76</v>
      </c>
      <c r="BJ5" s="12" t="s">
        <v>78</v>
      </c>
      <c r="BL5" s="12" t="s">
        <v>68</v>
      </c>
      <c r="BM5" s="12" t="s">
        <v>69</v>
      </c>
      <c r="BN5" s="12" t="s">
        <v>70</v>
      </c>
      <c r="BO5" s="12" t="s">
        <v>67</v>
      </c>
      <c r="BP5" s="12" t="s">
        <v>71</v>
      </c>
      <c r="BQ5" s="12" t="s">
        <v>72</v>
      </c>
      <c r="BR5" s="12" t="s">
        <v>73</v>
      </c>
      <c r="BS5" s="12" t="s">
        <v>74</v>
      </c>
      <c r="BT5" s="12" t="s">
        <v>75</v>
      </c>
      <c r="BU5" s="12" t="s">
        <v>76</v>
      </c>
      <c r="BV5" s="12" t="s">
        <v>78</v>
      </c>
      <c r="BX5" s="12" t="s">
        <v>68</v>
      </c>
      <c r="BY5" s="12" t="s">
        <v>69</v>
      </c>
      <c r="BZ5" s="12" t="s">
        <v>70</v>
      </c>
      <c r="CA5" s="12" t="s">
        <v>67</v>
      </c>
      <c r="CB5" s="12" t="s">
        <v>71</v>
      </c>
      <c r="CC5" s="12" t="s">
        <v>72</v>
      </c>
      <c r="CD5" s="12" t="s">
        <v>73</v>
      </c>
      <c r="CE5" s="12" t="s">
        <v>74</v>
      </c>
      <c r="CF5" s="12" t="s">
        <v>75</v>
      </c>
      <c r="CG5" s="12" t="s">
        <v>76</v>
      </c>
      <c r="CH5" s="12" t="s">
        <v>78</v>
      </c>
      <c r="CJ5" s="12" t="s">
        <v>68</v>
      </c>
      <c r="CK5" s="12" t="s">
        <v>69</v>
      </c>
      <c r="CL5" s="12" t="s">
        <v>70</v>
      </c>
      <c r="CM5" s="12" t="s">
        <v>67</v>
      </c>
      <c r="CN5" s="12" t="s">
        <v>71</v>
      </c>
      <c r="CO5" s="12" t="s">
        <v>72</v>
      </c>
      <c r="CP5" s="12" t="s">
        <v>73</v>
      </c>
      <c r="CQ5" s="12" t="s">
        <v>74</v>
      </c>
      <c r="CR5" s="12" t="s">
        <v>75</v>
      </c>
      <c r="CS5" s="12" t="s">
        <v>76</v>
      </c>
      <c r="CT5" s="12" t="s">
        <v>78</v>
      </c>
      <c r="CV5" s="12" t="s">
        <v>68</v>
      </c>
      <c r="CW5" s="12" t="s">
        <v>69</v>
      </c>
      <c r="CX5" s="12" t="s">
        <v>70</v>
      </c>
      <c r="CY5" s="12" t="s">
        <v>67</v>
      </c>
      <c r="CZ5" s="12" t="s">
        <v>71</v>
      </c>
      <c r="DA5" s="12" t="s">
        <v>72</v>
      </c>
      <c r="DB5" s="12" t="s">
        <v>73</v>
      </c>
      <c r="DC5" s="12" t="s">
        <v>74</v>
      </c>
      <c r="DD5" s="12" t="s">
        <v>75</v>
      </c>
      <c r="DE5" s="12" t="s">
        <v>76</v>
      </c>
      <c r="DF5" s="12" t="s">
        <v>78</v>
      </c>
      <c r="DH5" s="12" t="s">
        <v>68</v>
      </c>
      <c r="DI5" s="12" t="s">
        <v>69</v>
      </c>
      <c r="DJ5" s="12" t="s">
        <v>70</v>
      </c>
      <c r="DK5" s="12" t="s">
        <v>67</v>
      </c>
      <c r="DL5" s="12" t="s">
        <v>71</v>
      </c>
      <c r="DM5" s="12" t="s">
        <v>72</v>
      </c>
      <c r="DN5" s="12" t="s">
        <v>73</v>
      </c>
      <c r="DO5" s="12" t="s">
        <v>74</v>
      </c>
      <c r="DP5" s="12" t="s">
        <v>75</v>
      </c>
      <c r="DQ5" s="12" t="s">
        <v>76</v>
      </c>
      <c r="DR5" s="12" t="s">
        <v>78</v>
      </c>
      <c r="DT5" s="12" t="s">
        <v>68</v>
      </c>
      <c r="DU5" s="12" t="s">
        <v>69</v>
      </c>
      <c r="DV5" s="12" t="s">
        <v>70</v>
      </c>
      <c r="DW5" s="12" t="s">
        <v>67</v>
      </c>
      <c r="DX5" s="12" t="s">
        <v>71</v>
      </c>
      <c r="DY5" s="12" t="s">
        <v>72</v>
      </c>
      <c r="DZ5" s="12" t="s">
        <v>73</v>
      </c>
      <c r="EA5" s="12" t="s">
        <v>74</v>
      </c>
      <c r="EB5" s="12" t="s">
        <v>75</v>
      </c>
      <c r="EC5" s="12" t="s">
        <v>76</v>
      </c>
      <c r="ED5" s="12" t="s">
        <v>78</v>
      </c>
      <c r="EF5" s="12" t="s">
        <v>68</v>
      </c>
      <c r="EG5" s="12" t="s">
        <v>69</v>
      </c>
      <c r="EH5" s="12" t="s">
        <v>70</v>
      </c>
      <c r="EI5" s="12" t="s">
        <v>67</v>
      </c>
      <c r="EJ5" s="12" t="s">
        <v>71</v>
      </c>
      <c r="EK5" s="12" t="s">
        <v>72</v>
      </c>
      <c r="EL5" s="12" t="s">
        <v>73</v>
      </c>
      <c r="EM5" s="12" t="s">
        <v>74</v>
      </c>
      <c r="EN5" s="12" t="s">
        <v>75</v>
      </c>
      <c r="EO5" s="12" t="s">
        <v>76</v>
      </c>
      <c r="EP5" s="12" t="s">
        <v>78</v>
      </c>
      <c r="ER5" s="12" t="s">
        <v>68</v>
      </c>
      <c r="ES5" s="12" t="s">
        <v>69</v>
      </c>
      <c r="ET5" s="12" t="s">
        <v>70</v>
      </c>
      <c r="EU5" s="12" t="s">
        <v>67</v>
      </c>
      <c r="EV5" s="12" t="s">
        <v>71</v>
      </c>
      <c r="EW5" s="12" t="s">
        <v>72</v>
      </c>
      <c r="EX5" s="12" t="s">
        <v>73</v>
      </c>
      <c r="EY5" s="12" t="s">
        <v>74</v>
      </c>
      <c r="EZ5" s="12" t="s">
        <v>75</v>
      </c>
      <c r="FA5" s="12" t="s">
        <v>76</v>
      </c>
      <c r="FB5" s="12" t="s">
        <v>78</v>
      </c>
    </row>
    <row r="6" spans="1:158" x14ac:dyDescent="0.35">
      <c r="A6" s="5" t="s">
        <v>68</v>
      </c>
      <c r="B6" t="s">
        <v>68</v>
      </c>
      <c r="D6" s="8" cm="1">
        <f t="array" ref="D6">IF(D$2="FY",SUMPRODUCT(Data[Nhập-SPC+SPP-NX]*(Data[Year]=D$1)*(Data[Main SKU name_GOM]=$A6)*(Data[SKU name_NHẬP_GOM]=D$3)),SUMPRODUCT(Data[Nhập-SPC+SPP-NX]*(Data[Year]=D$1)*(Data[Month]=D$2)*(Data[Main SKU name_GOM]=$A6)*(Data[SKU name_NHẬP_GOM]=D$3)))</f>
        <v>5628933</v>
      </c>
      <c r="E6" s="8" cm="1">
        <f t="array" ref="E6">IF(E$2="FY",SUMPRODUCT(Data[Nhập-SPC+SPP-NX]*(Data[Year]=E$1)*(Data[Main SKU name_GOM]=$A6)*(Data[SKU name_NHẬP_GOM]=E$3)),SUMPRODUCT(Data[Nhập-SPC+SPP-NX]*(Data[Year]=E$1)*(Data[Month]=E$2)*(Data[Main SKU name_GOM]=$A6)*(Data[SKU name_NHẬP_GOM]=E$3)))</f>
        <v>332800</v>
      </c>
      <c r="F6" s="8" cm="1">
        <f t="array" ref="F6">IF(F$2="FY",SUMPRODUCT(Data[Nhập-SPC+SPP-NX]*(Data[Year]=F$1)*(Data[Main SKU name_GOM]=$A6)*(Data[SKU name_NHẬP_GOM]=F$3)),SUMPRODUCT(Data[Nhập-SPC+SPP-NX]*(Data[Year]=F$1)*(Data[Month]=F$2)*(Data[Main SKU name_GOM]=$A6)*(Data[SKU name_NHẬP_GOM]=F$3)))</f>
        <v>13161</v>
      </c>
      <c r="G6" s="8" cm="1">
        <f t="array" ref="G6">IF(G$2="FY",SUMPRODUCT(Data[Nhập-SPC+SPP-NX]*(Data[Year]=G$1)*(Data[Main SKU name_GOM]=$A6)*(Data[SKU name_NHẬP_GOM]=G$3)),SUMPRODUCT(Data[Nhập-SPC+SPP-NX]*(Data[Year]=G$1)*(Data[Month]=G$2)*(Data[Main SKU name_GOM]=$A6)*(Data[SKU name_NHẬP_GOM]=G$3)))</f>
        <v>17600</v>
      </c>
      <c r="H6" s="8" cm="1">
        <f t="array" ref="H6">IF(H$2="FY",SUMPRODUCT(Data[Nhập-SPC+SPP-NX]*(Data[Year]=H$1)*(Data[Main SKU name_GOM]=$A6)*(Data[SKU name_NHẬP_GOM]=H$3)),SUMPRODUCT(Data[Nhập-SPC+SPP-NX]*(Data[Year]=H$1)*(Data[Month]=H$2)*(Data[Main SKU name_GOM]=$A6)*(Data[SKU name_NHẬP_GOM]=H$3)))</f>
        <v>400603.5</v>
      </c>
      <c r="I6" s="8" cm="1">
        <f t="array" ref="I6">IF(I$2="FY",SUMPRODUCT(Data[Nhập-SPC+SPP-NX]*(Data[Year]=I$1)*(Data[Main SKU name_GOM]=$A6)*(Data[SKU name_NHẬP_GOM]=I$3)),SUMPRODUCT(Data[Nhập-SPC+SPP-NX]*(Data[Year]=I$1)*(Data[Month]=I$2)*(Data[Main SKU name_GOM]=$A6)*(Data[SKU name_NHẬP_GOM]=I$3)))</f>
        <v>13200</v>
      </c>
      <c r="J6" s="8" cm="1">
        <f t="array" ref="J6">IF(J$2="FY",SUMPRODUCT(Data[Nhập-SPC+SPP-NX]*(Data[Year]=J$1)*(Data[Main SKU name_GOM]=$A6)*(Data[SKU name_NHẬP_GOM]=J$3)),SUMPRODUCT(Data[Nhập-SPC+SPP-NX]*(Data[Year]=J$1)*(Data[Month]=J$2)*(Data[Main SKU name_GOM]=$A6)*(Data[SKU name_NHẬP_GOM]=J$3)))</f>
        <v>0</v>
      </c>
      <c r="K6" s="8" cm="1">
        <f t="array" ref="K6">IF(K$2="FY",SUMPRODUCT(Data[Nhập-SPC+SPP-NX]*(Data[Year]=K$1)*(Data[Main SKU name_GOM]=$A6)*(Data[SKU name_NHẬP_GOM]=K$3)),SUMPRODUCT(Data[Nhập-SPC+SPP-NX]*(Data[Year]=K$1)*(Data[Month]=K$2)*(Data[Main SKU name_GOM]=$A6)*(Data[SKU name_NHẬP_GOM]=K$3)))</f>
        <v>0</v>
      </c>
      <c r="L6" s="8" cm="1">
        <f t="array" ref="L6">IF(L$2="FY",SUMPRODUCT(Data[Nhập-SPC+SPP-NX]*(Data[Year]=L$1)*(Data[Main SKU name_GOM]=$A6)*(Data[SKU name_NHẬP_GOM]=L$3)),SUMPRODUCT(Data[Nhập-SPC+SPP-NX]*(Data[Year]=L$1)*(Data[Month]=L$2)*(Data[Main SKU name_GOM]=$A6)*(Data[SKU name_NHẬP_GOM]=L$3)))</f>
        <v>3300</v>
      </c>
      <c r="M6" s="8" cm="1">
        <f t="array" ref="M6">IF(M$2="FY",SUMPRODUCT(Data[Nhập-SPC+SPP-NX]*(Data[Year]=M$1)*(Data[Main SKU name_GOM]=$A6)*(Data[SKU name_NHẬP_GOM]=M$3)),SUMPRODUCT(Data[Nhập-SPC+SPP-NX]*(Data[Year]=M$1)*(Data[Month]=M$2)*(Data[Main SKU name_GOM]=$A6)*(Data[SKU name_NHẬP_GOM]=M$3)))</f>
        <v>0</v>
      </c>
      <c r="N6" s="13">
        <f>SUM(D6:M6)</f>
        <v>6409597.5</v>
      </c>
      <c r="P6" s="8" cm="1">
        <f t="array" ref="P6">IF(P$2="FY",SUMPRODUCT(Data[Nhập-SPC+SPP-NX]*(Data[Year]=P$1)*(Data[Main SKU name_GOM]=$A6)*(Data[SKU name_NHẬP_GOM]=P$3)),SUMPRODUCT(Data[Nhập-SPC+SPP-NX]*(Data[Year]=P$1)*(Data[Month]=P$2)*(Data[Main SKU name_GOM]=$A6)*(Data[SKU name_NHẬP_GOM]=P$3)))</f>
        <v>231098</v>
      </c>
      <c r="Q6" s="8" cm="1">
        <f t="array" ref="Q6">IF(Q$2="FY",SUMPRODUCT(Data[Nhập-SPC+SPP-NX]*(Data[Year]=Q$1)*(Data[Main SKU name_GOM]=$A6)*(Data[SKU name_NHẬP_GOM]=Q$3)),SUMPRODUCT(Data[Nhập-SPC+SPP-NX]*(Data[Year]=Q$1)*(Data[Month]=Q$2)*(Data[Main SKU name_GOM]=$A6)*(Data[SKU name_NHẬP_GOM]=Q$3)))</f>
        <v>12100.000000000002</v>
      </c>
      <c r="R6" s="8" cm="1">
        <f t="array" ref="R6">IF(R$2="FY",SUMPRODUCT(Data[Nhập-SPC+SPP-NX]*(Data[Year]=R$1)*(Data[Main SKU name_GOM]=$A6)*(Data[SKU name_NHẬP_GOM]=R$3)),SUMPRODUCT(Data[Nhập-SPC+SPP-NX]*(Data[Year]=R$1)*(Data[Month]=R$2)*(Data[Main SKU name_GOM]=$A6)*(Data[SKU name_NHẬP_GOM]=R$3)))</f>
        <v>2161</v>
      </c>
      <c r="S6" s="8" cm="1">
        <f t="array" ref="S6">IF(S$2="FY",SUMPRODUCT(Data[Nhập-SPC+SPP-NX]*(Data[Year]=S$1)*(Data[Main SKU name_GOM]=$A6)*(Data[SKU name_NHẬP_GOM]=S$3)),SUMPRODUCT(Data[Nhập-SPC+SPP-NX]*(Data[Year]=S$1)*(Data[Month]=S$2)*(Data[Main SKU name_GOM]=$A6)*(Data[SKU name_NHẬP_GOM]=S$3)))</f>
        <v>5500</v>
      </c>
      <c r="T6" s="8" cm="1">
        <f t="array" ref="T6">IF(T$2="FY",SUMPRODUCT(Data[Nhập-SPC+SPP-NX]*(Data[Year]=T$1)*(Data[Main SKU name_GOM]=$A6)*(Data[SKU name_NHẬP_GOM]=T$3)),SUMPRODUCT(Data[Nhập-SPC+SPP-NX]*(Data[Year]=T$1)*(Data[Month]=T$2)*(Data[Main SKU name_GOM]=$A6)*(Data[SKU name_NHẬP_GOM]=T$3)))</f>
        <v>0</v>
      </c>
      <c r="U6" s="8" cm="1">
        <f t="array" ref="U6">IF(U$2="FY",SUMPRODUCT(Data[Nhập-SPC+SPP-NX]*(Data[Year]=U$1)*(Data[Main SKU name_GOM]=$A6)*(Data[SKU name_NHẬP_GOM]=U$3)),SUMPRODUCT(Data[Nhập-SPC+SPP-NX]*(Data[Year]=U$1)*(Data[Month]=U$2)*(Data[Main SKU name_GOM]=$A6)*(Data[SKU name_NHẬP_GOM]=U$3)))</f>
        <v>0</v>
      </c>
      <c r="V6" s="8" cm="1">
        <f t="array" ref="V6">IF(V$2="FY",SUMPRODUCT(Data[Nhập-SPC+SPP-NX]*(Data[Year]=V$1)*(Data[Main SKU name_GOM]=$A6)*(Data[SKU name_NHẬP_GOM]=V$3)),SUMPRODUCT(Data[Nhập-SPC+SPP-NX]*(Data[Year]=V$1)*(Data[Month]=V$2)*(Data[Main SKU name_GOM]=$A6)*(Data[SKU name_NHẬP_GOM]=V$3)))</f>
        <v>0</v>
      </c>
      <c r="W6" s="8" cm="1">
        <f t="array" ref="W6">IF(W$2="FY",SUMPRODUCT(Data[Nhập-SPC+SPP-NX]*(Data[Year]=W$1)*(Data[Main SKU name_GOM]=$A6)*(Data[SKU name_NHẬP_GOM]=W$3)),SUMPRODUCT(Data[Nhập-SPC+SPP-NX]*(Data[Year]=W$1)*(Data[Month]=W$2)*(Data[Main SKU name_GOM]=$A6)*(Data[SKU name_NHẬP_GOM]=W$3)))</f>
        <v>0</v>
      </c>
      <c r="X6" s="8" cm="1">
        <f t="array" ref="X6">IF(X$2="FY",SUMPRODUCT(Data[Nhập-SPC+SPP-NX]*(Data[Year]=X$1)*(Data[Main SKU name_GOM]=$A6)*(Data[SKU name_NHẬP_GOM]=X$3)),SUMPRODUCT(Data[Nhập-SPC+SPP-NX]*(Data[Year]=X$1)*(Data[Month]=X$2)*(Data[Main SKU name_GOM]=$A6)*(Data[SKU name_NHẬP_GOM]=X$3)))</f>
        <v>0</v>
      </c>
      <c r="Y6" s="8" cm="1">
        <f t="array" ref="Y6">IF(Y$2="FY",SUMPRODUCT(Data[Nhập-SPC+SPP-NX]*(Data[Year]=Y$1)*(Data[Main SKU name_GOM]=$A6)*(Data[SKU name_NHẬP_GOM]=Y$3)),SUMPRODUCT(Data[Nhập-SPC+SPP-NX]*(Data[Year]=Y$1)*(Data[Month]=Y$2)*(Data[Main SKU name_GOM]=$A6)*(Data[SKU name_NHẬP_GOM]=Y$3)))</f>
        <v>0</v>
      </c>
      <c r="Z6" s="8">
        <f>SUM(P6:Y6)</f>
        <v>250859</v>
      </c>
      <c r="AB6" s="8" cm="1">
        <f t="array" ref="AB6">IF(AB$2="FY",SUMPRODUCT(Data[Nhập-SPC+SPP-NX]*(Data[Year]=AB$1)*(Data[Main SKU name_GOM]=$A6)*(Data[SKU name_NHẬP_GOM]=AB$3)),SUMPRODUCT(Data[Nhập-SPC+SPP-NX]*(Data[Year]=AB$1)*(Data[Month]=AB$2)*(Data[Main SKU name_GOM]=$A6)*(Data[SKU name_NHẬP_GOM]=AB$3)))</f>
        <v>232233</v>
      </c>
      <c r="AC6" s="8" cm="1">
        <f t="array" ref="AC6">IF(AC$2="FY",SUMPRODUCT(Data[Nhập-SPC+SPP-NX]*(Data[Year]=AC$1)*(Data[Main SKU name_GOM]=$A6)*(Data[SKU name_NHẬP_GOM]=AC$3)),SUMPRODUCT(Data[Nhập-SPC+SPP-NX]*(Data[Year]=AC$1)*(Data[Month]=AC$2)*(Data[Main SKU name_GOM]=$A6)*(Data[SKU name_NHẬP_GOM]=AC$3)))</f>
        <v>38500</v>
      </c>
      <c r="AD6" s="8" cm="1">
        <f t="array" ref="AD6">IF(AD$2="FY",SUMPRODUCT(Data[Nhập-SPC+SPP-NX]*(Data[Year]=AD$1)*(Data[Main SKU name_GOM]=$A6)*(Data[SKU name_NHẬP_GOM]=AD$3)),SUMPRODUCT(Data[Nhập-SPC+SPP-NX]*(Data[Year]=AD$1)*(Data[Month]=AD$2)*(Data[Main SKU name_GOM]=$A6)*(Data[SKU name_NHẬP_GOM]=AD$3)))</f>
        <v>2200</v>
      </c>
      <c r="AE6" s="8" cm="1">
        <f t="array" ref="AE6">IF(AE$2="FY",SUMPRODUCT(Data[Nhập-SPC+SPP-NX]*(Data[Year]=AE$1)*(Data[Main SKU name_GOM]=$A6)*(Data[SKU name_NHẬP_GOM]=AE$3)),SUMPRODUCT(Data[Nhập-SPC+SPP-NX]*(Data[Year]=AE$1)*(Data[Month]=AE$2)*(Data[Main SKU name_GOM]=$A6)*(Data[SKU name_NHẬP_GOM]=AE$3)))</f>
        <v>6600</v>
      </c>
      <c r="AF6" s="8" cm="1">
        <f t="array" ref="AF6">IF(AF$2="FY",SUMPRODUCT(Data[Nhập-SPC+SPP-NX]*(Data[Year]=AF$1)*(Data[Main SKU name_GOM]=$A6)*(Data[SKU name_NHẬP_GOM]=AF$3)),SUMPRODUCT(Data[Nhập-SPC+SPP-NX]*(Data[Year]=AF$1)*(Data[Month]=AF$2)*(Data[Main SKU name_GOM]=$A6)*(Data[SKU name_NHẬP_GOM]=AF$3)))</f>
        <v>2200</v>
      </c>
      <c r="AG6" s="8" cm="1">
        <f t="array" ref="AG6">IF(AG$2="FY",SUMPRODUCT(Data[Nhập-SPC+SPP-NX]*(Data[Year]=AG$1)*(Data[Main SKU name_GOM]=$A6)*(Data[SKU name_NHẬP_GOM]=AG$3)),SUMPRODUCT(Data[Nhập-SPC+SPP-NX]*(Data[Year]=AG$1)*(Data[Month]=AG$2)*(Data[Main SKU name_GOM]=$A6)*(Data[SKU name_NHẬP_GOM]=AG$3)))</f>
        <v>0</v>
      </c>
      <c r="AH6" s="8" cm="1">
        <f t="array" ref="AH6">IF(AH$2="FY",SUMPRODUCT(Data[Nhập-SPC+SPP-NX]*(Data[Year]=AH$1)*(Data[Main SKU name_GOM]=$A6)*(Data[SKU name_NHẬP_GOM]=AH$3)),SUMPRODUCT(Data[Nhập-SPC+SPP-NX]*(Data[Year]=AH$1)*(Data[Month]=AH$2)*(Data[Main SKU name_GOM]=$A6)*(Data[SKU name_NHẬP_GOM]=AH$3)))</f>
        <v>0</v>
      </c>
      <c r="AI6" s="8" cm="1">
        <f t="array" ref="AI6">IF(AI$2="FY",SUMPRODUCT(Data[Nhập-SPC+SPP-NX]*(Data[Year]=AI$1)*(Data[Main SKU name_GOM]=$A6)*(Data[SKU name_NHẬP_GOM]=AI$3)),SUMPRODUCT(Data[Nhập-SPC+SPP-NX]*(Data[Year]=AI$1)*(Data[Month]=AI$2)*(Data[Main SKU name_GOM]=$A6)*(Data[SKU name_NHẬP_GOM]=AI$3)))</f>
        <v>0</v>
      </c>
      <c r="AJ6" s="8" cm="1">
        <f t="array" ref="AJ6">IF(AJ$2="FY",SUMPRODUCT(Data[Nhập-SPC+SPP-NX]*(Data[Year]=AJ$1)*(Data[Main SKU name_GOM]=$A6)*(Data[SKU name_NHẬP_GOM]=AJ$3)),SUMPRODUCT(Data[Nhập-SPC+SPP-NX]*(Data[Year]=AJ$1)*(Data[Month]=AJ$2)*(Data[Main SKU name_GOM]=$A6)*(Data[SKU name_NHẬP_GOM]=AJ$3)))</f>
        <v>0</v>
      </c>
      <c r="AK6" s="8" cm="1">
        <f t="array" ref="AK6">IF(AK$2="FY",SUMPRODUCT(Data[Nhập-SPC+SPP-NX]*(Data[Year]=AK$1)*(Data[Main SKU name_GOM]=$A6)*(Data[SKU name_NHẬP_GOM]=AK$3)),SUMPRODUCT(Data[Nhập-SPC+SPP-NX]*(Data[Year]=AK$1)*(Data[Month]=AK$2)*(Data[Main SKU name_GOM]=$A6)*(Data[SKU name_NHẬP_GOM]=AK$3)))</f>
        <v>0</v>
      </c>
      <c r="AL6" s="8">
        <f>SUM(AB6:AK6)</f>
        <v>281733</v>
      </c>
      <c r="AN6" s="8" cm="1">
        <f t="array" ref="AN6">IF(AN$2="FY",SUMPRODUCT(Data[Nhập-SPC+SPP-NX]*(Data[Year]=AN$1)*(Data[Main SKU name_GOM]=$A6)*(Data[SKU name_NHẬP_GOM]=AN$3)),SUMPRODUCT(Data[Nhập-SPC+SPP-NX]*(Data[Year]=AN$1)*(Data[Month]=AN$2)*(Data[Main SKU name_GOM]=$A6)*(Data[SKU name_NHẬP_GOM]=AN$3)))</f>
        <v>28600</v>
      </c>
      <c r="AO6" s="8" cm="1">
        <f t="array" ref="AO6">IF(AO$2="FY",SUMPRODUCT(Data[Nhập-SPC+SPP-NX]*(Data[Year]=AO$1)*(Data[Main SKU name_GOM]=$A6)*(Data[SKU name_NHẬP_GOM]=AO$3)),SUMPRODUCT(Data[Nhập-SPC+SPP-NX]*(Data[Year]=AO$1)*(Data[Month]=AO$2)*(Data[Main SKU name_GOM]=$A6)*(Data[SKU name_NHẬP_GOM]=AO$3)))</f>
        <v>9900</v>
      </c>
      <c r="AP6" s="8" cm="1">
        <f t="array" ref="AP6">IF(AP$2="FY",SUMPRODUCT(Data[Nhập-SPC+SPP-NX]*(Data[Year]=AP$1)*(Data[Main SKU name_GOM]=$A6)*(Data[SKU name_NHẬP_GOM]=AP$3)),SUMPRODUCT(Data[Nhập-SPC+SPP-NX]*(Data[Year]=AP$1)*(Data[Month]=AP$2)*(Data[Main SKU name_GOM]=$A6)*(Data[SKU name_NHẬP_GOM]=AP$3)))</f>
        <v>1100</v>
      </c>
      <c r="AQ6" s="8" cm="1">
        <f t="array" ref="AQ6">IF(AQ$2="FY",SUMPRODUCT(Data[Nhập-SPC+SPP-NX]*(Data[Year]=AQ$1)*(Data[Main SKU name_GOM]=$A6)*(Data[SKU name_NHẬP_GOM]=AQ$3)),SUMPRODUCT(Data[Nhập-SPC+SPP-NX]*(Data[Year]=AQ$1)*(Data[Month]=AQ$2)*(Data[Main SKU name_GOM]=$A6)*(Data[SKU name_NHẬP_GOM]=AQ$3)))</f>
        <v>0</v>
      </c>
      <c r="AR6" s="8" cm="1">
        <f t="array" ref="AR6">IF(AR$2="FY",SUMPRODUCT(Data[Nhập-SPC+SPP-NX]*(Data[Year]=AR$1)*(Data[Main SKU name_GOM]=$A6)*(Data[SKU name_NHẬP_GOM]=AR$3)),SUMPRODUCT(Data[Nhập-SPC+SPP-NX]*(Data[Year]=AR$1)*(Data[Month]=AR$2)*(Data[Main SKU name_GOM]=$A6)*(Data[SKU name_NHẬP_GOM]=AR$3)))</f>
        <v>2200</v>
      </c>
      <c r="AS6" s="8" cm="1">
        <f t="array" ref="AS6">IF(AS$2="FY",SUMPRODUCT(Data[Nhập-SPC+SPP-NX]*(Data[Year]=AS$1)*(Data[Main SKU name_GOM]=$A6)*(Data[SKU name_NHẬP_GOM]=AS$3)),SUMPRODUCT(Data[Nhập-SPC+SPP-NX]*(Data[Year]=AS$1)*(Data[Month]=AS$2)*(Data[Main SKU name_GOM]=$A6)*(Data[SKU name_NHẬP_GOM]=AS$3)))</f>
        <v>0</v>
      </c>
      <c r="AT6" s="8" cm="1">
        <f t="array" ref="AT6">IF(AT$2="FY",SUMPRODUCT(Data[Nhập-SPC+SPP-NX]*(Data[Year]=AT$1)*(Data[Main SKU name_GOM]=$A6)*(Data[SKU name_NHẬP_GOM]=AT$3)),SUMPRODUCT(Data[Nhập-SPC+SPP-NX]*(Data[Year]=AT$1)*(Data[Month]=AT$2)*(Data[Main SKU name_GOM]=$A6)*(Data[SKU name_NHẬP_GOM]=AT$3)))</f>
        <v>0</v>
      </c>
      <c r="AU6" s="8" cm="1">
        <f t="array" ref="AU6">IF(AU$2="FY",SUMPRODUCT(Data[Nhập-SPC+SPP-NX]*(Data[Year]=AU$1)*(Data[Main SKU name_GOM]=$A6)*(Data[SKU name_NHẬP_GOM]=AU$3)),SUMPRODUCT(Data[Nhập-SPC+SPP-NX]*(Data[Year]=AU$1)*(Data[Month]=AU$2)*(Data[Main SKU name_GOM]=$A6)*(Data[SKU name_NHẬP_GOM]=AU$3)))</f>
        <v>0</v>
      </c>
      <c r="AV6" s="8" cm="1">
        <f t="array" ref="AV6">IF(AV$2="FY",SUMPRODUCT(Data[Nhập-SPC+SPP-NX]*(Data[Year]=AV$1)*(Data[Main SKU name_GOM]=$A6)*(Data[SKU name_NHẬP_GOM]=AV$3)),SUMPRODUCT(Data[Nhập-SPC+SPP-NX]*(Data[Year]=AV$1)*(Data[Month]=AV$2)*(Data[Main SKU name_GOM]=$A6)*(Data[SKU name_NHẬP_GOM]=AV$3)))</f>
        <v>0</v>
      </c>
      <c r="AW6" s="8" cm="1">
        <f t="array" ref="AW6">IF(AW$2="FY",SUMPRODUCT(Data[Nhập-SPC+SPP-NX]*(Data[Year]=AW$1)*(Data[Main SKU name_GOM]=$A6)*(Data[SKU name_NHẬP_GOM]=AW$3)),SUMPRODUCT(Data[Nhập-SPC+SPP-NX]*(Data[Year]=AW$1)*(Data[Month]=AW$2)*(Data[Main SKU name_GOM]=$A6)*(Data[SKU name_NHẬP_GOM]=AW$3)))</f>
        <v>0</v>
      </c>
      <c r="AX6" s="8">
        <f>SUM(AN6:AW6)</f>
        <v>41800</v>
      </c>
      <c r="AZ6" s="8" cm="1">
        <f t="array" ref="AZ6">IF(AZ$2="FY",SUMPRODUCT(Data[Nhập-SPC+SPP-NX]*(Data[Year]=AZ$1)*(Data[Main SKU name_GOM]=$A6)*(Data[SKU name_NHẬP_GOM]=AZ$3)),SUMPRODUCT(Data[Nhập-SPC+SPP-NX]*(Data[Year]=AZ$1)*(Data[Month]=AZ$2)*(Data[Main SKU name_GOM]=$A6)*(Data[SKU name_NHẬP_GOM]=AZ$3)))</f>
        <v>126500.00000000001</v>
      </c>
      <c r="BA6" s="8" cm="1">
        <f t="array" ref="BA6">IF(BA$2="FY",SUMPRODUCT(Data[Nhập-SPC+SPP-NX]*(Data[Year]=BA$1)*(Data[Main SKU name_GOM]=$A6)*(Data[SKU name_NHẬP_GOM]=BA$3)),SUMPRODUCT(Data[Nhập-SPC+SPP-NX]*(Data[Year]=BA$1)*(Data[Month]=BA$2)*(Data[Main SKU name_GOM]=$A6)*(Data[SKU name_NHẬP_GOM]=BA$3)))</f>
        <v>7700</v>
      </c>
      <c r="BB6" s="8" cm="1">
        <f t="array" ref="BB6">IF(BB$2="FY",SUMPRODUCT(Data[Nhập-SPC+SPP-NX]*(Data[Year]=BB$1)*(Data[Main SKU name_GOM]=$A6)*(Data[SKU name_NHẬP_GOM]=BB$3)),SUMPRODUCT(Data[Nhập-SPC+SPP-NX]*(Data[Year]=BB$1)*(Data[Month]=BB$2)*(Data[Main SKU name_GOM]=$A6)*(Data[SKU name_NHẬP_GOM]=BB$3)))</f>
        <v>0</v>
      </c>
      <c r="BC6" s="8" cm="1">
        <f t="array" ref="BC6">IF(BC$2="FY",SUMPRODUCT(Data[Nhập-SPC+SPP-NX]*(Data[Year]=BC$1)*(Data[Main SKU name_GOM]=$A6)*(Data[SKU name_NHẬP_GOM]=BC$3)),SUMPRODUCT(Data[Nhập-SPC+SPP-NX]*(Data[Year]=BC$1)*(Data[Month]=BC$2)*(Data[Main SKU name_GOM]=$A6)*(Data[SKU name_NHẬP_GOM]=BC$3)))</f>
        <v>0</v>
      </c>
      <c r="BD6" s="8" cm="1">
        <f t="array" ref="BD6">IF(BD$2="FY",SUMPRODUCT(Data[Nhập-SPC+SPP-NX]*(Data[Year]=BD$1)*(Data[Main SKU name_GOM]=$A6)*(Data[SKU name_NHẬP_GOM]=BD$3)),SUMPRODUCT(Data[Nhập-SPC+SPP-NX]*(Data[Year]=BD$1)*(Data[Month]=BD$2)*(Data[Main SKU name_GOM]=$A6)*(Data[SKU name_NHẬP_GOM]=BD$3)))</f>
        <v>0</v>
      </c>
      <c r="BE6" s="8" cm="1">
        <f t="array" ref="BE6">IF(BE$2="FY",SUMPRODUCT(Data[Nhập-SPC+SPP-NX]*(Data[Year]=BE$1)*(Data[Main SKU name_GOM]=$A6)*(Data[SKU name_NHẬP_GOM]=BE$3)),SUMPRODUCT(Data[Nhập-SPC+SPP-NX]*(Data[Year]=BE$1)*(Data[Month]=BE$2)*(Data[Main SKU name_GOM]=$A6)*(Data[SKU name_NHẬP_GOM]=BE$3)))</f>
        <v>0</v>
      </c>
      <c r="BF6" s="8" cm="1">
        <f t="array" ref="BF6">IF(BF$2="FY",SUMPRODUCT(Data[Nhập-SPC+SPP-NX]*(Data[Year]=BF$1)*(Data[Main SKU name_GOM]=$A6)*(Data[SKU name_NHẬP_GOM]=BF$3)),SUMPRODUCT(Data[Nhập-SPC+SPP-NX]*(Data[Year]=BF$1)*(Data[Month]=BF$2)*(Data[Main SKU name_GOM]=$A6)*(Data[SKU name_NHẬP_GOM]=BF$3)))</f>
        <v>0</v>
      </c>
      <c r="BG6" s="8" cm="1">
        <f t="array" ref="BG6">IF(BG$2="FY",SUMPRODUCT(Data[Nhập-SPC+SPP-NX]*(Data[Year]=BG$1)*(Data[Main SKU name_GOM]=$A6)*(Data[SKU name_NHẬP_GOM]=BG$3)),SUMPRODUCT(Data[Nhập-SPC+SPP-NX]*(Data[Year]=BG$1)*(Data[Month]=BG$2)*(Data[Main SKU name_GOM]=$A6)*(Data[SKU name_NHẬP_GOM]=BG$3)))</f>
        <v>0</v>
      </c>
      <c r="BH6" s="8" cm="1">
        <f t="array" ref="BH6">IF(BH$2="FY",SUMPRODUCT(Data[Nhập-SPC+SPP-NX]*(Data[Year]=BH$1)*(Data[Main SKU name_GOM]=$A6)*(Data[SKU name_NHẬP_GOM]=BH$3)),SUMPRODUCT(Data[Nhập-SPC+SPP-NX]*(Data[Year]=BH$1)*(Data[Month]=BH$2)*(Data[Main SKU name_GOM]=$A6)*(Data[SKU name_NHẬP_GOM]=BH$3)))</f>
        <v>0</v>
      </c>
      <c r="BI6" s="8" cm="1">
        <f t="array" ref="BI6">IF(BI$2="FY",SUMPRODUCT(Data[Nhập-SPC+SPP-NX]*(Data[Year]=BI$1)*(Data[Main SKU name_GOM]=$A6)*(Data[SKU name_NHẬP_GOM]=BI$3)),SUMPRODUCT(Data[Nhập-SPC+SPP-NX]*(Data[Year]=BI$1)*(Data[Month]=BI$2)*(Data[Main SKU name_GOM]=$A6)*(Data[SKU name_NHẬP_GOM]=BI$3)))</f>
        <v>0</v>
      </c>
      <c r="BJ6" s="8">
        <f>SUM(AZ6:BI6)</f>
        <v>134200</v>
      </c>
      <c r="BL6" s="8" cm="1">
        <f t="array" ref="BL6">IF(BL$2="FY",SUMPRODUCT(Data[Nhập-SPC+SPP-NX]*(Data[Year]=BL$1)*(Data[Main SKU name_GOM]=$A6)*(Data[SKU name_NHẬP_GOM]=BL$3)),SUMPRODUCT(Data[Nhập-SPC+SPP-NX]*(Data[Year]=BL$1)*(Data[Month]=BL$2)*(Data[Main SKU name_GOM]=$A6)*(Data[SKU name_NHẬP_GOM]=BL$3)))</f>
        <v>196900</v>
      </c>
      <c r="BM6" s="8" cm="1">
        <f t="array" ref="BM6">IF(BM$2="FY",SUMPRODUCT(Data[Nhập-SPC+SPP-NX]*(Data[Year]=BM$1)*(Data[Main SKU name_GOM]=$A6)*(Data[SKU name_NHẬP_GOM]=BM$3)),SUMPRODUCT(Data[Nhập-SPC+SPP-NX]*(Data[Year]=BM$1)*(Data[Month]=BM$2)*(Data[Main SKU name_GOM]=$A6)*(Data[SKU name_NHẬP_GOM]=BM$3)))</f>
        <v>42900</v>
      </c>
      <c r="BN6" s="8" cm="1">
        <f t="array" ref="BN6">IF(BN$2="FY",SUMPRODUCT(Data[Nhập-SPC+SPP-NX]*(Data[Year]=BN$1)*(Data[Main SKU name_GOM]=$A6)*(Data[SKU name_NHẬP_GOM]=BN$3)),SUMPRODUCT(Data[Nhập-SPC+SPP-NX]*(Data[Year]=BN$1)*(Data[Month]=BN$2)*(Data[Main SKU name_GOM]=$A6)*(Data[SKU name_NHẬP_GOM]=BN$3)))</f>
        <v>0</v>
      </c>
      <c r="BO6" s="8" cm="1">
        <f t="array" ref="BO6">IF(BO$2="FY",SUMPRODUCT(Data[Nhập-SPC+SPP-NX]*(Data[Year]=BO$1)*(Data[Main SKU name_GOM]=$A6)*(Data[SKU name_NHẬP_GOM]=BO$3)),SUMPRODUCT(Data[Nhập-SPC+SPP-NX]*(Data[Year]=BO$1)*(Data[Month]=BO$2)*(Data[Main SKU name_GOM]=$A6)*(Data[SKU name_NHẬP_GOM]=BO$3)))</f>
        <v>4400</v>
      </c>
      <c r="BP6" s="8" cm="1">
        <f t="array" ref="BP6">IF(BP$2="FY",SUMPRODUCT(Data[Nhập-SPC+SPP-NX]*(Data[Year]=BP$1)*(Data[Main SKU name_GOM]=$A6)*(Data[SKU name_NHẬP_GOM]=BP$3)),SUMPRODUCT(Data[Nhập-SPC+SPP-NX]*(Data[Year]=BP$1)*(Data[Month]=BP$2)*(Data[Main SKU name_GOM]=$A6)*(Data[SKU name_NHẬP_GOM]=BP$3)))</f>
        <v>5500</v>
      </c>
      <c r="BQ6" s="8" cm="1">
        <f t="array" ref="BQ6">IF(BQ$2="FY",SUMPRODUCT(Data[Nhập-SPC+SPP-NX]*(Data[Year]=BQ$1)*(Data[Main SKU name_GOM]=$A6)*(Data[SKU name_NHẬP_GOM]=BQ$3)),SUMPRODUCT(Data[Nhập-SPC+SPP-NX]*(Data[Year]=BQ$1)*(Data[Month]=BQ$2)*(Data[Main SKU name_GOM]=$A6)*(Data[SKU name_NHẬP_GOM]=BQ$3)))</f>
        <v>0</v>
      </c>
      <c r="BR6" s="8" cm="1">
        <f t="array" ref="BR6">IF(BR$2="FY",SUMPRODUCT(Data[Nhập-SPC+SPP-NX]*(Data[Year]=BR$1)*(Data[Main SKU name_GOM]=$A6)*(Data[SKU name_NHẬP_GOM]=BR$3)),SUMPRODUCT(Data[Nhập-SPC+SPP-NX]*(Data[Year]=BR$1)*(Data[Month]=BR$2)*(Data[Main SKU name_GOM]=$A6)*(Data[SKU name_NHẬP_GOM]=BR$3)))</f>
        <v>0</v>
      </c>
      <c r="BS6" s="8" cm="1">
        <f t="array" ref="BS6">IF(BS$2="FY",SUMPRODUCT(Data[Nhập-SPC+SPP-NX]*(Data[Year]=BS$1)*(Data[Main SKU name_GOM]=$A6)*(Data[SKU name_NHẬP_GOM]=BS$3)),SUMPRODUCT(Data[Nhập-SPC+SPP-NX]*(Data[Year]=BS$1)*(Data[Month]=BS$2)*(Data[Main SKU name_GOM]=$A6)*(Data[SKU name_NHẬP_GOM]=BS$3)))</f>
        <v>0</v>
      </c>
      <c r="BT6" s="8" cm="1">
        <f t="array" ref="BT6">IF(BT$2="FY",SUMPRODUCT(Data[Nhập-SPC+SPP-NX]*(Data[Year]=BT$1)*(Data[Main SKU name_GOM]=$A6)*(Data[SKU name_NHẬP_GOM]=BT$3)),SUMPRODUCT(Data[Nhập-SPC+SPP-NX]*(Data[Year]=BT$1)*(Data[Month]=BT$2)*(Data[Main SKU name_GOM]=$A6)*(Data[SKU name_NHẬP_GOM]=BT$3)))</f>
        <v>0</v>
      </c>
      <c r="BU6" s="8" cm="1">
        <f t="array" ref="BU6">IF(BU$2="FY",SUMPRODUCT(Data[Nhập-SPC+SPP-NX]*(Data[Year]=BU$1)*(Data[Main SKU name_GOM]=$A6)*(Data[SKU name_NHẬP_GOM]=BU$3)),SUMPRODUCT(Data[Nhập-SPC+SPP-NX]*(Data[Year]=BU$1)*(Data[Month]=BU$2)*(Data[Main SKU name_GOM]=$A6)*(Data[SKU name_NHẬP_GOM]=BU$3)))</f>
        <v>0</v>
      </c>
      <c r="BV6" s="8">
        <f>SUM(BL6:BU6)</f>
        <v>249700</v>
      </c>
      <c r="BX6" s="8" cm="1">
        <f t="array" ref="BX6">IF(BX$2="FY",SUMPRODUCT(Data[Nhập-SPC+SPP-NX]*(Data[Year]=BX$1)*(Data[Main SKU name_GOM]=$A6)*(Data[SKU name_NHẬP_GOM]=BX$3)),SUMPRODUCT(Data[Nhập-SPC+SPP-NX]*(Data[Year]=BX$1)*(Data[Month]=BX$2)*(Data[Main SKU name_GOM]=$A6)*(Data[SKU name_NHẬP_GOM]=BX$3)))</f>
        <v>207900</v>
      </c>
      <c r="BY6" s="8" cm="1">
        <f t="array" ref="BY6">IF(BY$2="FY",SUMPRODUCT(Data[Nhập-SPC+SPP-NX]*(Data[Year]=BY$1)*(Data[Main SKU name_GOM]=$A6)*(Data[SKU name_NHẬP_GOM]=BY$3)),SUMPRODUCT(Data[Nhập-SPC+SPP-NX]*(Data[Year]=BY$1)*(Data[Month]=BY$2)*(Data[Main SKU name_GOM]=$A6)*(Data[SKU name_NHẬP_GOM]=BY$3)))</f>
        <v>22000</v>
      </c>
      <c r="BZ6" s="8" cm="1">
        <f t="array" ref="BZ6">IF(BZ$2="FY",SUMPRODUCT(Data[Nhập-SPC+SPP-NX]*(Data[Year]=BZ$1)*(Data[Main SKU name_GOM]=$A6)*(Data[SKU name_NHẬP_GOM]=BZ$3)),SUMPRODUCT(Data[Nhập-SPC+SPP-NX]*(Data[Year]=BZ$1)*(Data[Month]=BZ$2)*(Data[Main SKU name_GOM]=$A6)*(Data[SKU name_NHẬP_GOM]=BZ$3)))</f>
        <v>0</v>
      </c>
      <c r="CA6" s="8" cm="1">
        <f t="array" ref="CA6">IF(CA$2="FY",SUMPRODUCT(Data[Nhập-SPC+SPP-NX]*(Data[Year]=CA$1)*(Data[Main SKU name_GOM]=$A6)*(Data[SKU name_NHẬP_GOM]=CA$3)),SUMPRODUCT(Data[Nhập-SPC+SPP-NX]*(Data[Year]=CA$1)*(Data[Month]=CA$2)*(Data[Main SKU name_GOM]=$A6)*(Data[SKU name_NHẬP_GOM]=CA$3)))</f>
        <v>0</v>
      </c>
      <c r="CB6" s="8" cm="1">
        <f t="array" ref="CB6">IF(CB$2="FY",SUMPRODUCT(Data[Nhập-SPC+SPP-NX]*(Data[Year]=CB$1)*(Data[Main SKU name_GOM]=$A6)*(Data[SKU name_NHẬP_GOM]=CB$3)),SUMPRODUCT(Data[Nhập-SPC+SPP-NX]*(Data[Year]=CB$1)*(Data[Month]=CB$2)*(Data[Main SKU name_GOM]=$A6)*(Data[SKU name_NHẬP_GOM]=CB$3)))</f>
        <v>1100</v>
      </c>
      <c r="CC6" s="8" cm="1">
        <f t="array" ref="CC6">IF(CC$2="FY",SUMPRODUCT(Data[Nhập-SPC+SPP-NX]*(Data[Year]=CC$1)*(Data[Main SKU name_GOM]=$A6)*(Data[SKU name_NHẬP_GOM]=CC$3)),SUMPRODUCT(Data[Nhập-SPC+SPP-NX]*(Data[Year]=CC$1)*(Data[Month]=CC$2)*(Data[Main SKU name_GOM]=$A6)*(Data[SKU name_NHẬP_GOM]=CC$3)))</f>
        <v>0</v>
      </c>
      <c r="CD6" s="8" cm="1">
        <f t="array" ref="CD6">IF(CD$2="FY",SUMPRODUCT(Data[Nhập-SPC+SPP-NX]*(Data[Year]=CD$1)*(Data[Main SKU name_GOM]=$A6)*(Data[SKU name_NHẬP_GOM]=CD$3)),SUMPRODUCT(Data[Nhập-SPC+SPP-NX]*(Data[Year]=CD$1)*(Data[Month]=CD$2)*(Data[Main SKU name_GOM]=$A6)*(Data[SKU name_NHẬP_GOM]=CD$3)))</f>
        <v>0</v>
      </c>
      <c r="CE6" s="8" cm="1">
        <f t="array" ref="CE6">IF(CE$2="FY",SUMPRODUCT(Data[Nhập-SPC+SPP-NX]*(Data[Year]=CE$1)*(Data[Main SKU name_GOM]=$A6)*(Data[SKU name_NHẬP_GOM]=CE$3)),SUMPRODUCT(Data[Nhập-SPC+SPP-NX]*(Data[Year]=CE$1)*(Data[Month]=CE$2)*(Data[Main SKU name_GOM]=$A6)*(Data[SKU name_NHẬP_GOM]=CE$3)))</f>
        <v>0</v>
      </c>
      <c r="CF6" s="8" cm="1">
        <f t="array" ref="CF6">IF(CF$2="FY",SUMPRODUCT(Data[Nhập-SPC+SPP-NX]*(Data[Year]=CF$1)*(Data[Main SKU name_GOM]=$A6)*(Data[SKU name_NHẬP_GOM]=CF$3)),SUMPRODUCT(Data[Nhập-SPC+SPP-NX]*(Data[Year]=CF$1)*(Data[Month]=CF$2)*(Data[Main SKU name_GOM]=$A6)*(Data[SKU name_NHẬP_GOM]=CF$3)))</f>
        <v>0</v>
      </c>
      <c r="CG6" s="8" cm="1">
        <f t="array" ref="CG6">IF(CG$2="FY",SUMPRODUCT(Data[Nhập-SPC+SPP-NX]*(Data[Year]=CG$1)*(Data[Main SKU name_GOM]=$A6)*(Data[SKU name_NHẬP_GOM]=CG$3)),SUMPRODUCT(Data[Nhập-SPC+SPP-NX]*(Data[Year]=CG$1)*(Data[Month]=CG$2)*(Data[Main SKU name_GOM]=$A6)*(Data[SKU name_NHẬP_GOM]=CG$3)))</f>
        <v>0</v>
      </c>
      <c r="CH6" s="8">
        <f>SUM(BX6:CG6)</f>
        <v>231000</v>
      </c>
      <c r="CJ6" s="8" cm="1">
        <f t="array" ref="CJ6">IF(CJ$2="FY",SUMPRODUCT(Data[Nhập-SPC+SPP-NX]*(Data[Year]=CJ$1)*(Data[Main SKU name_GOM]=$A6)*(Data[SKU name_NHẬP_GOM]=CJ$3)),SUMPRODUCT(Data[Nhập-SPC+SPP-NX]*(Data[Year]=CJ$1)*(Data[Month]=CJ$2)*(Data[Main SKU name_GOM]=$A6)*(Data[SKU name_NHẬP_GOM]=CJ$3)))</f>
        <v>334399.99999999994</v>
      </c>
      <c r="CK6" s="8" cm="1">
        <f t="array" ref="CK6">IF(CK$2="FY",SUMPRODUCT(Data[Nhập-SPC+SPP-NX]*(Data[Year]=CK$1)*(Data[Main SKU name_GOM]=$A6)*(Data[SKU name_NHẬP_GOM]=CK$3)),SUMPRODUCT(Data[Nhập-SPC+SPP-NX]*(Data[Year]=CK$1)*(Data[Month]=CK$2)*(Data[Main SKU name_GOM]=$A6)*(Data[SKU name_NHẬP_GOM]=CK$3)))</f>
        <v>70400</v>
      </c>
      <c r="CL6" s="8" cm="1">
        <f t="array" ref="CL6">IF(CL$2="FY",SUMPRODUCT(Data[Nhập-SPC+SPP-NX]*(Data[Year]=CL$1)*(Data[Main SKU name_GOM]=$A6)*(Data[SKU name_NHẬP_GOM]=CL$3)),SUMPRODUCT(Data[Nhập-SPC+SPP-NX]*(Data[Year]=CL$1)*(Data[Month]=CL$2)*(Data[Main SKU name_GOM]=$A6)*(Data[SKU name_NHẬP_GOM]=CL$3)))</f>
        <v>7700</v>
      </c>
      <c r="CM6" s="8" cm="1">
        <f t="array" ref="CM6">IF(CM$2="FY",SUMPRODUCT(Data[Nhập-SPC+SPP-NX]*(Data[Year]=CM$1)*(Data[Main SKU name_GOM]=$A6)*(Data[SKU name_NHẬP_GOM]=CM$3)),SUMPRODUCT(Data[Nhập-SPC+SPP-NX]*(Data[Year]=CM$1)*(Data[Month]=CM$2)*(Data[Main SKU name_GOM]=$A6)*(Data[SKU name_NHẬP_GOM]=CM$3)))</f>
        <v>0</v>
      </c>
      <c r="CN6" s="8" cm="1">
        <f t="array" ref="CN6">IF(CN$2="FY",SUMPRODUCT(Data[Nhập-SPC+SPP-NX]*(Data[Year]=CN$1)*(Data[Main SKU name_GOM]=$A6)*(Data[SKU name_NHẬP_GOM]=CN$3)),SUMPRODUCT(Data[Nhập-SPC+SPP-NX]*(Data[Year]=CN$1)*(Data[Month]=CN$2)*(Data[Main SKU name_GOM]=$A6)*(Data[SKU name_NHẬP_GOM]=CN$3)))</f>
        <v>4400</v>
      </c>
      <c r="CO6" s="8" cm="1">
        <f t="array" ref="CO6">IF(CO$2="FY",SUMPRODUCT(Data[Nhập-SPC+SPP-NX]*(Data[Year]=CO$1)*(Data[Main SKU name_GOM]=$A6)*(Data[SKU name_NHẬP_GOM]=CO$3)),SUMPRODUCT(Data[Nhập-SPC+SPP-NX]*(Data[Year]=CO$1)*(Data[Month]=CO$2)*(Data[Main SKU name_GOM]=$A6)*(Data[SKU name_NHẬP_GOM]=CO$3)))</f>
        <v>0</v>
      </c>
      <c r="CP6" s="8" cm="1">
        <f t="array" ref="CP6">IF(CP$2="FY",SUMPRODUCT(Data[Nhập-SPC+SPP-NX]*(Data[Year]=CP$1)*(Data[Main SKU name_GOM]=$A6)*(Data[SKU name_NHẬP_GOM]=CP$3)),SUMPRODUCT(Data[Nhập-SPC+SPP-NX]*(Data[Year]=CP$1)*(Data[Month]=CP$2)*(Data[Main SKU name_GOM]=$A6)*(Data[SKU name_NHẬP_GOM]=CP$3)))</f>
        <v>0</v>
      </c>
      <c r="CQ6" s="8" cm="1">
        <f t="array" ref="CQ6">IF(CQ$2="FY",SUMPRODUCT(Data[Nhập-SPC+SPP-NX]*(Data[Year]=CQ$1)*(Data[Main SKU name_GOM]=$A6)*(Data[SKU name_NHẬP_GOM]=CQ$3)),SUMPRODUCT(Data[Nhập-SPC+SPP-NX]*(Data[Year]=CQ$1)*(Data[Month]=CQ$2)*(Data[Main SKU name_GOM]=$A6)*(Data[SKU name_NHẬP_GOM]=CQ$3)))</f>
        <v>0</v>
      </c>
      <c r="CR6" s="8" cm="1">
        <f t="array" ref="CR6">IF(CR$2="FY",SUMPRODUCT(Data[Nhập-SPC+SPP-NX]*(Data[Year]=CR$1)*(Data[Main SKU name_GOM]=$A6)*(Data[SKU name_NHẬP_GOM]=CR$3)),SUMPRODUCT(Data[Nhập-SPC+SPP-NX]*(Data[Year]=CR$1)*(Data[Month]=CR$2)*(Data[Main SKU name_GOM]=$A6)*(Data[SKU name_NHẬP_GOM]=CR$3)))</f>
        <v>0</v>
      </c>
      <c r="CS6" s="8" cm="1">
        <f t="array" ref="CS6">IF(CS$2="FY",SUMPRODUCT(Data[Nhập-SPC+SPP-NX]*(Data[Year]=CS$1)*(Data[Main SKU name_GOM]=$A6)*(Data[SKU name_NHẬP_GOM]=CS$3)),SUMPRODUCT(Data[Nhập-SPC+SPP-NX]*(Data[Year]=CS$1)*(Data[Month]=CS$2)*(Data[Main SKU name_GOM]=$A6)*(Data[SKU name_NHẬP_GOM]=CS$3)))</f>
        <v>0</v>
      </c>
      <c r="CT6" s="8">
        <f>SUM(CJ6:CS6)</f>
        <v>416899.99999999994</v>
      </c>
      <c r="CV6" s="8" cm="1">
        <f t="array" ref="CV6">IF(CV$2="FY",SUMPRODUCT(Data[Nhập-SPC+SPP-NX]*(Data[Year]=CV$1)*(Data[Main SKU name_GOM]=$A6)*(Data[SKU name_NHẬP_GOM]=CV$3)),SUMPRODUCT(Data[Nhập-SPC+SPP-NX]*(Data[Year]=CV$1)*(Data[Month]=CV$2)*(Data[Main SKU name_GOM]=$A6)*(Data[SKU name_NHẬP_GOM]=CV$3)))</f>
        <v>495000</v>
      </c>
      <c r="CW6" s="8" cm="1">
        <f t="array" ref="CW6">IF(CW$2="FY",SUMPRODUCT(Data[Nhập-SPC+SPP-NX]*(Data[Year]=CW$1)*(Data[Main SKU name_GOM]=$A6)*(Data[SKU name_NHẬP_GOM]=CW$3)),SUMPRODUCT(Data[Nhập-SPC+SPP-NX]*(Data[Year]=CW$1)*(Data[Month]=CW$2)*(Data[Main SKU name_GOM]=$A6)*(Data[SKU name_NHẬP_GOM]=CW$3)))</f>
        <v>14545</v>
      </c>
      <c r="CX6" s="8" cm="1">
        <f t="array" ref="CX6">IF(CX$2="FY",SUMPRODUCT(Data[Nhập-SPC+SPP-NX]*(Data[Year]=CX$1)*(Data[Main SKU name_GOM]=$A6)*(Data[SKU name_NHẬP_GOM]=CX$3)),SUMPRODUCT(Data[Nhập-SPC+SPP-NX]*(Data[Year]=CX$1)*(Data[Month]=CX$2)*(Data[Main SKU name_GOM]=$A6)*(Data[SKU name_NHẬP_GOM]=CX$3)))</f>
        <v>0</v>
      </c>
      <c r="CY6" s="8" cm="1">
        <f t="array" ref="CY6">IF(CY$2="FY",SUMPRODUCT(Data[Nhập-SPC+SPP-NX]*(Data[Year]=CY$1)*(Data[Main SKU name_GOM]=$A6)*(Data[SKU name_NHẬP_GOM]=CY$3)),SUMPRODUCT(Data[Nhập-SPC+SPP-NX]*(Data[Year]=CY$1)*(Data[Month]=CY$2)*(Data[Main SKU name_GOM]=$A6)*(Data[SKU name_NHẬP_GOM]=CY$3)))</f>
        <v>0</v>
      </c>
      <c r="CZ6" s="8" cm="1">
        <f t="array" ref="CZ6">IF(CZ$2="FY",SUMPRODUCT(Data[Nhập-SPC+SPP-NX]*(Data[Year]=CZ$1)*(Data[Main SKU name_GOM]=$A6)*(Data[SKU name_NHẬP_GOM]=CZ$3)),SUMPRODUCT(Data[Nhập-SPC+SPP-NX]*(Data[Year]=CZ$1)*(Data[Month]=CZ$2)*(Data[Main SKU name_GOM]=$A6)*(Data[SKU name_NHẬP_GOM]=CZ$3)))</f>
        <v>18699</v>
      </c>
      <c r="DA6" s="8" cm="1">
        <f t="array" ref="DA6">IF(DA$2="FY",SUMPRODUCT(Data[Nhập-SPC+SPP-NX]*(Data[Year]=DA$1)*(Data[Main SKU name_GOM]=$A6)*(Data[SKU name_NHẬP_GOM]=DA$3)),SUMPRODUCT(Data[Nhập-SPC+SPP-NX]*(Data[Year]=DA$1)*(Data[Month]=DA$2)*(Data[Main SKU name_GOM]=$A6)*(Data[SKU name_NHẬP_GOM]=DA$3)))</f>
        <v>0</v>
      </c>
      <c r="DB6" s="8" cm="1">
        <f t="array" ref="DB6">IF(DB$2="FY",SUMPRODUCT(Data[Nhập-SPC+SPP-NX]*(Data[Year]=DB$1)*(Data[Main SKU name_GOM]=$A6)*(Data[SKU name_NHẬP_GOM]=DB$3)),SUMPRODUCT(Data[Nhập-SPC+SPP-NX]*(Data[Year]=DB$1)*(Data[Month]=DB$2)*(Data[Main SKU name_GOM]=$A6)*(Data[SKU name_NHẬP_GOM]=DB$3)))</f>
        <v>0</v>
      </c>
      <c r="DC6" s="8" cm="1">
        <f t="array" ref="DC6">IF(DC$2="FY",SUMPRODUCT(Data[Nhập-SPC+SPP-NX]*(Data[Year]=DC$1)*(Data[Main SKU name_GOM]=$A6)*(Data[SKU name_NHẬP_GOM]=DC$3)),SUMPRODUCT(Data[Nhập-SPC+SPP-NX]*(Data[Year]=DC$1)*(Data[Month]=DC$2)*(Data[Main SKU name_GOM]=$A6)*(Data[SKU name_NHẬP_GOM]=DC$3)))</f>
        <v>0</v>
      </c>
      <c r="DD6" s="8" cm="1">
        <f t="array" ref="DD6">IF(DD$2="FY",SUMPRODUCT(Data[Nhập-SPC+SPP-NX]*(Data[Year]=DD$1)*(Data[Main SKU name_GOM]=$A6)*(Data[SKU name_NHẬP_GOM]=DD$3)),SUMPRODUCT(Data[Nhập-SPC+SPP-NX]*(Data[Year]=DD$1)*(Data[Month]=DD$2)*(Data[Main SKU name_GOM]=$A6)*(Data[SKU name_NHẬP_GOM]=DD$3)))</f>
        <v>0</v>
      </c>
      <c r="DE6" s="8" cm="1">
        <f t="array" ref="DE6">IF(DE$2="FY",SUMPRODUCT(Data[Nhập-SPC+SPP-NX]*(Data[Year]=DE$1)*(Data[Main SKU name_GOM]=$A6)*(Data[SKU name_NHẬP_GOM]=DE$3)),SUMPRODUCT(Data[Nhập-SPC+SPP-NX]*(Data[Year]=DE$1)*(Data[Month]=DE$2)*(Data[Main SKU name_GOM]=$A6)*(Data[SKU name_NHẬP_GOM]=DE$3)))</f>
        <v>0</v>
      </c>
      <c r="DF6" s="8">
        <f>SUM(CV6:DE6)</f>
        <v>528244</v>
      </c>
      <c r="DH6" s="8" cm="1">
        <f t="array" ref="DH6">IF(DH$2="FY",SUMPRODUCT(Data[Nhập-SPC+SPP-NX]*(Data[Year]=DH$1)*(Data[Main SKU name_GOM]=$A6)*(Data[SKU name_NHẬP_GOM]=DH$3)),SUMPRODUCT(Data[Nhập-SPC+SPP-NX]*(Data[Year]=DH$1)*(Data[Month]=DH$2)*(Data[Main SKU name_GOM]=$A6)*(Data[SKU name_NHẬP_GOM]=DH$3)))</f>
        <v>1210000.0000000002</v>
      </c>
      <c r="DI6" s="8" cm="1">
        <f t="array" ref="DI6">IF(DI$2="FY",SUMPRODUCT(Data[Nhập-SPC+SPP-NX]*(Data[Year]=DI$1)*(Data[Main SKU name_GOM]=$A6)*(Data[SKU name_NHẬP_GOM]=DI$3)),SUMPRODUCT(Data[Nhập-SPC+SPP-NX]*(Data[Year]=DI$1)*(Data[Month]=DI$2)*(Data[Main SKU name_GOM]=$A6)*(Data[SKU name_NHẬP_GOM]=DI$3)))</f>
        <v>90555</v>
      </c>
      <c r="DJ6" s="8" cm="1">
        <f t="array" ref="DJ6">IF(DJ$2="FY",SUMPRODUCT(Data[Nhập-SPC+SPP-NX]*(Data[Year]=DJ$1)*(Data[Main SKU name_GOM]=$A6)*(Data[SKU name_NHẬP_GOM]=DJ$3)),SUMPRODUCT(Data[Nhập-SPC+SPP-NX]*(Data[Year]=DJ$1)*(Data[Month]=DJ$2)*(Data[Main SKU name_GOM]=$A6)*(Data[SKU name_NHẬP_GOM]=DJ$3)))</f>
        <v>0</v>
      </c>
      <c r="DK6" s="8" cm="1">
        <f t="array" ref="DK6">IF(DK$2="FY",SUMPRODUCT(Data[Nhập-SPC+SPP-NX]*(Data[Year]=DK$1)*(Data[Main SKU name_GOM]=$A6)*(Data[SKU name_NHẬP_GOM]=DK$3)),SUMPRODUCT(Data[Nhập-SPC+SPP-NX]*(Data[Year]=DK$1)*(Data[Month]=DK$2)*(Data[Main SKU name_GOM]=$A6)*(Data[SKU name_NHẬP_GOM]=DK$3)))</f>
        <v>0</v>
      </c>
      <c r="DL6" s="8" cm="1">
        <f t="array" ref="DL6">IF(DL$2="FY",SUMPRODUCT(Data[Nhập-SPC+SPP-NX]*(Data[Year]=DL$1)*(Data[Main SKU name_GOM]=$A6)*(Data[SKU name_NHẬP_GOM]=DL$3)),SUMPRODUCT(Data[Nhập-SPC+SPP-NX]*(Data[Year]=DL$1)*(Data[Month]=DL$2)*(Data[Main SKU name_GOM]=$A6)*(Data[SKU name_NHẬP_GOM]=DL$3)))</f>
        <v>139904.5</v>
      </c>
      <c r="DM6" s="8" cm="1">
        <f t="array" ref="DM6">IF(DM$2="FY",SUMPRODUCT(Data[Nhập-SPC+SPP-NX]*(Data[Year]=DM$1)*(Data[Main SKU name_GOM]=$A6)*(Data[SKU name_NHẬP_GOM]=DM$3)),SUMPRODUCT(Data[Nhập-SPC+SPP-NX]*(Data[Year]=DM$1)*(Data[Month]=DM$2)*(Data[Main SKU name_GOM]=$A6)*(Data[SKU name_NHẬP_GOM]=DM$3)))</f>
        <v>0</v>
      </c>
      <c r="DN6" s="8" cm="1">
        <f t="array" ref="DN6">IF(DN$2="FY",SUMPRODUCT(Data[Nhập-SPC+SPP-NX]*(Data[Year]=DN$1)*(Data[Main SKU name_GOM]=$A6)*(Data[SKU name_NHẬP_GOM]=DN$3)),SUMPRODUCT(Data[Nhập-SPC+SPP-NX]*(Data[Year]=DN$1)*(Data[Month]=DN$2)*(Data[Main SKU name_GOM]=$A6)*(Data[SKU name_NHẬP_GOM]=DN$3)))</f>
        <v>0</v>
      </c>
      <c r="DO6" s="8" cm="1">
        <f t="array" ref="DO6">IF(DO$2="FY",SUMPRODUCT(Data[Nhập-SPC+SPP-NX]*(Data[Year]=DO$1)*(Data[Main SKU name_GOM]=$A6)*(Data[SKU name_NHẬP_GOM]=DO$3)),SUMPRODUCT(Data[Nhập-SPC+SPP-NX]*(Data[Year]=DO$1)*(Data[Month]=DO$2)*(Data[Main SKU name_GOM]=$A6)*(Data[SKU name_NHẬP_GOM]=DO$3)))</f>
        <v>0</v>
      </c>
      <c r="DP6" s="8" cm="1">
        <f t="array" ref="DP6">IF(DP$2="FY",SUMPRODUCT(Data[Nhập-SPC+SPP-NX]*(Data[Year]=DP$1)*(Data[Main SKU name_GOM]=$A6)*(Data[SKU name_NHẬP_GOM]=DP$3)),SUMPRODUCT(Data[Nhập-SPC+SPP-NX]*(Data[Year]=DP$1)*(Data[Month]=DP$2)*(Data[Main SKU name_GOM]=$A6)*(Data[SKU name_NHẬP_GOM]=DP$3)))</f>
        <v>0</v>
      </c>
      <c r="DQ6" s="8" cm="1">
        <f t="array" ref="DQ6">IF(DQ$2="FY",SUMPRODUCT(Data[Nhập-SPC+SPP-NX]*(Data[Year]=DQ$1)*(Data[Main SKU name_GOM]=$A6)*(Data[SKU name_NHẬP_GOM]=DQ$3)),SUMPRODUCT(Data[Nhập-SPC+SPP-NX]*(Data[Year]=DQ$1)*(Data[Month]=DQ$2)*(Data[Main SKU name_GOM]=$A6)*(Data[SKU name_NHẬP_GOM]=DQ$3)))</f>
        <v>0</v>
      </c>
      <c r="DR6" s="8">
        <f>SUM(DH6:DQ6)</f>
        <v>1440459.5000000002</v>
      </c>
      <c r="DT6" s="8" cm="1">
        <f t="array" ref="DT6">IF(DT$2="FY",SUMPRODUCT(Data[Nhập-SPC+SPP-NX]*(Data[Year]=DT$1)*(Data[Main SKU name_GOM]=$A6)*(Data[SKU name_NHẬP_GOM]=DT$3)),SUMPRODUCT(Data[Nhập-SPC+SPP-NX]*(Data[Year]=DT$1)*(Data[Month]=DT$2)*(Data[Main SKU name_GOM]=$A6)*(Data[SKU name_NHẬP_GOM]=DT$3)))</f>
        <v>700702.00000000012</v>
      </c>
      <c r="DU6" s="8" cm="1">
        <f t="array" ref="DU6">IF(DU$2="FY",SUMPRODUCT(Data[Nhập-SPC+SPP-NX]*(Data[Year]=DU$1)*(Data[Main SKU name_GOM]=$A6)*(Data[SKU name_NHẬP_GOM]=DU$3)),SUMPRODUCT(Data[Nhập-SPC+SPP-NX]*(Data[Year]=DU$1)*(Data[Month]=DU$2)*(Data[Main SKU name_GOM]=$A6)*(Data[SKU name_NHẬP_GOM]=DU$3)))</f>
        <v>16500</v>
      </c>
      <c r="DV6" s="8" cm="1">
        <f t="array" ref="DV6">IF(DV$2="FY",SUMPRODUCT(Data[Nhập-SPC+SPP-NX]*(Data[Year]=DV$1)*(Data[Main SKU name_GOM]=$A6)*(Data[SKU name_NHẬP_GOM]=DV$3)),SUMPRODUCT(Data[Nhập-SPC+SPP-NX]*(Data[Year]=DV$1)*(Data[Month]=DV$2)*(Data[Main SKU name_GOM]=$A6)*(Data[SKU name_NHẬP_GOM]=DV$3)))</f>
        <v>0</v>
      </c>
      <c r="DW6" s="8" cm="1">
        <f t="array" ref="DW6">IF(DW$2="FY",SUMPRODUCT(Data[Nhập-SPC+SPP-NX]*(Data[Year]=DW$1)*(Data[Main SKU name_GOM]=$A6)*(Data[SKU name_NHẬP_GOM]=DW$3)),SUMPRODUCT(Data[Nhập-SPC+SPP-NX]*(Data[Year]=DW$1)*(Data[Month]=DW$2)*(Data[Main SKU name_GOM]=$A6)*(Data[SKU name_NHẬP_GOM]=DW$3)))</f>
        <v>1100</v>
      </c>
      <c r="DX6" s="8" cm="1">
        <f t="array" ref="DX6">IF(DX$2="FY",SUMPRODUCT(Data[Nhập-SPC+SPP-NX]*(Data[Year]=DX$1)*(Data[Main SKU name_GOM]=$A6)*(Data[SKU name_NHẬP_GOM]=DX$3)),SUMPRODUCT(Data[Nhập-SPC+SPP-NX]*(Data[Year]=DX$1)*(Data[Month]=DX$2)*(Data[Main SKU name_GOM]=$A6)*(Data[SKU name_NHẬP_GOM]=DX$3)))</f>
        <v>132000</v>
      </c>
      <c r="DY6" s="8" cm="1">
        <f t="array" ref="DY6">IF(DY$2="FY",SUMPRODUCT(Data[Nhập-SPC+SPP-NX]*(Data[Year]=DY$1)*(Data[Main SKU name_GOM]=$A6)*(Data[SKU name_NHẬP_GOM]=DY$3)),SUMPRODUCT(Data[Nhập-SPC+SPP-NX]*(Data[Year]=DY$1)*(Data[Month]=DY$2)*(Data[Main SKU name_GOM]=$A6)*(Data[SKU name_NHẬP_GOM]=DY$3)))</f>
        <v>0</v>
      </c>
      <c r="DZ6" s="8" cm="1">
        <f t="array" ref="DZ6">IF(DZ$2="FY",SUMPRODUCT(Data[Nhập-SPC+SPP-NX]*(Data[Year]=DZ$1)*(Data[Main SKU name_GOM]=$A6)*(Data[SKU name_NHẬP_GOM]=DZ$3)),SUMPRODUCT(Data[Nhập-SPC+SPP-NX]*(Data[Year]=DZ$1)*(Data[Month]=DZ$2)*(Data[Main SKU name_GOM]=$A6)*(Data[SKU name_NHẬP_GOM]=DZ$3)))</f>
        <v>0</v>
      </c>
      <c r="EA6" s="8" cm="1">
        <f t="array" ref="EA6">IF(EA$2="FY",SUMPRODUCT(Data[Nhập-SPC+SPP-NX]*(Data[Year]=EA$1)*(Data[Main SKU name_GOM]=$A6)*(Data[SKU name_NHẬP_GOM]=EA$3)),SUMPRODUCT(Data[Nhập-SPC+SPP-NX]*(Data[Year]=EA$1)*(Data[Month]=EA$2)*(Data[Main SKU name_GOM]=$A6)*(Data[SKU name_NHẬP_GOM]=EA$3)))</f>
        <v>0</v>
      </c>
      <c r="EB6" s="8" cm="1">
        <f t="array" ref="EB6">IF(EB$2="FY",SUMPRODUCT(Data[Nhập-SPC+SPP-NX]*(Data[Year]=EB$1)*(Data[Main SKU name_GOM]=$A6)*(Data[SKU name_NHẬP_GOM]=EB$3)),SUMPRODUCT(Data[Nhập-SPC+SPP-NX]*(Data[Year]=EB$1)*(Data[Month]=EB$2)*(Data[Main SKU name_GOM]=$A6)*(Data[SKU name_NHẬP_GOM]=EB$3)))</f>
        <v>0</v>
      </c>
      <c r="EC6" s="8" cm="1">
        <f t="array" ref="EC6">IF(EC$2="FY",SUMPRODUCT(Data[Nhập-SPC+SPP-NX]*(Data[Year]=EC$1)*(Data[Main SKU name_GOM]=$A6)*(Data[SKU name_NHẬP_GOM]=EC$3)),SUMPRODUCT(Data[Nhập-SPC+SPP-NX]*(Data[Year]=EC$1)*(Data[Month]=EC$2)*(Data[Main SKU name_GOM]=$A6)*(Data[SKU name_NHẬP_GOM]=EC$3)))</f>
        <v>0</v>
      </c>
      <c r="ED6" s="8">
        <f>SUM(DT6:EC6)</f>
        <v>850302.00000000012</v>
      </c>
      <c r="EF6" s="8" cm="1">
        <f t="array" ref="EF6">IF(EF$2="FY",SUMPRODUCT(Data[Nhập-SPC+SPP-NX]*(Data[Year]=EF$1)*(Data[Main SKU name_GOM]=$A6)*(Data[SKU name_NHẬP_GOM]=EF$3)),SUMPRODUCT(Data[Nhập-SPC+SPP-NX]*(Data[Year]=EF$1)*(Data[Month]=EF$2)*(Data[Main SKU name_GOM]=$A6)*(Data[SKU name_NHẬP_GOM]=EF$3)))</f>
        <v>896499.99999999988</v>
      </c>
      <c r="EG6" s="8" cm="1">
        <f t="array" ref="EG6">IF(EG$2="FY",SUMPRODUCT(Data[Nhập-SPC+SPP-NX]*(Data[Year]=EG$1)*(Data[Main SKU name_GOM]=$A6)*(Data[SKU name_NHẬP_GOM]=EG$3)),SUMPRODUCT(Data[Nhập-SPC+SPP-NX]*(Data[Year]=EG$1)*(Data[Month]=EG$2)*(Data[Main SKU name_GOM]=$A6)*(Data[SKU name_NHẬP_GOM]=EG$3)))</f>
        <v>6600</v>
      </c>
      <c r="EH6" s="8" cm="1">
        <f t="array" ref="EH6">IF(EH$2="FY",SUMPRODUCT(Data[Nhập-SPC+SPP-NX]*(Data[Year]=EH$1)*(Data[Main SKU name_GOM]=$A6)*(Data[SKU name_NHẬP_GOM]=EH$3)),SUMPRODUCT(Data[Nhập-SPC+SPP-NX]*(Data[Year]=EH$1)*(Data[Month]=EH$2)*(Data[Main SKU name_GOM]=$A6)*(Data[SKU name_NHẬP_GOM]=EH$3)))</f>
        <v>0</v>
      </c>
      <c r="EI6" s="8" cm="1">
        <f t="array" ref="EI6">IF(EI$2="FY",SUMPRODUCT(Data[Nhập-SPC+SPP-NX]*(Data[Year]=EI$1)*(Data[Main SKU name_GOM]=$A6)*(Data[SKU name_NHẬP_GOM]=EI$3)),SUMPRODUCT(Data[Nhập-SPC+SPP-NX]*(Data[Year]=EI$1)*(Data[Month]=EI$2)*(Data[Main SKU name_GOM]=$A6)*(Data[SKU name_NHẬP_GOM]=EI$3)))</f>
        <v>0</v>
      </c>
      <c r="EJ6" s="8" cm="1">
        <f t="array" ref="EJ6">IF(EJ$2="FY",SUMPRODUCT(Data[Nhập-SPC+SPP-NX]*(Data[Year]=EJ$1)*(Data[Main SKU name_GOM]=$A6)*(Data[SKU name_NHẬP_GOM]=EJ$3)),SUMPRODUCT(Data[Nhập-SPC+SPP-NX]*(Data[Year]=EJ$1)*(Data[Month]=EJ$2)*(Data[Main SKU name_GOM]=$A6)*(Data[SKU name_NHẬP_GOM]=EJ$3)))</f>
        <v>68200.000000000015</v>
      </c>
      <c r="EK6" s="8" cm="1">
        <f t="array" ref="EK6">IF(EK$2="FY",SUMPRODUCT(Data[Nhập-SPC+SPP-NX]*(Data[Year]=EK$1)*(Data[Main SKU name_GOM]=$A6)*(Data[SKU name_NHẬP_GOM]=EK$3)),SUMPRODUCT(Data[Nhập-SPC+SPP-NX]*(Data[Year]=EK$1)*(Data[Month]=EK$2)*(Data[Main SKU name_GOM]=$A6)*(Data[SKU name_NHẬP_GOM]=EK$3)))</f>
        <v>0</v>
      </c>
      <c r="EL6" s="8" cm="1">
        <f t="array" ref="EL6">IF(EL$2="FY",SUMPRODUCT(Data[Nhập-SPC+SPP-NX]*(Data[Year]=EL$1)*(Data[Main SKU name_GOM]=$A6)*(Data[SKU name_NHẬP_GOM]=EL$3)),SUMPRODUCT(Data[Nhập-SPC+SPP-NX]*(Data[Year]=EL$1)*(Data[Month]=EL$2)*(Data[Main SKU name_GOM]=$A6)*(Data[SKU name_NHẬP_GOM]=EL$3)))</f>
        <v>0</v>
      </c>
      <c r="EM6" s="8" cm="1">
        <f t="array" ref="EM6">IF(EM$2="FY",SUMPRODUCT(Data[Nhập-SPC+SPP-NX]*(Data[Year]=EM$1)*(Data[Main SKU name_GOM]=$A6)*(Data[SKU name_NHẬP_GOM]=EM$3)),SUMPRODUCT(Data[Nhập-SPC+SPP-NX]*(Data[Year]=EM$1)*(Data[Month]=EM$2)*(Data[Main SKU name_GOM]=$A6)*(Data[SKU name_NHẬP_GOM]=EM$3)))</f>
        <v>0</v>
      </c>
      <c r="EN6" s="8" cm="1">
        <f t="array" ref="EN6">IF(EN$2="FY",SUMPRODUCT(Data[Nhập-SPC+SPP-NX]*(Data[Year]=EN$1)*(Data[Main SKU name_GOM]=$A6)*(Data[SKU name_NHẬP_GOM]=EN$3)),SUMPRODUCT(Data[Nhập-SPC+SPP-NX]*(Data[Year]=EN$1)*(Data[Month]=EN$2)*(Data[Main SKU name_GOM]=$A6)*(Data[SKU name_NHẬP_GOM]=EN$3)))</f>
        <v>0</v>
      </c>
      <c r="EO6" s="8" cm="1">
        <f t="array" ref="EO6">IF(EO$2="FY",SUMPRODUCT(Data[Nhập-SPC+SPP-NX]*(Data[Year]=EO$1)*(Data[Main SKU name_GOM]=$A6)*(Data[SKU name_NHẬP_GOM]=EO$3)),SUMPRODUCT(Data[Nhập-SPC+SPP-NX]*(Data[Year]=EO$1)*(Data[Month]=EO$2)*(Data[Main SKU name_GOM]=$A6)*(Data[SKU name_NHẬP_GOM]=EO$3)))</f>
        <v>0</v>
      </c>
      <c r="EP6" s="8">
        <f>SUM(EF6:EO6)</f>
        <v>971299.99999999988</v>
      </c>
      <c r="ER6" s="8" cm="1">
        <f t="array" ref="ER6">IF(ER$2="FY",SUMPRODUCT(Data[Nhập-SPC+SPP-NX]*(Data[Year]=ER$1)*(Data[Main SKU name_GOM]=$A6)*(Data[SKU name_NHẬP_GOM]=ER$3)),SUMPRODUCT(Data[Nhập-SPC+SPP-NX]*(Data[Year]=ER$1)*(Data[Month]=ER$2)*(Data[Main SKU name_GOM]=$A6)*(Data[SKU name_NHẬP_GOM]=ER$3)))</f>
        <v>969100</v>
      </c>
      <c r="ES6" s="8" cm="1">
        <f t="array" ref="ES6">IF(ES$2="FY",SUMPRODUCT(Data[Nhập-SPC+SPP-NX]*(Data[Year]=ES$1)*(Data[Main SKU name_GOM]=$A6)*(Data[SKU name_NHẬP_GOM]=ES$3)),SUMPRODUCT(Data[Nhập-SPC+SPP-NX]*(Data[Year]=ES$1)*(Data[Month]=ES$2)*(Data[Main SKU name_GOM]=$A6)*(Data[SKU name_NHẬP_GOM]=ES$3)))</f>
        <v>1100</v>
      </c>
      <c r="ET6" s="8" cm="1">
        <f t="array" ref="ET6">IF(ET$2="FY",SUMPRODUCT(Data[Nhập-SPC+SPP-NX]*(Data[Year]=ET$1)*(Data[Main SKU name_GOM]=$A6)*(Data[SKU name_NHẬP_GOM]=ET$3)),SUMPRODUCT(Data[Nhập-SPC+SPP-NX]*(Data[Year]=ET$1)*(Data[Month]=ET$2)*(Data[Main SKU name_GOM]=$A6)*(Data[SKU name_NHẬP_GOM]=ET$3)))</f>
        <v>0</v>
      </c>
      <c r="EU6" s="8" cm="1">
        <f t="array" ref="EU6">IF(EU$2="FY",SUMPRODUCT(Data[Nhập-SPC+SPP-NX]*(Data[Year]=EU$1)*(Data[Main SKU name_GOM]=$A6)*(Data[SKU name_NHẬP_GOM]=EU$3)),SUMPRODUCT(Data[Nhập-SPC+SPP-NX]*(Data[Year]=EU$1)*(Data[Month]=EU$2)*(Data[Main SKU name_GOM]=$A6)*(Data[SKU name_NHẬP_GOM]=EU$3)))</f>
        <v>0</v>
      </c>
      <c r="EV6" s="8" cm="1">
        <f t="array" ref="EV6">IF(EV$2="FY",SUMPRODUCT(Data[Nhập-SPC+SPP-NX]*(Data[Year]=EV$1)*(Data[Main SKU name_GOM]=$A6)*(Data[SKU name_NHẬP_GOM]=EV$3)),SUMPRODUCT(Data[Nhập-SPC+SPP-NX]*(Data[Year]=EV$1)*(Data[Month]=EV$2)*(Data[Main SKU name_GOM]=$A6)*(Data[SKU name_NHẬP_GOM]=EV$3)))</f>
        <v>26399.999999999996</v>
      </c>
      <c r="EW6" s="8" cm="1">
        <f t="array" ref="EW6">IF(EW$2="FY",SUMPRODUCT(Data[Nhập-SPC+SPP-NX]*(Data[Year]=EW$1)*(Data[Main SKU name_GOM]=$A6)*(Data[SKU name_NHẬP_GOM]=EW$3)),SUMPRODUCT(Data[Nhập-SPC+SPP-NX]*(Data[Year]=EW$1)*(Data[Month]=EW$2)*(Data[Main SKU name_GOM]=$A6)*(Data[SKU name_NHẬP_GOM]=EW$3)))</f>
        <v>13200</v>
      </c>
      <c r="EX6" s="8" cm="1">
        <f t="array" ref="EX6">IF(EX$2="FY",SUMPRODUCT(Data[Nhập-SPC+SPP-NX]*(Data[Year]=EX$1)*(Data[Main SKU name_GOM]=$A6)*(Data[SKU name_NHẬP_GOM]=EX$3)),SUMPRODUCT(Data[Nhập-SPC+SPP-NX]*(Data[Year]=EX$1)*(Data[Month]=EX$2)*(Data[Main SKU name_GOM]=$A6)*(Data[SKU name_NHẬP_GOM]=EX$3)))</f>
        <v>0</v>
      </c>
      <c r="EY6" s="8" cm="1">
        <f t="array" ref="EY6">IF(EY$2="FY",SUMPRODUCT(Data[Nhập-SPC+SPP-NX]*(Data[Year]=EY$1)*(Data[Main SKU name_GOM]=$A6)*(Data[SKU name_NHẬP_GOM]=EY$3)),SUMPRODUCT(Data[Nhập-SPC+SPP-NX]*(Data[Year]=EY$1)*(Data[Month]=EY$2)*(Data[Main SKU name_GOM]=$A6)*(Data[SKU name_NHẬP_GOM]=EY$3)))</f>
        <v>0</v>
      </c>
      <c r="EZ6" s="8" cm="1">
        <f t="array" ref="EZ6">IF(EZ$2="FY",SUMPRODUCT(Data[Nhập-SPC+SPP-NX]*(Data[Year]=EZ$1)*(Data[Main SKU name_GOM]=$A6)*(Data[SKU name_NHẬP_GOM]=EZ$3)),SUMPRODUCT(Data[Nhập-SPC+SPP-NX]*(Data[Year]=EZ$1)*(Data[Month]=EZ$2)*(Data[Main SKU name_GOM]=$A6)*(Data[SKU name_NHẬP_GOM]=EZ$3)))</f>
        <v>3300</v>
      </c>
      <c r="FA6" s="8" cm="1">
        <f t="array" ref="FA6">IF(FA$2="FY",SUMPRODUCT(Data[Nhập-SPC+SPP-NX]*(Data[Year]=FA$1)*(Data[Main SKU name_GOM]=$A6)*(Data[SKU name_NHẬP_GOM]=FA$3)),SUMPRODUCT(Data[Nhập-SPC+SPP-NX]*(Data[Year]=FA$1)*(Data[Month]=FA$2)*(Data[Main SKU name_GOM]=$A6)*(Data[SKU name_NHẬP_GOM]=FA$3)))</f>
        <v>0</v>
      </c>
      <c r="FB6" s="8">
        <f>SUM(ER6:FA6)</f>
        <v>1013100</v>
      </c>
    </row>
    <row r="7" spans="1:158" x14ac:dyDescent="0.35">
      <c r="A7" s="5" t="s">
        <v>69</v>
      </c>
      <c r="B7" t="s">
        <v>69</v>
      </c>
      <c r="D7" s="8" cm="1">
        <f t="array" ref="D7">IF(D$2="FY",SUMPRODUCT(Data[Nhập-SPC+SPP-NX]*(Data[Year]=D$1)*(Data[Main SKU name_GOM]=$A7)*(Data[SKU name_NHẬP_GOM]=D$3)),SUMPRODUCT(Data[Nhập-SPC+SPP-NX]*(Data[Year]=D$1)*(Data[Month]=D$2)*(Data[Main SKU name_GOM]=$A7)*(Data[SKU name_NHẬP_GOM]=D$3)))</f>
        <v>233038</v>
      </c>
      <c r="E7" s="8" cm="1">
        <f t="array" ref="E7">IF(E$2="FY",SUMPRODUCT(Data[Nhập-SPC+SPP-NX]*(Data[Year]=E$1)*(Data[Main SKU name_GOM]=$A7)*(Data[SKU name_NHẬP_GOM]=E$3)),SUMPRODUCT(Data[Nhập-SPC+SPP-NX]*(Data[Year]=E$1)*(Data[Month]=E$2)*(Data[Main SKU name_GOM]=$A7)*(Data[SKU name_NHẬP_GOM]=E$3)))</f>
        <v>2322001</v>
      </c>
      <c r="F7" s="8" cm="1">
        <f t="array" ref="F7">IF(F$2="FY",SUMPRODUCT(Data[Nhập-SPC+SPP-NX]*(Data[Year]=F$1)*(Data[Main SKU name_GOM]=$A7)*(Data[SKU name_NHẬP_GOM]=F$3)),SUMPRODUCT(Data[Nhập-SPC+SPP-NX]*(Data[Year]=F$1)*(Data[Month]=F$2)*(Data[Main SKU name_GOM]=$A7)*(Data[SKU name_NHẬP_GOM]=F$3)))</f>
        <v>117700</v>
      </c>
      <c r="G7" s="8" cm="1">
        <f t="array" ref="G7">IF(G$2="FY",SUMPRODUCT(Data[Nhập-SPC+SPP-NX]*(Data[Year]=G$1)*(Data[Main SKU name_GOM]=$A7)*(Data[SKU name_NHẬP_GOM]=G$3)),SUMPRODUCT(Data[Nhập-SPC+SPP-NX]*(Data[Year]=G$1)*(Data[Month]=G$2)*(Data[Main SKU name_GOM]=$A7)*(Data[SKU name_NHẬP_GOM]=G$3)))</f>
        <v>0</v>
      </c>
      <c r="H7" s="8" cm="1">
        <f t="array" ref="H7">IF(H$2="FY",SUMPRODUCT(Data[Nhập-SPC+SPP-NX]*(Data[Year]=H$1)*(Data[Main SKU name_GOM]=$A7)*(Data[SKU name_NHẬP_GOM]=H$3)),SUMPRODUCT(Data[Nhập-SPC+SPP-NX]*(Data[Year]=H$1)*(Data[Month]=H$2)*(Data[Main SKU name_GOM]=$A7)*(Data[SKU name_NHẬP_GOM]=H$3)))</f>
        <v>77616.5</v>
      </c>
      <c r="I7" s="8" cm="1">
        <f t="array" ref="I7">IF(I$2="FY",SUMPRODUCT(Data[Nhập-SPC+SPP-NX]*(Data[Year]=I$1)*(Data[Main SKU name_GOM]=$A7)*(Data[SKU name_NHẬP_GOM]=I$3)),SUMPRODUCT(Data[Nhập-SPC+SPP-NX]*(Data[Year]=I$1)*(Data[Month]=I$2)*(Data[Main SKU name_GOM]=$A7)*(Data[SKU name_NHẬP_GOM]=I$3)))</f>
        <v>3300</v>
      </c>
      <c r="J7" s="8" cm="1">
        <f t="array" ref="J7">IF(J$2="FY",SUMPRODUCT(Data[Nhập-SPC+SPP-NX]*(Data[Year]=J$1)*(Data[Main SKU name_GOM]=$A7)*(Data[SKU name_NHẬP_GOM]=J$3)),SUMPRODUCT(Data[Nhập-SPC+SPP-NX]*(Data[Year]=J$1)*(Data[Month]=J$2)*(Data[Main SKU name_GOM]=$A7)*(Data[SKU name_NHẬP_GOM]=J$3)))</f>
        <v>0</v>
      </c>
      <c r="K7" s="8" cm="1">
        <f t="array" ref="K7">IF(K$2="FY",SUMPRODUCT(Data[Nhập-SPC+SPP-NX]*(Data[Year]=K$1)*(Data[Main SKU name_GOM]=$A7)*(Data[SKU name_NHẬP_GOM]=K$3)),SUMPRODUCT(Data[Nhập-SPC+SPP-NX]*(Data[Year]=K$1)*(Data[Month]=K$2)*(Data[Main SKU name_GOM]=$A7)*(Data[SKU name_NHẬP_GOM]=K$3)))</f>
        <v>0</v>
      </c>
      <c r="L7" s="8" cm="1">
        <f t="array" ref="L7">IF(L$2="FY",SUMPRODUCT(Data[Nhập-SPC+SPP-NX]*(Data[Year]=L$1)*(Data[Main SKU name_GOM]=$A7)*(Data[SKU name_NHẬP_GOM]=L$3)),SUMPRODUCT(Data[Nhập-SPC+SPP-NX]*(Data[Year]=L$1)*(Data[Month]=L$2)*(Data[Main SKU name_GOM]=$A7)*(Data[SKU name_NHẬP_GOM]=L$3)))</f>
        <v>0</v>
      </c>
      <c r="M7" s="8" cm="1">
        <f t="array" ref="M7">IF(M$2="FY",SUMPRODUCT(Data[Nhập-SPC+SPP-NX]*(Data[Year]=M$1)*(Data[Main SKU name_GOM]=$A7)*(Data[SKU name_NHẬP_GOM]=M$3)),SUMPRODUCT(Data[Nhập-SPC+SPP-NX]*(Data[Year]=M$1)*(Data[Month]=M$2)*(Data[Main SKU name_GOM]=$A7)*(Data[SKU name_NHẬP_GOM]=M$3)))</f>
        <v>0</v>
      </c>
      <c r="N7" s="13">
        <f t="shared" ref="N7:N9" si="0">SUM(D7:M7)</f>
        <v>2753655.5</v>
      </c>
      <c r="P7" s="8" cm="1">
        <f t="array" ref="P7">IF(P$2="FY",SUMPRODUCT(Data[Nhập-SPC+SPP-NX]*(Data[Year]=P$1)*(Data[Main SKU name_GOM]=$A7)*(Data[SKU name_NHẬP_GOM]=P$3)),SUMPRODUCT(Data[Nhập-SPC+SPP-NX]*(Data[Year]=P$1)*(Data[Month]=P$2)*(Data[Main SKU name_GOM]=$A7)*(Data[SKU name_NHẬP_GOM]=P$3)))</f>
        <v>0</v>
      </c>
      <c r="Q7" s="8" cm="1">
        <f t="array" ref="Q7">IF(Q$2="FY",SUMPRODUCT(Data[Nhập-SPC+SPP-NX]*(Data[Year]=Q$1)*(Data[Main SKU name_GOM]=$A7)*(Data[SKU name_NHẬP_GOM]=Q$3)),SUMPRODUCT(Data[Nhập-SPC+SPP-NX]*(Data[Year]=Q$1)*(Data[Month]=Q$2)*(Data[Main SKU name_GOM]=$A7)*(Data[SKU name_NHẬP_GOM]=Q$3)))</f>
        <v>280500</v>
      </c>
      <c r="R7" s="8" cm="1">
        <f t="array" ref="R7">IF(R$2="FY",SUMPRODUCT(Data[Nhập-SPC+SPP-NX]*(Data[Year]=R$1)*(Data[Main SKU name_GOM]=$A7)*(Data[SKU name_NHẬP_GOM]=R$3)),SUMPRODUCT(Data[Nhập-SPC+SPP-NX]*(Data[Year]=R$1)*(Data[Month]=R$2)*(Data[Main SKU name_GOM]=$A7)*(Data[SKU name_NHẬP_GOM]=R$3)))</f>
        <v>2200</v>
      </c>
      <c r="S7" s="8" cm="1">
        <f t="array" ref="S7">IF(S$2="FY",SUMPRODUCT(Data[Nhập-SPC+SPP-NX]*(Data[Year]=S$1)*(Data[Main SKU name_GOM]=$A7)*(Data[SKU name_NHẬP_GOM]=S$3)),SUMPRODUCT(Data[Nhập-SPC+SPP-NX]*(Data[Year]=S$1)*(Data[Month]=S$2)*(Data[Main SKU name_GOM]=$A7)*(Data[SKU name_NHẬP_GOM]=S$3)))</f>
        <v>0</v>
      </c>
      <c r="T7" s="8" cm="1">
        <f t="array" ref="T7">IF(T$2="FY",SUMPRODUCT(Data[Nhập-SPC+SPP-NX]*(Data[Year]=T$1)*(Data[Main SKU name_GOM]=$A7)*(Data[SKU name_NHẬP_GOM]=T$3)),SUMPRODUCT(Data[Nhập-SPC+SPP-NX]*(Data[Year]=T$1)*(Data[Month]=T$2)*(Data[Main SKU name_GOM]=$A7)*(Data[SKU name_NHẬP_GOM]=T$3)))</f>
        <v>2200</v>
      </c>
      <c r="U7" s="8" cm="1">
        <f t="array" ref="U7">IF(U$2="FY",SUMPRODUCT(Data[Nhập-SPC+SPP-NX]*(Data[Year]=U$1)*(Data[Main SKU name_GOM]=$A7)*(Data[SKU name_NHẬP_GOM]=U$3)),SUMPRODUCT(Data[Nhập-SPC+SPP-NX]*(Data[Year]=U$1)*(Data[Month]=U$2)*(Data[Main SKU name_GOM]=$A7)*(Data[SKU name_NHẬP_GOM]=U$3)))</f>
        <v>0</v>
      </c>
      <c r="V7" s="8" cm="1">
        <f t="array" ref="V7">IF(V$2="FY",SUMPRODUCT(Data[Nhập-SPC+SPP-NX]*(Data[Year]=V$1)*(Data[Main SKU name_GOM]=$A7)*(Data[SKU name_NHẬP_GOM]=V$3)),SUMPRODUCT(Data[Nhập-SPC+SPP-NX]*(Data[Year]=V$1)*(Data[Month]=V$2)*(Data[Main SKU name_GOM]=$A7)*(Data[SKU name_NHẬP_GOM]=V$3)))</f>
        <v>0</v>
      </c>
      <c r="W7" s="8" cm="1">
        <f t="array" ref="W7">IF(W$2="FY",SUMPRODUCT(Data[Nhập-SPC+SPP-NX]*(Data[Year]=W$1)*(Data[Main SKU name_GOM]=$A7)*(Data[SKU name_NHẬP_GOM]=W$3)),SUMPRODUCT(Data[Nhập-SPC+SPP-NX]*(Data[Year]=W$1)*(Data[Month]=W$2)*(Data[Main SKU name_GOM]=$A7)*(Data[SKU name_NHẬP_GOM]=W$3)))</f>
        <v>0</v>
      </c>
      <c r="X7" s="8" cm="1">
        <f t="array" ref="X7">IF(X$2="FY",SUMPRODUCT(Data[Nhập-SPC+SPP-NX]*(Data[Year]=X$1)*(Data[Main SKU name_GOM]=$A7)*(Data[SKU name_NHẬP_GOM]=X$3)),SUMPRODUCT(Data[Nhập-SPC+SPP-NX]*(Data[Year]=X$1)*(Data[Month]=X$2)*(Data[Main SKU name_GOM]=$A7)*(Data[SKU name_NHẬP_GOM]=X$3)))</f>
        <v>0</v>
      </c>
      <c r="Y7" s="8" cm="1">
        <f t="array" ref="Y7">IF(Y$2="FY",SUMPRODUCT(Data[Nhập-SPC+SPP-NX]*(Data[Year]=Y$1)*(Data[Main SKU name_GOM]=$A7)*(Data[SKU name_NHẬP_GOM]=Y$3)),SUMPRODUCT(Data[Nhập-SPC+SPP-NX]*(Data[Year]=Y$1)*(Data[Month]=Y$2)*(Data[Main SKU name_GOM]=$A7)*(Data[SKU name_NHẬP_GOM]=Y$3)))</f>
        <v>0</v>
      </c>
      <c r="Z7" s="8">
        <f t="shared" ref="Z7:Z9" si="1">SUM(P7:Y7)</f>
        <v>284900</v>
      </c>
      <c r="AB7" s="8" cm="1">
        <f t="array" ref="AB7">IF(AB$2="FY",SUMPRODUCT(Data[Nhập-SPC+SPP-NX]*(Data[Year]=AB$1)*(Data[Main SKU name_GOM]=$A7)*(Data[SKU name_NHẬP_GOM]=AB$3)),SUMPRODUCT(Data[Nhập-SPC+SPP-NX]*(Data[Year]=AB$1)*(Data[Month]=AB$2)*(Data[Main SKU name_GOM]=$A7)*(Data[SKU name_NHẬP_GOM]=AB$3)))</f>
        <v>0</v>
      </c>
      <c r="AC7" s="8" cm="1">
        <f t="array" ref="AC7">IF(AC$2="FY",SUMPRODUCT(Data[Nhập-SPC+SPP-NX]*(Data[Year]=AC$1)*(Data[Main SKU name_GOM]=$A7)*(Data[SKU name_NHẬP_GOM]=AC$3)),SUMPRODUCT(Data[Nhập-SPC+SPP-NX]*(Data[Year]=AC$1)*(Data[Month]=AC$2)*(Data[Main SKU name_GOM]=$A7)*(Data[SKU name_NHẬP_GOM]=AC$3)))</f>
        <v>0</v>
      </c>
      <c r="AD7" s="8" cm="1">
        <f t="array" ref="AD7">IF(AD$2="FY",SUMPRODUCT(Data[Nhập-SPC+SPP-NX]*(Data[Year]=AD$1)*(Data[Main SKU name_GOM]=$A7)*(Data[SKU name_NHẬP_GOM]=AD$3)),SUMPRODUCT(Data[Nhập-SPC+SPP-NX]*(Data[Year]=AD$1)*(Data[Month]=AD$2)*(Data[Main SKU name_GOM]=$A7)*(Data[SKU name_NHẬP_GOM]=AD$3)))</f>
        <v>0</v>
      </c>
      <c r="AE7" s="8" cm="1">
        <f t="array" ref="AE7">IF(AE$2="FY",SUMPRODUCT(Data[Nhập-SPC+SPP-NX]*(Data[Year]=AE$1)*(Data[Main SKU name_GOM]=$A7)*(Data[SKU name_NHẬP_GOM]=AE$3)),SUMPRODUCT(Data[Nhập-SPC+SPP-NX]*(Data[Year]=AE$1)*(Data[Month]=AE$2)*(Data[Main SKU name_GOM]=$A7)*(Data[SKU name_NHẬP_GOM]=AE$3)))</f>
        <v>0</v>
      </c>
      <c r="AF7" s="8" cm="1">
        <f t="array" ref="AF7">IF(AF$2="FY",SUMPRODUCT(Data[Nhập-SPC+SPP-NX]*(Data[Year]=AF$1)*(Data[Main SKU name_GOM]=$A7)*(Data[SKU name_NHẬP_GOM]=AF$3)),SUMPRODUCT(Data[Nhập-SPC+SPP-NX]*(Data[Year]=AF$1)*(Data[Month]=AF$2)*(Data[Main SKU name_GOM]=$A7)*(Data[SKU name_NHẬP_GOM]=AF$3)))</f>
        <v>0</v>
      </c>
      <c r="AG7" s="8" cm="1">
        <f t="array" ref="AG7">IF(AG$2="FY",SUMPRODUCT(Data[Nhập-SPC+SPP-NX]*(Data[Year]=AG$1)*(Data[Main SKU name_GOM]=$A7)*(Data[SKU name_NHẬP_GOM]=AG$3)),SUMPRODUCT(Data[Nhập-SPC+SPP-NX]*(Data[Year]=AG$1)*(Data[Month]=AG$2)*(Data[Main SKU name_GOM]=$A7)*(Data[SKU name_NHẬP_GOM]=AG$3)))</f>
        <v>0</v>
      </c>
      <c r="AH7" s="8" cm="1">
        <f t="array" ref="AH7">IF(AH$2="FY",SUMPRODUCT(Data[Nhập-SPC+SPP-NX]*(Data[Year]=AH$1)*(Data[Main SKU name_GOM]=$A7)*(Data[SKU name_NHẬP_GOM]=AH$3)),SUMPRODUCT(Data[Nhập-SPC+SPP-NX]*(Data[Year]=AH$1)*(Data[Month]=AH$2)*(Data[Main SKU name_GOM]=$A7)*(Data[SKU name_NHẬP_GOM]=AH$3)))</f>
        <v>0</v>
      </c>
      <c r="AI7" s="8" cm="1">
        <f t="array" ref="AI7">IF(AI$2="FY",SUMPRODUCT(Data[Nhập-SPC+SPP-NX]*(Data[Year]=AI$1)*(Data[Main SKU name_GOM]=$A7)*(Data[SKU name_NHẬP_GOM]=AI$3)),SUMPRODUCT(Data[Nhập-SPC+SPP-NX]*(Data[Year]=AI$1)*(Data[Month]=AI$2)*(Data[Main SKU name_GOM]=$A7)*(Data[SKU name_NHẬP_GOM]=AI$3)))</f>
        <v>0</v>
      </c>
      <c r="AJ7" s="8" cm="1">
        <f t="array" ref="AJ7">IF(AJ$2="FY",SUMPRODUCT(Data[Nhập-SPC+SPP-NX]*(Data[Year]=AJ$1)*(Data[Main SKU name_GOM]=$A7)*(Data[SKU name_NHẬP_GOM]=AJ$3)),SUMPRODUCT(Data[Nhập-SPC+SPP-NX]*(Data[Year]=AJ$1)*(Data[Month]=AJ$2)*(Data[Main SKU name_GOM]=$A7)*(Data[SKU name_NHẬP_GOM]=AJ$3)))</f>
        <v>0</v>
      </c>
      <c r="AK7" s="8" cm="1">
        <f t="array" ref="AK7">IF(AK$2="FY",SUMPRODUCT(Data[Nhập-SPC+SPP-NX]*(Data[Year]=AK$1)*(Data[Main SKU name_GOM]=$A7)*(Data[SKU name_NHẬP_GOM]=AK$3)),SUMPRODUCT(Data[Nhập-SPC+SPP-NX]*(Data[Year]=AK$1)*(Data[Month]=AK$2)*(Data[Main SKU name_GOM]=$A7)*(Data[SKU name_NHẬP_GOM]=AK$3)))</f>
        <v>0</v>
      </c>
      <c r="AL7" s="8">
        <f t="shared" ref="AL7:AL9" si="2">SUM(AB7:AK7)</f>
        <v>0</v>
      </c>
      <c r="AN7" s="8" cm="1">
        <f t="array" ref="AN7">IF(AN$2="FY",SUMPRODUCT(Data[Nhập-SPC+SPP-NX]*(Data[Year]=AN$1)*(Data[Main SKU name_GOM]=$A7)*(Data[SKU name_NHẬP_GOM]=AN$3)),SUMPRODUCT(Data[Nhập-SPC+SPP-NX]*(Data[Year]=AN$1)*(Data[Month]=AN$2)*(Data[Main SKU name_GOM]=$A7)*(Data[SKU name_NHẬP_GOM]=AN$3)))</f>
        <v>0</v>
      </c>
      <c r="AO7" s="8" cm="1">
        <f t="array" ref="AO7">IF(AO$2="FY",SUMPRODUCT(Data[Nhập-SPC+SPP-NX]*(Data[Year]=AO$1)*(Data[Main SKU name_GOM]=$A7)*(Data[SKU name_NHẬP_GOM]=AO$3)),SUMPRODUCT(Data[Nhập-SPC+SPP-NX]*(Data[Year]=AO$1)*(Data[Month]=AO$2)*(Data[Main SKU name_GOM]=$A7)*(Data[SKU name_NHẬP_GOM]=AO$3)))</f>
        <v>0</v>
      </c>
      <c r="AP7" s="8" cm="1">
        <f t="array" ref="AP7">IF(AP$2="FY",SUMPRODUCT(Data[Nhập-SPC+SPP-NX]*(Data[Year]=AP$1)*(Data[Main SKU name_GOM]=$A7)*(Data[SKU name_NHẬP_GOM]=AP$3)),SUMPRODUCT(Data[Nhập-SPC+SPP-NX]*(Data[Year]=AP$1)*(Data[Month]=AP$2)*(Data[Main SKU name_GOM]=$A7)*(Data[SKU name_NHẬP_GOM]=AP$3)))</f>
        <v>0</v>
      </c>
      <c r="AQ7" s="8" cm="1">
        <f t="array" ref="AQ7">IF(AQ$2="FY",SUMPRODUCT(Data[Nhập-SPC+SPP-NX]*(Data[Year]=AQ$1)*(Data[Main SKU name_GOM]=$A7)*(Data[SKU name_NHẬP_GOM]=AQ$3)),SUMPRODUCT(Data[Nhập-SPC+SPP-NX]*(Data[Year]=AQ$1)*(Data[Month]=AQ$2)*(Data[Main SKU name_GOM]=$A7)*(Data[SKU name_NHẬP_GOM]=AQ$3)))</f>
        <v>0</v>
      </c>
      <c r="AR7" s="8" cm="1">
        <f t="array" ref="AR7">IF(AR$2="FY",SUMPRODUCT(Data[Nhập-SPC+SPP-NX]*(Data[Year]=AR$1)*(Data[Main SKU name_GOM]=$A7)*(Data[SKU name_NHẬP_GOM]=AR$3)),SUMPRODUCT(Data[Nhập-SPC+SPP-NX]*(Data[Year]=AR$1)*(Data[Month]=AR$2)*(Data[Main SKU name_GOM]=$A7)*(Data[SKU name_NHẬP_GOM]=AR$3)))</f>
        <v>0</v>
      </c>
      <c r="AS7" s="8" cm="1">
        <f t="array" ref="AS7">IF(AS$2="FY",SUMPRODUCT(Data[Nhập-SPC+SPP-NX]*(Data[Year]=AS$1)*(Data[Main SKU name_GOM]=$A7)*(Data[SKU name_NHẬP_GOM]=AS$3)),SUMPRODUCT(Data[Nhập-SPC+SPP-NX]*(Data[Year]=AS$1)*(Data[Month]=AS$2)*(Data[Main SKU name_GOM]=$A7)*(Data[SKU name_NHẬP_GOM]=AS$3)))</f>
        <v>0</v>
      </c>
      <c r="AT7" s="8" cm="1">
        <f t="array" ref="AT7">IF(AT$2="FY",SUMPRODUCT(Data[Nhập-SPC+SPP-NX]*(Data[Year]=AT$1)*(Data[Main SKU name_GOM]=$A7)*(Data[SKU name_NHẬP_GOM]=AT$3)),SUMPRODUCT(Data[Nhập-SPC+SPP-NX]*(Data[Year]=AT$1)*(Data[Month]=AT$2)*(Data[Main SKU name_GOM]=$A7)*(Data[SKU name_NHẬP_GOM]=AT$3)))</f>
        <v>0</v>
      </c>
      <c r="AU7" s="8" cm="1">
        <f t="array" ref="AU7">IF(AU$2="FY",SUMPRODUCT(Data[Nhập-SPC+SPP-NX]*(Data[Year]=AU$1)*(Data[Main SKU name_GOM]=$A7)*(Data[SKU name_NHẬP_GOM]=AU$3)),SUMPRODUCT(Data[Nhập-SPC+SPP-NX]*(Data[Year]=AU$1)*(Data[Month]=AU$2)*(Data[Main SKU name_GOM]=$A7)*(Data[SKU name_NHẬP_GOM]=AU$3)))</f>
        <v>0</v>
      </c>
      <c r="AV7" s="8" cm="1">
        <f t="array" ref="AV7">IF(AV$2="FY",SUMPRODUCT(Data[Nhập-SPC+SPP-NX]*(Data[Year]=AV$1)*(Data[Main SKU name_GOM]=$A7)*(Data[SKU name_NHẬP_GOM]=AV$3)),SUMPRODUCT(Data[Nhập-SPC+SPP-NX]*(Data[Year]=AV$1)*(Data[Month]=AV$2)*(Data[Main SKU name_GOM]=$A7)*(Data[SKU name_NHẬP_GOM]=AV$3)))</f>
        <v>0</v>
      </c>
      <c r="AW7" s="8" cm="1">
        <f t="array" ref="AW7">IF(AW$2="FY",SUMPRODUCT(Data[Nhập-SPC+SPP-NX]*(Data[Year]=AW$1)*(Data[Main SKU name_GOM]=$A7)*(Data[SKU name_NHẬP_GOM]=AW$3)),SUMPRODUCT(Data[Nhập-SPC+SPP-NX]*(Data[Year]=AW$1)*(Data[Month]=AW$2)*(Data[Main SKU name_GOM]=$A7)*(Data[SKU name_NHẬP_GOM]=AW$3)))</f>
        <v>0</v>
      </c>
      <c r="AX7" s="8">
        <f t="shared" ref="AX7:AX9" si="3">SUM(AN7:AW7)</f>
        <v>0</v>
      </c>
      <c r="AZ7" s="8" cm="1">
        <f t="array" ref="AZ7">IF(AZ$2="FY",SUMPRODUCT(Data[Nhập-SPC+SPP-NX]*(Data[Year]=AZ$1)*(Data[Main SKU name_GOM]=$A7)*(Data[SKU name_NHẬP_GOM]=AZ$3)),SUMPRODUCT(Data[Nhập-SPC+SPP-NX]*(Data[Year]=AZ$1)*(Data[Month]=AZ$2)*(Data[Main SKU name_GOM]=$A7)*(Data[SKU name_NHẬP_GOM]=AZ$3)))</f>
        <v>0</v>
      </c>
      <c r="BA7" s="8" cm="1">
        <f t="array" ref="BA7">IF(BA$2="FY",SUMPRODUCT(Data[Nhập-SPC+SPP-NX]*(Data[Year]=BA$1)*(Data[Main SKU name_GOM]=$A7)*(Data[SKU name_NHẬP_GOM]=BA$3)),SUMPRODUCT(Data[Nhập-SPC+SPP-NX]*(Data[Year]=BA$1)*(Data[Month]=BA$2)*(Data[Main SKU name_GOM]=$A7)*(Data[SKU name_NHẬP_GOM]=BA$3)))</f>
        <v>0</v>
      </c>
      <c r="BB7" s="8" cm="1">
        <f t="array" ref="BB7">IF(BB$2="FY",SUMPRODUCT(Data[Nhập-SPC+SPP-NX]*(Data[Year]=BB$1)*(Data[Main SKU name_GOM]=$A7)*(Data[SKU name_NHẬP_GOM]=BB$3)),SUMPRODUCT(Data[Nhập-SPC+SPP-NX]*(Data[Year]=BB$1)*(Data[Month]=BB$2)*(Data[Main SKU name_GOM]=$A7)*(Data[SKU name_NHẬP_GOM]=BB$3)))</f>
        <v>0</v>
      </c>
      <c r="BC7" s="8" cm="1">
        <f t="array" ref="BC7">IF(BC$2="FY",SUMPRODUCT(Data[Nhập-SPC+SPP-NX]*(Data[Year]=BC$1)*(Data[Main SKU name_GOM]=$A7)*(Data[SKU name_NHẬP_GOM]=BC$3)),SUMPRODUCT(Data[Nhập-SPC+SPP-NX]*(Data[Year]=BC$1)*(Data[Month]=BC$2)*(Data[Main SKU name_GOM]=$A7)*(Data[SKU name_NHẬP_GOM]=BC$3)))</f>
        <v>0</v>
      </c>
      <c r="BD7" s="8" cm="1">
        <f t="array" ref="BD7">IF(BD$2="FY",SUMPRODUCT(Data[Nhập-SPC+SPP-NX]*(Data[Year]=BD$1)*(Data[Main SKU name_GOM]=$A7)*(Data[SKU name_NHẬP_GOM]=BD$3)),SUMPRODUCT(Data[Nhập-SPC+SPP-NX]*(Data[Year]=BD$1)*(Data[Month]=BD$2)*(Data[Main SKU name_GOM]=$A7)*(Data[SKU name_NHẬP_GOM]=BD$3)))</f>
        <v>0</v>
      </c>
      <c r="BE7" s="8" cm="1">
        <f t="array" ref="BE7">IF(BE$2="FY",SUMPRODUCT(Data[Nhập-SPC+SPP-NX]*(Data[Year]=BE$1)*(Data[Main SKU name_GOM]=$A7)*(Data[SKU name_NHẬP_GOM]=BE$3)),SUMPRODUCT(Data[Nhập-SPC+SPP-NX]*(Data[Year]=BE$1)*(Data[Month]=BE$2)*(Data[Main SKU name_GOM]=$A7)*(Data[SKU name_NHẬP_GOM]=BE$3)))</f>
        <v>0</v>
      </c>
      <c r="BF7" s="8" cm="1">
        <f t="array" ref="BF7">IF(BF$2="FY",SUMPRODUCT(Data[Nhập-SPC+SPP-NX]*(Data[Year]=BF$1)*(Data[Main SKU name_GOM]=$A7)*(Data[SKU name_NHẬP_GOM]=BF$3)),SUMPRODUCT(Data[Nhập-SPC+SPP-NX]*(Data[Year]=BF$1)*(Data[Month]=BF$2)*(Data[Main SKU name_GOM]=$A7)*(Data[SKU name_NHẬP_GOM]=BF$3)))</f>
        <v>0</v>
      </c>
      <c r="BG7" s="8" cm="1">
        <f t="array" ref="BG7">IF(BG$2="FY",SUMPRODUCT(Data[Nhập-SPC+SPP-NX]*(Data[Year]=BG$1)*(Data[Main SKU name_GOM]=$A7)*(Data[SKU name_NHẬP_GOM]=BG$3)),SUMPRODUCT(Data[Nhập-SPC+SPP-NX]*(Data[Year]=BG$1)*(Data[Month]=BG$2)*(Data[Main SKU name_GOM]=$A7)*(Data[SKU name_NHẬP_GOM]=BG$3)))</f>
        <v>0</v>
      </c>
      <c r="BH7" s="8" cm="1">
        <f t="array" ref="BH7">IF(BH$2="FY",SUMPRODUCT(Data[Nhập-SPC+SPP-NX]*(Data[Year]=BH$1)*(Data[Main SKU name_GOM]=$A7)*(Data[SKU name_NHẬP_GOM]=BH$3)),SUMPRODUCT(Data[Nhập-SPC+SPP-NX]*(Data[Year]=BH$1)*(Data[Month]=BH$2)*(Data[Main SKU name_GOM]=$A7)*(Data[SKU name_NHẬP_GOM]=BH$3)))</f>
        <v>0</v>
      </c>
      <c r="BI7" s="8" cm="1">
        <f t="array" ref="BI7">IF(BI$2="FY",SUMPRODUCT(Data[Nhập-SPC+SPP-NX]*(Data[Year]=BI$1)*(Data[Main SKU name_GOM]=$A7)*(Data[SKU name_NHẬP_GOM]=BI$3)),SUMPRODUCT(Data[Nhập-SPC+SPP-NX]*(Data[Year]=BI$1)*(Data[Month]=BI$2)*(Data[Main SKU name_GOM]=$A7)*(Data[SKU name_NHẬP_GOM]=BI$3)))</f>
        <v>0</v>
      </c>
      <c r="BJ7" s="8">
        <f t="shared" ref="BJ7:BJ9" si="4">SUM(AZ7:BI7)</f>
        <v>0</v>
      </c>
      <c r="BL7" s="8" cm="1">
        <f t="array" ref="BL7">IF(BL$2="FY",SUMPRODUCT(Data[Nhập-SPC+SPP-NX]*(Data[Year]=BL$1)*(Data[Main SKU name_GOM]=$A7)*(Data[SKU name_NHẬP_GOM]=BL$3)),SUMPRODUCT(Data[Nhập-SPC+SPP-NX]*(Data[Year]=BL$1)*(Data[Month]=BL$2)*(Data[Main SKU name_GOM]=$A7)*(Data[SKU name_NHẬP_GOM]=BL$3)))</f>
        <v>0</v>
      </c>
      <c r="BM7" s="8" cm="1">
        <f t="array" ref="BM7">IF(BM$2="FY",SUMPRODUCT(Data[Nhập-SPC+SPP-NX]*(Data[Year]=BM$1)*(Data[Main SKU name_GOM]=$A7)*(Data[SKU name_NHẬP_GOM]=BM$3)),SUMPRODUCT(Data[Nhập-SPC+SPP-NX]*(Data[Year]=BM$1)*(Data[Month]=BM$2)*(Data[Main SKU name_GOM]=$A7)*(Data[SKU name_NHẬP_GOM]=BM$3)))</f>
        <v>0</v>
      </c>
      <c r="BN7" s="8" cm="1">
        <f t="array" ref="BN7">IF(BN$2="FY",SUMPRODUCT(Data[Nhập-SPC+SPP-NX]*(Data[Year]=BN$1)*(Data[Main SKU name_GOM]=$A7)*(Data[SKU name_NHẬP_GOM]=BN$3)),SUMPRODUCT(Data[Nhập-SPC+SPP-NX]*(Data[Year]=BN$1)*(Data[Month]=BN$2)*(Data[Main SKU name_GOM]=$A7)*(Data[SKU name_NHẬP_GOM]=BN$3)))</f>
        <v>0</v>
      </c>
      <c r="BO7" s="8" cm="1">
        <f t="array" ref="BO7">IF(BO$2="FY",SUMPRODUCT(Data[Nhập-SPC+SPP-NX]*(Data[Year]=BO$1)*(Data[Main SKU name_GOM]=$A7)*(Data[SKU name_NHẬP_GOM]=BO$3)),SUMPRODUCT(Data[Nhập-SPC+SPP-NX]*(Data[Year]=BO$1)*(Data[Month]=BO$2)*(Data[Main SKU name_GOM]=$A7)*(Data[SKU name_NHẬP_GOM]=BO$3)))</f>
        <v>0</v>
      </c>
      <c r="BP7" s="8" cm="1">
        <f t="array" ref="BP7">IF(BP$2="FY",SUMPRODUCT(Data[Nhập-SPC+SPP-NX]*(Data[Year]=BP$1)*(Data[Main SKU name_GOM]=$A7)*(Data[SKU name_NHẬP_GOM]=BP$3)),SUMPRODUCT(Data[Nhập-SPC+SPP-NX]*(Data[Year]=BP$1)*(Data[Month]=BP$2)*(Data[Main SKU name_GOM]=$A7)*(Data[SKU name_NHẬP_GOM]=BP$3)))</f>
        <v>0</v>
      </c>
      <c r="BQ7" s="8" cm="1">
        <f t="array" ref="BQ7">IF(BQ$2="FY",SUMPRODUCT(Data[Nhập-SPC+SPP-NX]*(Data[Year]=BQ$1)*(Data[Main SKU name_GOM]=$A7)*(Data[SKU name_NHẬP_GOM]=BQ$3)),SUMPRODUCT(Data[Nhập-SPC+SPP-NX]*(Data[Year]=BQ$1)*(Data[Month]=BQ$2)*(Data[Main SKU name_GOM]=$A7)*(Data[SKU name_NHẬP_GOM]=BQ$3)))</f>
        <v>0</v>
      </c>
      <c r="BR7" s="8" cm="1">
        <f t="array" ref="BR7">IF(BR$2="FY",SUMPRODUCT(Data[Nhập-SPC+SPP-NX]*(Data[Year]=BR$1)*(Data[Main SKU name_GOM]=$A7)*(Data[SKU name_NHẬP_GOM]=BR$3)),SUMPRODUCT(Data[Nhập-SPC+SPP-NX]*(Data[Year]=BR$1)*(Data[Month]=BR$2)*(Data[Main SKU name_GOM]=$A7)*(Data[SKU name_NHẬP_GOM]=BR$3)))</f>
        <v>0</v>
      </c>
      <c r="BS7" s="8" cm="1">
        <f t="array" ref="BS7">IF(BS$2="FY",SUMPRODUCT(Data[Nhập-SPC+SPP-NX]*(Data[Year]=BS$1)*(Data[Main SKU name_GOM]=$A7)*(Data[SKU name_NHẬP_GOM]=BS$3)),SUMPRODUCT(Data[Nhập-SPC+SPP-NX]*(Data[Year]=BS$1)*(Data[Month]=BS$2)*(Data[Main SKU name_GOM]=$A7)*(Data[SKU name_NHẬP_GOM]=BS$3)))</f>
        <v>0</v>
      </c>
      <c r="BT7" s="8" cm="1">
        <f t="array" ref="BT7">IF(BT$2="FY",SUMPRODUCT(Data[Nhập-SPC+SPP-NX]*(Data[Year]=BT$1)*(Data[Main SKU name_GOM]=$A7)*(Data[SKU name_NHẬP_GOM]=BT$3)),SUMPRODUCT(Data[Nhập-SPC+SPP-NX]*(Data[Year]=BT$1)*(Data[Month]=BT$2)*(Data[Main SKU name_GOM]=$A7)*(Data[SKU name_NHẬP_GOM]=BT$3)))</f>
        <v>0</v>
      </c>
      <c r="BU7" s="8" cm="1">
        <f t="array" ref="BU7">IF(BU$2="FY",SUMPRODUCT(Data[Nhập-SPC+SPP-NX]*(Data[Year]=BU$1)*(Data[Main SKU name_GOM]=$A7)*(Data[SKU name_NHẬP_GOM]=BU$3)),SUMPRODUCT(Data[Nhập-SPC+SPP-NX]*(Data[Year]=BU$1)*(Data[Month]=BU$2)*(Data[Main SKU name_GOM]=$A7)*(Data[SKU name_NHẬP_GOM]=BU$3)))</f>
        <v>0</v>
      </c>
      <c r="BV7" s="8">
        <f t="shared" ref="BV7:BV9" si="5">SUM(BL7:BU7)</f>
        <v>0</v>
      </c>
      <c r="BX7" s="8" cm="1">
        <f t="array" ref="BX7">IF(BX$2="FY",SUMPRODUCT(Data[Nhập-SPC+SPP-NX]*(Data[Year]=BX$1)*(Data[Main SKU name_GOM]=$A7)*(Data[SKU name_NHẬP_GOM]=BX$3)),SUMPRODUCT(Data[Nhập-SPC+SPP-NX]*(Data[Year]=BX$1)*(Data[Month]=BX$2)*(Data[Main SKU name_GOM]=$A7)*(Data[SKU name_NHẬP_GOM]=BX$3)))</f>
        <v>0</v>
      </c>
      <c r="BY7" s="8" cm="1">
        <f t="array" ref="BY7">IF(BY$2="FY",SUMPRODUCT(Data[Nhập-SPC+SPP-NX]*(Data[Year]=BY$1)*(Data[Main SKU name_GOM]=$A7)*(Data[SKU name_NHẬP_GOM]=BY$3)),SUMPRODUCT(Data[Nhập-SPC+SPP-NX]*(Data[Year]=BY$1)*(Data[Month]=BY$2)*(Data[Main SKU name_GOM]=$A7)*(Data[SKU name_NHẬP_GOM]=BY$3)))</f>
        <v>0</v>
      </c>
      <c r="BZ7" s="8" cm="1">
        <f t="array" ref="BZ7">IF(BZ$2="FY",SUMPRODUCT(Data[Nhập-SPC+SPP-NX]*(Data[Year]=BZ$1)*(Data[Main SKU name_GOM]=$A7)*(Data[SKU name_NHẬP_GOM]=BZ$3)),SUMPRODUCT(Data[Nhập-SPC+SPP-NX]*(Data[Year]=BZ$1)*(Data[Month]=BZ$2)*(Data[Main SKU name_GOM]=$A7)*(Data[SKU name_NHẬP_GOM]=BZ$3)))</f>
        <v>0</v>
      </c>
      <c r="CA7" s="8" cm="1">
        <f t="array" ref="CA7">IF(CA$2="FY",SUMPRODUCT(Data[Nhập-SPC+SPP-NX]*(Data[Year]=CA$1)*(Data[Main SKU name_GOM]=$A7)*(Data[SKU name_NHẬP_GOM]=CA$3)),SUMPRODUCT(Data[Nhập-SPC+SPP-NX]*(Data[Year]=CA$1)*(Data[Month]=CA$2)*(Data[Main SKU name_GOM]=$A7)*(Data[SKU name_NHẬP_GOM]=CA$3)))</f>
        <v>0</v>
      </c>
      <c r="CB7" s="8" cm="1">
        <f t="array" ref="CB7">IF(CB$2="FY",SUMPRODUCT(Data[Nhập-SPC+SPP-NX]*(Data[Year]=CB$1)*(Data[Main SKU name_GOM]=$A7)*(Data[SKU name_NHẬP_GOM]=CB$3)),SUMPRODUCT(Data[Nhập-SPC+SPP-NX]*(Data[Year]=CB$1)*(Data[Month]=CB$2)*(Data[Main SKU name_GOM]=$A7)*(Data[SKU name_NHẬP_GOM]=CB$3)))</f>
        <v>0</v>
      </c>
      <c r="CC7" s="8" cm="1">
        <f t="array" ref="CC7">IF(CC$2="FY",SUMPRODUCT(Data[Nhập-SPC+SPP-NX]*(Data[Year]=CC$1)*(Data[Main SKU name_GOM]=$A7)*(Data[SKU name_NHẬP_GOM]=CC$3)),SUMPRODUCT(Data[Nhập-SPC+SPP-NX]*(Data[Year]=CC$1)*(Data[Month]=CC$2)*(Data[Main SKU name_GOM]=$A7)*(Data[SKU name_NHẬP_GOM]=CC$3)))</f>
        <v>0</v>
      </c>
      <c r="CD7" s="8" cm="1">
        <f t="array" ref="CD7">IF(CD$2="FY",SUMPRODUCT(Data[Nhập-SPC+SPP-NX]*(Data[Year]=CD$1)*(Data[Main SKU name_GOM]=$A7)*(Data[SKU name_NHẬP_GOM]=CD$3)),SUMPRODUCT(Data[Nhập-SPC+SPP-NX]*(Data[Year]=CD$1)*(Data[Month]=CD$2)*(Data[Main SKU name_GOM]=$A7)*(Data[SKU name_NHẬP_GOM]=CD$3)))</f>
        <v>0</v>
      </c>
      <c r="CE7" s="8" cm="1">
        <f t="array" ref="CE7">IF(CE$2="FY",SUMPRODUCT(Data[Nhập-SPC+SPP-NX]*(Data[Year]=CE$1)*(Data[Main SKU name_GOM]=$A7)*(Data[SKU name_NHẬP_GOM]=CE$3)),SUMPRODUCT(Data[Nhập-SPC+SPP-NX]*(Data[Year]=CE$1)*(Data[Month]=CE$2)*(Data[Main SKU name_GOM]=$A7)*(Data[SKU name_NHẬP_GOM]=CE$3)))</f>
        <v>0</v>
      </c>
      <c r="CF7" s="8" cm="1">
        <f t="array" ref="CF7">IF(CF$2="FY",SUMPRODUCT(Data[Nhập-SPC+SPP-NX]*(Data[Year]=CF$1)*(Data[Main SKU name_GOM]=$A7)*(Data[SKU name_NHẬP_GOM]=CF$3)),SUMPRODUCT(Data[Nhập-SPC+SPP-NX]*(Data[Year]=CF$1)*(Data[Month]=CF$2)*(Data[Main SKU name_GOM]=$A7)*(Data[SKU name_NHẬP_GOM]=CF$3)))</f>
        <v>0</v>
      </c>
      <c r="CG7" s="8" cm="1">
        <f t="array" ref="CG7">IF(CG$2="FY",SUMPRODUCT(Data[Nhập-SPC+SPP-NX]*(Data[Year]=CG$1)*(Data[Main SKU name_GOM]=$A7)*(Data[SKU name_NHẬP_GOM]=CG$3)),SUMPRODUCT(Data[Nhập-SPC+SPP-NX]*(Data[Year]=CG$1)*(Data[Month]=CG$2)*(Data[Main SKU name_GOM]=$A7)*(Data[SKU name_NHẬP_GOM]=CG$3)))</f>
        <v>0</v>
      </c>
      <c r="CH7" s="8">
        <f t="shared" ref="CH7:CH9" si="6">SUM(BX7:CG7)</f>
        <v>0</v>
      </c>
      <c r="CJ7" s="8" cm="1">
        <f t="array" ref="CJ7">IF(CJ$2="FY",SUMPRODUCT(Data[Nhập-SPC+SPP-NX]*(Data[Year]=CJ$1)*(Data[Main SKU name_GOM]=$A7)*(Data[SKU name_NHẬP_GOM]=CJ$3)),SUMPRODUCT(Data[Nhập-SPC+SPP-NX]*(Data[Year]=CJ$1)*(Data[Month]=CJ$2)*(Data[Main SKU name_GOM]=$A7)*(Data[SKU name_NHẬP_GOM]=CJ$3)))</f>
        <v>112200</v>
      </c>
      <c r="CK7" s="8" cm="1">
        <f t="array" ref="CK7">IF(CK$2="FY",SUMPRODUCT(Data[Nhập-SPC+SPP-NX]*(Data[Year]=CK$1)*(Data[Main SKU name_GOM]=$A7)*(Data[SKU name_NHẬP_GOM]=CK$3)),SUMPRODUCT(Data[Nhập-SPC+SPP-NX]*(Data[Year]=CK$1)*(Data[Month]=CK$2)*(Data[Main SKU name_GOM]=$A7)*(Data[SKU name_NHẬP_GOM]=CK$3)))</f>
        <v>214499.99999999997</v>
      </c>
      <c r="CL7" s="8" cm="1">
        <f t="array" ref="CL7">IF(CL$2="FY",SUMPRODUCT(Data[Nhập-SPC+SPP-NX]*(Data[Year]=CL$1)*(Data[Main SKU name_GOM]=$A7)*(Data[SKU name_NHẬP_GOM]=CL$3)),SUMPRODUCT(Data[Nhập-SPC+SPP-NX]*(Data[Year]=CL$1)*(Data[Month]=CL$2)*(Data[Main SKU name_GOM]=$A7)*(Data[SKU name_NHẬP_GOM]=CL$3)))</f>
        <v>0</v>
      </c>
      <c r="CM7" s="8" cm="1">
        <f t="array" ref="CM7">IF(CM$2="FY",SUMPRODUCT(Data[Nhập-SPC+SPP-NX]*(Data[Year]=CM$1)*(Data[Main SKU name_GOM]=$A7)*(Data[SKU name_NHẬP_GOM]=CM$3)),SUMPRODUCT(Data[Nhập-SPC+SPP-NX]*(Data[Year]=CM$1)*(Data[Month]=CM$2)*(Data[Main SKU name_GOM]=$A7)*(Data[SKU name_NHẬP_GOM]=CM$3)))</f>
        <v>0</v>
      </c>
      <c r="CN7" s="8" cm="1">
        <f t="array" ref="CN7">IF(CN$2="FY",SUMPRODUCT(Data[Nhập-SPC+SPP-NX]*(Data[Year]=CN$1)*(Data[Main SKU name_GOM]=$A7)*(Data[SKU name_NHẬP_GOM]=CN$3)),SUMPRODUCT(Data[Nhập-SPC+SPP-NX]*(Data[Year]=CN$1)*(Data[Month]=CN$2)*(Data[Main SKU name_GOM]=$A7)*(Data[SKU name_NHẬP_GOM]=CN$3)))</f>
        <v>2200</v>
      </c>
      <c r="CO7" s="8" cm="1">
        <f t="array" ref="CO7">IF(CO$2="FY",SUMPRODUCT(Data[Nhập-SPC+SPP-NX]*(Data[Year]=CO$1)*(Data[Main SKU name_GOM]=$A7)*(Data[SKU name_NHẬP_GOM]=CO$3)),SUMPRODUCT(Data[Nhập-SPC+SPP-NX]*(Data[Year]=CO$1)*(Data[Month]=CO$2)*(Data[Main SKU name_GOM]=$A7)*(Data[SKU name_NHẬP_GOM]=CO$3)))</f>
        <v>0</v>
      </c>
      <c r="CP7" s="8" cm="1">
        <f t="array" ref="CP7">IF(CP$2="FY",SUMPRODUCT(Data[Nhập-SPC+SPP-NX]*(Data[Year]=CP$1)*(Data[Main SKU name_GOM]=$A7)*(Data[SKU name_NHẬP_GOM]=CP$3)),SUMPRODUCT(Data[Nhập-SPC+SPP-NX]*(Data[Year]=CP$1)*(Data[Month]=CP$2)*(Data[Main SKU name_GOM]=$A7)*(Data[SKU name_NHẬP_GOM]=CP$3)))</f>
        <v>0</v>
      </c>
      <c r="CQ7" s="8" cm="1">
        <f t="array" ref="CQ7">IF(CQ$2="FY",SUMPRODUCT(Data[Nhập-SPC+SPP-NX]*(Data[Year]=CQ$1)*(Data[Main SKU name_GOM]=$A7)*(Data[SKU name_NHẬP_GOM]=CQ$3)),SUMPRODUCT(Data[Nhập-SPC+SPP-NX]*(Data[Year]=CQ$1)*(Data[Month]=CQ$2)*(Data[Main SKU name_GOM]=$A7)*(Data[SKU name_NHẬP_GOM]=CQ$3)))</f>
        <v>0</v>
      </c>
      <c r="CR7" s="8" cm="1">
        <f t="array" ref="CR7">IF(CR$2="FY",SUMPRODUCT(Data[Nhập-SPC+SPP-NX]*(Data[Year]=CR$1)*(Data[Main SKU name_GOM]=$A7)*(Data[SKU name_NHẬP_GOM]=CR$3)),SUMPRODUCT(Data[Nhập-SPC+SPP-NX]*(Data[Year]=CR$1)*(Data[Month]=CR$2)*(Data[Main SKU name_GOM]=$A7)*(Data[SKU name_NHẬP_GOM]=CR$3)))</f>
        <v>0</v>
      </c>
      <c r="CS7" s="8" cm="1">
        <f t="array" ref="CS7">IF(CS$2="FY",SUMPRODUCT(Data[Nhập-SPC+SPP-NX]*(Data[Year]=CS$1)*(Data[Main SKU name_GOM]=$A7)*(Data[SKU name_NHẬP_GOM]=CS$3)),SUMPRODUCT(Data[Nhập-SPC+SPP-NX]*(Data[Year]=CS$1)*(Data[Month]=CS$2)*(Data[Main SKU name_GOM]=$A7)*(Data[SKU name_NHẬP_GOM]=CS$3)))</f>
        <v>0</v>
      </c>
      <c r="CT7" s="8">
        <f t="shared" ref="CT7:CT9" si="7">SUM(CJ7:CS7)</f>
        <v>328900</v>
      </c>
      <c r="CV7" s="8" cm="1">
        <f t="array" ref="CV7">IF(CV$2="FY",SUMPRODUCT(Data[Nhập-SPC+SPP-NX]*(Data[Year]=CV$1)*(Data[Main SKU name_GOM]=$A7)*(Data[SKU name_NHẬP_GOM]=CV$3)),SUMPRODUCT(Data[Nhập-SPC+SPP-NX]*(Data[Year]=CV$1)*(Data[Month]=CV$2)*(Data[Main SKU name_GOM]=$A7)*(Data[SKU name_NHẬP_GOM]=CV$3)))</f>
        <v>91299.999999999985</v>
      </c>
      <c r="CW7" s="8" cm="1">
        <f t="array" ref="CW7">IF(CW$2="FY",SUMPRODUCT(Data[Nhập-SPC+SPP-NX]*(Data[Year]=CW$1)*(Data[Main SKU name_GOM]=$A7)*(Data[SKU name_NHẬP_GOM]=CW$3)),SUMPRODUCT(Data[Nhập-SPC+SPP-NX]*(Data[Year]=CW$1)*(Data[Month]=CW$2)*(Data[Main SKU name_GOM]=$A7)*(Data[SKU name_NHẬP_GOM]=CW$3)))</f>
        <v>92400</v>
      </c>
      <c r="CX7" s="8" cm="1">
        <f t="array" ref="CX7">IF(CX$2="FY",SUMPRODUCT(Data[Nhập-SPC+SPP-NX]*(Data[Year]=CX$1)*(Data[Main SKU name_GOM]=$A7)*(Data[SKU name_NHẬP_GOM]=CX$3)),SUMPRODUCT(Data[Nhập-SPC+SPP-NX]*(Data[Year]=CX$1)*(Data[Month]=CX$2)*(Data[Main SKU name_GOM]=$A7)*(Data[SKU name_NHẬP_GOM]=CX$3)))</f>
        <v>0</v>
      </c>
      <c r="CY7" s="8" cm="1">
        <f t="array" ref="CY7">IF(CY$2="FY",SUMPRODUCT(Data[Nhập-SPC+SPP-NX]*(Data[Year]=CY$1)*(Data[Main SKU name_GOM]=$A7)*(Data[SKU name_NHẬP_GOM]=CY$3)),SUMPRODUCT(Data[Nhập-SPC+SPP-NX]*(Data[Year]=CY$1)*(Data[Month]=CY$2)*(Data[Main SKU name_GOM]=$A7)*(Data[SKU name_NHẬP_GOM]=CY$3)))</f>
        <v>0</v>
      </c>
      <c r="CZ7" s="8" cm="1">
        <f t="array" ref="CZ7">IF(CZ$2="FY",SUMPRODUCT(Data[Nhập-SPC+SPP-NX]*(Data[Year]=CZ$1)*(Data[Main SKU name_GOM]=$A7)*(Data[SKU name_NHẬP_GOM]=CZ$3)),SUMPRODUCT(Data[Nhập-SPC+SPP-NX]*(Data[Year]=CZ$1)*(Data[Month]=CZ$2)*(Data[Main SKU name_GOM]=$A7)*(Data[SKU name_NHẬP_GOM]=CZ$3)))</f>
        <v>6599.9999999999991</v>
      </c>
      <c r="DA7" s="8" cm="1">
        <f t="array" ref="DA7">IF(DA$2="FY",SUMPRODUCT(Data[Nhập-SPC+SPP-NX]*(Data[Year]=DA$1)*(Data[Main SKU name_GOM]=$A7)*(Data[SKU name_NHẬP_GOM]=DA$3)),SUMPRODUCT(Data[Nhập-SPC+SPP-NX]*(Data[Year]=DA$1)*(Data[Month]=DA$2)*(Data[Main SKU name_GOM]=$A7)*(Data[SKU name_NHẬP_GOM]=DA$3)))</f>
        <v>0</v>
      </c>
      <c r="DB7" s="8" cm="1">
        <f t="array" ref="DB7">IF(DB$2="FY",SUMPRODUCT(Data[Nhập-SPC+SPP-NX]*(Data[Year]=DB$1)*(Data[Main SKU name_GOM]=$A7)*(Data[SKU name_NHẬP_GOM]=DB$3)),SUMPRODUCT(Data[Nhập-SPC+SPP-NX]*(Data[Year]=DB$1)*(Data[Month]=DB$2)*(Data[Main SKU name_GOM]=$A7)*(Data[SKU name_NHẬP_GOM]=DB$3)))</f>
        <v>0</v>
      </c>
      <c r="DC7" s="8" cm="1">
        <f t="array" ref="DC7">IF(DC$2="FY",SUMPRODUCT(Data[Nhập-SPC+SPP-NX]*(Data[Year]=DC$1)*(Data[Main SKU name_GOM]=$A7)*(Data[SKU name_NHẬP_GOM]=DC$3)),SUMPRODUCT(Data[Nhập-SPC+SPP-NX]*(Data[Year]=DC$1)*(Data[Month]=DC$2)*(Data[Main SKU name_GOM]=$A7)*(Data[SKU name_NHẬP_GOM]=DC$3)))</f>
        <v>0</v>
      </c>
      <c r="DD7" s="8" cm="1">
        <f t="array" ref="DD7">IF(DD$2="FY",SUMPRODUCT(Data[Nhập-SPC+SPP-NX]*(Data[Year]=DD$1)*(Data[Main SKU name_GOM]=$A7)*(Data[SKU name_NHẬP_GOM]=DD$3)),SUMPRODUCT(Data[Nhập-SPC+SPP-NX]*(Data[Year]=DD$1)*(Data[Month]=DD$2)*(Data[Main SKU name_GOM]=$A7)*(Data[SKU name_NHẬP_GOM]=DD$3)))</f>
        <v>0</v>
      </c>
      <c r="DE7" s="8" cm="1">
        <f t="array" ref="DE7">IF(DE$2="FY",SUMPRODUCT(Data[Nhập-SPC+SPP-NX]*(Data[Year]=DE$1)*(Data[Main SKU name_GOM]=$A7)*(Data[SKU name_NHẬP_GOM]=DE$3)),SUMPRODUCT(Data[Nhập-SPC+SPP-NX]*(Data[Year]=DE$1)*(Data[Month]=DE$2)*(Data[Main SKU name_GOM]=$A7)*(Data[SKU name_NHẬP_GOM]=DE$3)))</f>
        <v>0</v>
      </c>
      <c r="DF7" s="8">
        <f t="shared" ref="DF7:DF9" si="8">SUM(CV7:DE7)</f>
        <v>190300</v>
      </c>
      <c r="DH7" s="8" cm="1">
        <f t="array" ref="DH7">IF(DH$2="FY",SUMPRODUCT(Data[Nhập-SPC+SPP-NX]*(Data[Year]=DH$1)*(Data[Main SKU name_GOM]=$A7)*(Data[SKU name_NHẬP_GOM]=DH$3)),SUMPRODUCT(Data[Nhập-SPC+SPP-NX]*(Data[Year]=DH$1)*(Data[Month]=DH$2)*(Data[Main SKU name_GOM]=$A7)*(Data[SKU name_NHẬP_GOM]=DH$3)))</f>
        <v>0</v>
      </c>
      <c r="DI7" s="8" cm="1">
        <f t="array" ref="DI7">IF(DI$2="FY",SUMPRODUCT(Data[Nhập-SPC+SPP-NX]*(Data[Year]=DI$1)*(Data[Main SKU name_GOM]=$A7)*(Data[SKU name_NHẬP_GOM]=DI$3)),SUMPRODUCT(Data[Nhập-SPC+SPP-NX]*(Data[Year]=DI$1)*(Data[Month]=DI$2)*(Data[Main SKU name_GOM]=$A7)*(Data[SKU name_NHẬP_GOM]=DI$3)))</f>
        <v>40700</v>
      </c>
      <c r="DJ7" s="8" cm="1">
        <f t="array" ref="DJ7">IF(DJ$2="FY",SUMPRODUCT(Data[Nhập-SPC+SPP-NX]*(Data[Year]=DJ$1)*(Data[Main SKU name_GOM]=$A7)*(Data[SKU name_NHẬP_GOM]=DJ$3)),SUMPRODUCT(Data[Nhập-SPC+SPP-NX]*(Data[Year]=DJ$1)*(Data[Month]=DJ$2)*(Data[Main SKU name_GOM]=$A7)*(Data[SKU name_NHẬP_GOM]=DJ$3)))</f>
        <v>5500</v>
      </c>
      <c r="DK7" s="8" cm="1">
        <f t="array" ref="DK7">IF(DK$2="FY",SUMPRODUCT(Data[Nhập-SPC+SPP-NX]*(Data[Year]=DK$1)*(Data[Main SKU name_GOM]=$A7)*(Data[SKU name_NHẬP_GOM]=DK$3)),SUMPRODUCT(Data[Nhập-SPC+SPP-NX]*(Data[Year]=DK$1)*(Data[Month]=DK$2)*(Data[Main SKU name_GOM]=$A7)*(Data[SKU name_NHẬP_GOM]=DK$3)))</f>
        <v>0</v>
      </c>
      <c r="DL7" s="8" cm="1">
        <f t="array" ref="DL7">IF(DL$2="FY",SUMPRODUCT(Data[Nhập-SPC+SPP-NX]*(Data[Year]=DL$1)*(Data[Main SKU name_GOM]=$A7)*(Data[SKU name_NHẬP_GOM]=DL$3)),SUMPRODUCT(Data[Nhập-SPC+SPP-NX]*(Data[Year]=DL$1)*(Data[Month]=DL$2)*(Data[Main SKU name_GOM]=$A7)*(Data[SKU name_NHẬP_GOM]=DL$3)))</f>
        <v>12100</v>
      </c>
      <c r="DM7" s="8" cm="1">
        <f t="array" ref="DM7">IF(DM$2="FY",SUMPRODUCT(Data[Nhập-SPC+SPP-NX]*(Data[Year]=DM$1)*(Data[Main SKU name_GOM]=$A7)*(Data[SKU name_NHẬP_GOM]=DM$3)),SUMPRODUCT(Data[Nhập-SPC+SPP-NX]*(Data[Year]=DM$1)*(Data[Month]=DM$2)*(Data[Main SKU name_GOM]=$A7)*(Data[SKU name_NHẬP_GOM]=DM$3)))</f>
        <v>0</v>
      </c>
      <c r="DN7" s="8" cm="1">
        <f t="array" ref="DN7">IF(DN$2="FY",SUMPRODUCT(Data[Nhập-SPC+SPP-NX]*(Data[Year]=DN$1)*(Data[Main SKU name_GOM]=$A7)*(Data[SKU name_NHẬP_GOM]=DN$3)),SUMPRODUCT(Data[Nhập-SPC+SPP-NX]*(Data[Year]=DN$1)*(Data[Month]=DN$2)*(Data[Main SKU name_GOM]=$A7)*(Data[SKU name_NHẬP_GOM]=DN$3)))</f>
        <v>0</v>
      </c>
      <c r="DO7" s="8" cm="1">
        <f t="array" ref="DO7">IF(DO$2="FY",SUMPRODUCT(Data[Nhập-SPC+SPP-NX]*(Data[Year]=DO$1)*(Data[Main SKU name_GOM]=$A7)*(Data[SKU name_NHẬP_GOM]=DO$3)),SUMPRODUCT(Data[Nhập-SPC+SPP-NX]*(Data[Year]=DO$1)*(Data[Month]=DO$2)*(Data[Main SKU name_GOM]=$A7)*(Data[SKU name_NHẬP_GOM]=DO$3)))</f>
        <v>0</v>
      </c>
      <c r="DP7" s="8" cm="1">
        <f t="array" ref="DP7">IF(DP$2="FY",SUMPRODUCT(Data[Nhập-SPC+SPP-NX]*(Data[Year]=DP$1)*(Data[Main SKU name_GOM]=$A7)*(Data[SKU name_NHẬP_GOM]=DP$3)),SUMPRODUCT(Data[Nhập-SPC+SPP-NX]*(Data[Year]=DP$1)*(Data[Month]=DP$2)*(Data[Main SKU name_GOM]=$A7)*(Data[SKU name_NHẬP_GOM]=DP$3)))</f>
        <v>0</v>
      </c>
      <c r="DQ7" s="8" cm="1">
        <f t="array" ref="DQ7">IF(DQ$2="FY",SUMPRODUCT(Data[Nhập-SPC+SPP-NX]*(Data[Year]=DQ$1)*(Data[Main SKU name_GOM]=$A7)*(Data[SKU name_NHẬP_GOM]=DQ$3)),SUMPRODUCT(Data[Nhập-SPC+SPP-NX]*(Data[Year]=DQ$1)*(Data[Month]=DQ$2)*(Data[Main SKU name_GOM]=$A7)*(Data[SKU name_NHẬP_GOM]=DQ$3)))</f>
        <v>0</v>
      </c>
      <c r="DR7" s="8">
        <f t="shared" ref="DR7:DR9" si="9">SUM(DH7:DQ7)</f>
        <v>58300</v>
      </c>
      <c r="DT7" s="8" cm="1">
        <f t="array" ref="DT7">IF(DT$2="FY",SUMPRODUCT(Data[Nhập-SPC+SPP-NX]*(Data[Year]=DT$1)*(Data[Main SKU name_GOM]=$A7)*(Data[SKU name_NHẬP_GOM]=DT$3)),SUMPRODUCT(Data[Nhập-SPC+SPP-NX]*(Data[Year]=DT$1)*(Data[Month]=DT$2)*(Data[Main SKU name_GOM]=$A7)*(Data[SKU name_NHẬP_GOM]=DT$3)))</f>
        <v>16338</v>
      </c>
      <c r="DU7" s="8" cm="1">
        <f t="array" ref="DU7">IF(DU$2="FY",SUMPRODUCT(Data[Nhập-SPC+SPP-NX]*(Data[Year]=DU$1)*(Data[Main SKU name_GOM]=$A7)*(Data[SKU name_NHẬP_GOM]=DU$3)),SUMPRODUCT(Data[Nhập-SPC+SPP-NX]*(Data[Year]=DU$1)*(Data[Month]=DU$2)*(Data[Main SKU name_GOM]=$A7)*(Data[SKU name_NHẬP_GOM]=DU$3)))</f>
        <v>371800</v>
      </c>
      <c r="DV7" s="8" cm="1">
        <f t="array" ref="DV7">IF(DV$2="FY",SUMPRODUCT(Data[Nhập-SPC+SPP-NX]*(Data[Year]=DV$1)*(Data[Main SKU name_GOM]=$A7)*(Data[SKU name_NHẬP_GOM]=DV$3)),SUMPRODUCT(Data[Nhập-SPC+SPP-NX]*(Data[Year]=DV$1)*(Data[Month]=DV$2)*(Data[Main SKU name_GOM]=$A7)*(Data[SKU name_NHẬP_GOM]=DV$3)))</f>
        <v>11000</v>
      </c>
      <c r="DW7" s="8" cm="1">
        <f t="array" ref="DW7">IF(DW$2="FY",SUMPRODUCT(Data[Nhập-SPC+SPP-NX]*(Data[Year]=DW$1)*(Data[Main SKU name_GOM]=$A7)*(Data[SKU name_NHẬP_GOM]=DW$3)),SUMPRODUCT(Data[Nhập-SPC+SPP-NX]*(Data[Year]=DW$1)*(Data[Month]=DW$2)*(Data[Main SKU name_GOM]=$A7)*(Data[SKU name_NHẬP_GOM]=DW$3)))</f>
        <v>0</v>
      </c>
      <c r="DX7" s="8" cm="1">
        <f t="array" ref="DX7">IF(DX$2="FY",SUMPRODUCT(Data[Nhập-SPC+SPP-NX]*(Data[Year]=DX$1)*(Data[Main SKU name_GOM]=$A7)*(Data[SKU name_NHẬP_GOM]=DX$3)),SUMPRODUCT(Data[Nhập-SPC+SPP-NX]*(Data[Year]=DX$1)*(Data[Month]=DX$2)*(Data[Main SKU name_GOM]=$A7)*(Data[SKU name_NHẬP_GOM]=DX$3)))</f>
        <v>13816.5</v>
      </c>
      <c r="DY7" s="8" cm="1">
        <f t="array" ref="DY7">IF(DY$2="FY",SUMPRODUCT(Data[Nhập-SPC+SPP-NX]*(Data[Year]=DY$1)*(Data[Main SKU name_GOM]=$A7)*(Data[SKU name_NHẬP_GOM]=DY$3)),SUMPRODUCT(Data[Nhập-SPC+SPP-NX]*(Data[Year]=DY$1)*(Data[Month]=DY$2)*(Data[Main SKU name_GOM]=$A7)*(Data[SKU name_NHẬP_GOM]=DY$3)))</f>
        <v>0</v>
      </c>
      <c r="DZ7" s="8" cm="1">
        <f t="array" ref="DZ7">IF(DZ$2="FY",SUMPRODUCT(Data[Nhập-SPC+SPP-NX]*(Data[Year]=DZ$1)*(Data[Main SKU name_GOM]=$A7)*(Data[SKU name_NHẬP_GOM]=DZ$3)),SUMPRODUCT(Data[Nhập-SPC+SPP-NX]*(Data[Year]=DZ$1)*(Data[Month]=DZ$2)*(Data[Main SKU name_GOM]=$A7)*(Data[SKU name_NHẬP_GOM]=DZ$3)))</f>
        <v>0</v>
      </c>
      <c r="EA7" s="8" cm="1">
        <f t="array" ref="EA7">IF(EA$2="FY",SUMPRODUCT(Data[Nhập-SPC+SPP-NX]*(Data[Year]=EA$1)*(Data[Main SKU name_GOM]=$A7)*(Data[SKU name_NHẬP_GOM]=EA$3)),SUMPRODUCT(Data[Nhập-SPC+SPP-NX]*(Data[Year]=EA$1)*(Data[Month]=EA$2)*(Data[Main SKU name_GOM]=$A7)*(Data[SKU name_NHẬP_GOM]=EA$3)))</f>
        <v>0</v>
      </c>
      <c r="EB7" s="8" cm="1">
        <f t="array" ref="EB7">IF(EB$2="FY",SUMPRODUCT(Data[Nhập-SPC+SPP-NX]*(Data[Year]=EB$1)*(Data[Main SKU name_GOM]=$A7)*(Data[SKU name_NHẬP_GOM]=EB$3)),SUMPRODUCT(Data[Nhập-SPC+SPP-NX]*(Data[Year]=EB$1)*(Data[Month]=EB$2)*(Data[Main SKU name_GOM]=$A7)*(Data[SKU name_NHẬP_GOM]=EB$3)))</f>
        <v>0</v>
      </c>
      <c r="EC7" s="8" cm="1">
        <f t="array" ref="EC7">IF(EC$2="FY",SUMPRODUCT(Data[Nhập-SPC+SPP-NX]*(Data[Year]=EC$1)*(Data[Main SKU name_GOM]=$A7)*(Data[SKU name_NHẬP_GOM]=EC$3)),SUMPRODUCT(Data[Nhập-SPC+SPP-NX]*(Data[Year]=EC$1)*(Data[Month]=EC$2)*(Data[Main SKU name_GOM]=$A7)*(Data[SKU name_NHẬP_GOM]=EC$3)))</f>
        <v>0</v>
      </c>
      <c r="ED7" s="8">
        <f t="shared" ref="ED7:ED9" si="10">SUM(DT7:EC7)</f>
        <v>412954.5</v>
      </c>
      <c r="EF7" s="8" cm="1">
        <f t="array" ref="EF7">IF(EF$2="FY",SUMPRODUCT(Data[Nhập-SPC+SPP-NX]*(Data[Year]=EF$1)*(Data[Main SKU name_GOM]=$A7)*(Data[SKU name_NHẬP_GOM]=EF$3)),SUMPRODUCT(Data[Nhập-SPC+SPP-NX]*(Data[Year]=EF$1)*(Data[Month]=EF$2)*(Data[Main SKU name_GOM]=$A7)*(Data[SKU name_NHẬP_GOM]=EF$3)))</f>
        <v>13200</v>
      </c>
      <c r="EG7" s="8" cm="1">
        <f t="array" ref="EG7">IF(EG$2="FY",SUMPRODUCT(Data[Nhập-SPC+SPP-NX]*(Data[Year]=EG$1)*(Data[Main SKU name_GOM]=$A7)*(Data[SKU name_NHẬP_GOM]=EG$3)),SUMPRODUCT(Data[Nhập-SPC+SPP-NX]*(Data[Year]=EG$1)*(Data[Month]=EG$2)*(Data[Main SKU name_GOM]=$A7)*(Data[SKU name_NHẬP_GOM]=EG$3)))</f>
        <v>1187901.0000000002</v>
      </c>
      <c r="EH7" s="8" cm="1">
        <f t="array" ref="EH7">IF(EH$2="FY",SUMPRODUCT(Data[Nhập-SPC+SPP-NX]*(Data[Year]=EH$1)*(Data[Main SKU name_GOM]=$A7)*(Data[SKU name_NHẬP_GOM]=EH$3)),SUMPRODUCT(Data[Nhập-SPC+SPP-NX]*(Data[Year]=EH$1)*(Data[Month]=EH$2)*(Data[Main SKU name_GOM]=$A7)*(Data[SKU name_NHẬP_GOM]=EH$3)))</f>
        <v>80300</v>
      </c>
      <c r="EI7" s="8" cm="1">
        <f t="array" ref="EI7">IF(EI$2="FY",SUMPRODUCT(Data[Nhập-SPC+SPP-NX]*(Data[Year]=EI$1)*(Data[Main SKU name_GOM]=$A7)*(Data[SKU name_NHẬP_GOM]=EI$3)),SUMPRODUCT(Data[Nhập-SPC+SPP-NX]*(Data[Year]=EI$1)*(Data[Month]=EI$2)*(Data[Main SKU name_GOM]=$A7)*(Data[SKU name_NHẬP_GOM]=EI$3)))</f>
        <v>0</v>
      </c>
      <c r="EJ7" s="8" cm="1">
        <f t="array" ref="EJ7">IF(EJ$2="FY",SUMPRODUCT(Data[Nhập-SPC+SPP-NX]*(Data[Year]=EJ$1)*(Data[Main SKU name_GOM]=$A7)*(Data[SKU name_NHẬP_GOM]=EJ$3)),SUMPRODUCT(Data[Nhập-SPC+SPP-NX]*(Data[Year]=EJ$1)*(Data[Month]=EJ$2)*(Data[Main SKU name_GOM]=$A7)*(Data[SKU name_NHẬP_GOM]=EJ$3)))</f>
        <v>40700</v>
      </c>
      <c r="EK7" s="8" cm="1">
        <f t="array" ref="EK7">IF(EK$2="FY",SUMPRODUCT(Data[Nhập-SPC+SPP-NX]*(Data[Year]=EK$1)*(Data[Main SKU name_GOM]=$A7)*(Data[SKU name_NHẬP_GOM]=EK$3)),SUMPRODUCT(Data[Nhập-SPC+SPP-NX]*(Data[Year]=EK$1)*(Data[Month]=EK$2)*(Data[Main SKU name_GOM]=$A7)*(Data[SKU name_NHẬP_GOM]=EK$3)))</f>
        <v>0</v>
      </c>
      <c r="EL7" s="8" cm="1">
        <f t="array" ref="EL7">IF(EL$2="FY",SUMPRODUCT(Data[Nhập-SPC+SPP-NX]*(Data[Year]=EL$1)*(Data[Main SKU name_GOM]=$A7)*(Data[SKU name_NHẬP_GOM]=EL$3)),SUMPRODUCT(Data[Nhập-SPC+SPP-NX]*(Data[Year]=EL$1)*(Data[Month]=EL$2)*(Data[Main SKU name_GOM]=$A7)*(Data[SKU name_NHẬP_GOM]=EL$3)))</f>
        <v>0</v>
      </c>
      <c r="EM7" s="8" cm="1">
        <f t="array" ref="EM7">IF(EM$2="FY",SUMPRODUCT(Data[Nhập-SPC+SPP-NX]*(Data[Year]=EM$1)*(Data[Main SKU name_GOM]=$A7)*(Data[SKU name_NHẬP_GOM]=EM$3)),SUMPRODUCT(Data[Nhập-SPC+SPP-NX]*(Data[Year]=EM$1)*(Data[Month]=EM$2)*(Data[Main SKU name_GOM]=$A7)*(Data[SKU name_NHẬP_GOM]=EM$3)))</f>
        <v>0</v>
      </c>
      <c r="EN7" s="8" cm="1">
        <f t="array" ref="EN7">IF(EN$2="FY",SUMPRODUCT(Data[Nhập-SPC+SPP-NX]*(Data[Year]=EN$1)*(Data[Main SKU name_GOM]=$A7)*(Data[SKU name_NHẬP_GOM]=EN$3)),SUMPRODUCT(Data[Nhập-SPC+SPP-NX]*(Data[Year]=EN$1)*(Data[Month]=EN$2)*(Data[Main SKU name_GOM]=$A7)*(Data[SKU name_NHẬP_GOM]=EN$3)))</f>
        <v>0</v>
      </c>
      <c r="EO7" s="8" cm="1">
        <f t="array" ref="EO7">IF(EO$2="FY",SUMPRODUCT(Data[Nhập-SPC+SPP-NX]*(Data[Year]=EO$1)*(Data[Main SKU name_GOM]=$A7)*(Data[SKU name_NHẬP_GOM]=EO$3)),SUMPRODUCT(Data[Nhập-SPC+SPP-NX]*(Data[Year]=EO$1)*(Data[Month]=EO$2)*(Data[Main SKU name_GOM]=$A7)*(Data[SKU name_NHẬP_GOM]=EO$3)))</f>
        <v>0</v>
      </c>
      <c r="EP7" s="8">
        <f t="shared" ref="EP7:EP9" si="11">SUM(EF7:EO7)</f>
        <v>1322101.0000000002</v>
      </c>
      <c r="ER7" s="8" cm="1">
        <f t="array" ref="ER7">IF(ER$2="FY",SUMPRODUCT(Data[Nhập-SPC+SPP-NX]*(Data[Year]=ER$1)*(Data[Main SKU name_GOM]=$A7)*(Data[SKU name_NHẬP_GOM]=ER$3)),SUMPRODUCT(Data[Nhập-SPC+SPP-NX]*(Data[Year]=ER$1)*(Data[Month]=ER$2)*(Data[Main SKU name_GOM]=$A7)*(Data[SKU name_NHẬP_GOM]=ER$3)))</f>
        <v>0</v>
      </c>
      <c r="ES7" s="8" cm="1">
        <f t="array" ref="ES7">IF(ES$2="FY",SUMPRODUCT(Data[Nhập-SPC+SPP-NX]*(Data[Year]=ES$1)*(Data[Main SKU name_GOM]=$A7)*(Data[SKU name_NHẬP_GOM]=ES$3)),SUMPRODUCT(Data[Nhập-SPC+SPP-NX]*(Data[Year]=ES$1)*(Data[Month]=ES$2)*(Data[Main SKU name_GOM]=$A7)*(Data[SKU name_NHẬP_GOM]=ES$3)))</f>
        <v>134200</v>
      </c>
      <c r="ET7" s="8" cm="1">
        <f t="array" ref="ET7">IF(ET$2="FY",SUMPRODUCT(Data[Nhập-SPC+SPP-NX]*(Data[Year]=ET$1)*(Data[Main SKU name_GOM]=$A7)*(Data[SKU name_NHẬP_GOM]=ET$3)),SUMPRODUCT(Data[Nhập-SPC+SPP-NX]*(Data[Year]=ET$1)*(Data[Month]=ET$2)*(Data[Main SKU name_GOM]=$A7)*(Data[SKU name_NHẬP_GOM]=ET$3)))</f>
        <v>18700</v>
      </c>
      <c r="EU7" s="8" cm="1">
        <f t="array" ref="EU7">IF(EU$2="FY",SUMPRODUCT(Data[Nhập-SPC+SPP-NX]*(Data[Year]=EU$1)*(Data[Main SKU name_GOM]=$A7)*(Data[SKU name_NHẬP_GOM]=EU$3)),SUMPRODUCT(Data[Nhập-SPC+SPP-NX]*(Data[Year]=EU$1)*(Data[Month]=EU$2)*(Data[Main SKU name_GOM]=$A7)*(Data[SKU name_NHẬP_GOM]=EU$3)))</f>
        <v>0</v>
      </c>
      <c r="EV7" s="8" cm="1">
        <f t="array" ref="EV7">IF(EV$2="FY",SUMPRODUCT(Data[Nhập-SPC+SPP-NX]*(Data[Year]=EV$1)*(Data[Main SKU name_GOM]=$A7)*(Data[SKU name_NHẬP_GOM]=EV$3)),SUMPRODUCT(Data[Nhập-SPC+SPP-NX]*(Data[Year]=EV$1)*(Data[Month]=EV$2)*(Data[Main SKU name_GOM]=$A7)*(Data[SKU name_NHẬP_GOM]=EV$3)))</f>
        <v>0</v>
      </c>
      <c r="EW7" s="8" cm="1">
        <f t="array" ref="EW7">IF(EW$2="FY",SUMPRODUCT(Data[Nhập-SPC+SPP-NX]*(Data[Year]=EW$1)*(Data[Main SKU name_GOM]=$A7)*(Data[SKU name_NHẬP_GOM]=EW$3)),SUMPRODUCT(Data[Nhập-SPC+SPP-NX]*(Data[Year]=EW$1)*(Data[Month]=EW$2)*(Data[Main SKU name_GOM]=$A7)*(Data[SKU name_NHẬP_GOM]=EW$3)))</f>
        <v>3300</v>
      </c>
      <c r="EX7" s="8" cm="1">
        <f t="array" ref="EX7">IF(EX$2="FY",SUMPRODUCT(Data[Nhập-SPC+SPP-NX]*(Data[Year]=EX$1)*(Data[Main SKU name_GOM]=$A7)*(Data[SKU name_NHẬP_GOM]=EX$3)),SUMPRODUCT(Data[Nhập-SPC+SPP-NX]*(Data[Year]=EX$1)*(Data[Month]=EX$2)*(Data[Main SKU name_GOM]=$A7)*(Data[SKU name_NHẬP_GOM]=EX$3)))</f>
        <v>0</v>
      </c>
      <c r="EY7" s="8" cm="1">
        <f t="array" ref="EY7">IF(EY$2="FY",SUMPRODUCT(Data[Nhập-SPC+SPP-NX]*(Data[Year]=EY$1)*(Data[Main SKU name_GOM]=$A7)*(Data[SKU name_NHẬP_GOM]=EY$3)),SUMPRODUCT(Data[Nhập-SPC+SPP-NX]*(Data[Year]=EY$1)*(Data[Month]=EY$2)*(Data[Main SKU name_GOM]=$A7)*(Data[SKU name_NHẬP_GOM]=EY$3)))</f>
        <v>0</v>
      </c>
      <c r="EZ7" s="8" cm="1">
        <f t="array" ref="EZ7">IF(EZ$2="FY",SUMPRODUCT(Data[Nhập-SPC+SPP-NX]*(Data[Year]=EZ$1)*(Data[Main SKU name_GOM]=$A7)*(Data[SKU name_NHẬP_GOM]=EZ$3)),SUMPRODUCT(Data[Nhập-SPC+SPP-NX]*(Data[Year]=EZ$1)*(Data[Month]=EZ$2)*(Data[Main SKU name_GOM]=$A7)*(Data[SKU name_NHẬP_GOM]=EZ$3)))</f>
        <v>0</v>
      </c>
      <c r="FA7" s="8" cm="1">
        <f t="array" ref="FA7">IF(FA$2="FY",SUMPRODUCT(Data[Nhập-SPC+SPP-NX]*(Data[Year]=FA$1)*(Data[Main SKU name_GOM]=$A7)*(Data[SKU name_NHẬP_GOM]=FA$3)),SUMPRODUCT(Data[Nhập-SPC+SPP-NX]*(Data[Year]=FA$1)*(Data[Month]=FA$2)*(Data[Main SKU name_GOM]=$A7)*(Data[SKU name_NHẬP_GOM]=FA$3)))</f>
        <v>0</v>
      </c>
      <c r="FB7" s="8">
        <f t="shared" ref="FB7:FB9" si="12">SUM(ER7:FA7)</f>
        <v>156200</v>
      </c>
    </row>
    <row r="8" spans="1:158" x14ac:dyDescent="0.35">
      <c r="A8" s="5" t="s">
        <v>70</v>
      </c>
      <c r="B8" t="s">
        <v>70</v>
      </c>
      <c r="D8" s="8" cm="1">
        <f t="array" ref="D8">IF(D$2="FY",SUMPRODUCT(Data[Nhập-SPC+SPP-NX]*(Data[Year]=D$1)*(Data[Main SKU name_GOM]=$A8)*(Data[SKU name_NHẬP_GOM]=D$3)),SUMPRODUCT(Data[Nhập-SPC+SPP-NX]*(Data[Year]=D$1)*(Data[Month]=D$2)*(Data[Main SKU name_GOM]=$A8)*(Data[SKU name_NHẬP_GOM]=D$3)))</f>
        <v>3300</v>
      </c>
      <c r="E8" s="8" cm="1">
        <f t="array" ref="E8">IF(E$2="FY",SUMPRODUCT(Data[Nhập-SPC+SPP-NX]*(Data[Year]=E$1)*(Data[Main SKU name_GOM]=$A8)*(Data[SKU name_NHẬP_GOM]=E$3)),SUMPRODUCT(Data[Nhập-SPC+SPP-NX]*(Data[Year]=E$1)*(Data[Month]=E$2)*(Data[Main SKU name_GOM]=$A8)*(Data[SKU name_NHẬP_GOM]=E$3)))</f>
        <v>2772220</v>
      </c>
      <c r="F8" s="8" cm="1">
        <f t="array" ref="F8">IF(F$2="FY",SUMPRODUCT(Data[Nhập-SPC+SPP-NX]*(Data[Year]=F$1)*(Data[Main SKU name_GOM]=$A8)*(Data[SKU name_NHẬP_GOM]=F$3)),SUMPRODUCT(Data[Nhập-SPC+SPP-NX]*(Data[Year]=F$1)*(Data[Month]=F$2)*(Data[Main SKU name_GOM]=$A8)*(Data[SKU name_NHẬP_GOM]=F$3)))</f>
        <v>23119717</v>
      </c>
      <c r="G8" s="8" cm="1">
        <f t="array" ref="G8">IF(G$2="FY",SUMPRODUCT(Data[Nhập-SPC+SPP-NX]*(Data[Year]=G$1)*(Data[Main SKU name_GOM]=$A8)*(Data[SKU name_NHẬP_GOM]=G$3)),SUMPRODUCT(Data[Nhập-SPC+SPP-NX]*(Data[Year]=G$1)*(Data[Month]=G$2)*(Data[Main SKU name_GOM]=$A8)*(Data[SKU name_NHẬP_GOM]=G$3)))</f>
        <v>895544</v>
      </c>
      <c r="H8" s="8" cm="1">
        <f t="array" ref="H8">IF(H$2="FY",SUMPRODUCT(Data[Nhập-SPC+SPP-NX]*(Data[Year]=H$1)*(Data[Main SKU name_GOM]=$A8)*(Data[SKU name_NHẬP_GOM]=H$3)),SUMPRODUCT(Data[Nhập-SPC+SPP-NX]*(Data[Year]=H$1)*(Data[Month]=H$2)*(Data[Main SKU name_GOM]=$A8)*(Data[SKU name_NHẬP_GOM]=H$3)))</f>
        <v>1517502.5</v>
      </c>
      <c r="I8" s="8" cm="1">
        <f t="array" ref="I8">IF(I$2="FY",SUMPRODUCT(Data[Nhập-SPC+SPP-NX]*(Data[Year]=I$1)*(Data[Main SKU name_GOM]=$A8)*(Data[SKU name_NHẬP_GOM]=I$3)),SUMPRODUCT(Data[Nhập-SPC+SPP-NX]*(Data[Year]=I$1)*(Data[Month]=I$2)*(Data[Main SKU name_GOM]=$A8)*(Data[SKU name_NHẬP_GOM]=I$3)))</f>
        <v>0</v>
      </c>
      <c r="J8" s="8" cm="1">
        <f t="array" ref="J8">IF(J$2="FY",SUMPRODUCT(Data[Nhập-SPC+SPP-NX]*(Data[Year]=J$1)*(Data[Main SKU name_GOM]=$A8)*(Data[SKU name_NHẬP_GOM]=J$3)),SUMPRODUCT(Data[Nhập-SPC+SPP-NX]*(Data[Year]=J$1)*(Data[Month]=J$2)*(Data[Main SKU name_GOM]=$A8)*(Data[SKU name_NHẬP_GOM]=J$3)))</f>
        <v>0</v>
      </c>
      <c r="K8" s="8" cm="1">
        <f t="array" ref="K8">IF(K$2="FY",SUMPRODUCT(Data[Nhập-SPC+SPP-NX]*(Data[Year]=K$1)*(Data[Main SKU name_GOM]=$A8)*(Data[SKU name_NHẬP_GOM]=K$3)),SUMPRODUCT(Data[Nhập-SPC+SPP-NX]*(Data[Year]=K$1)*(Data[Month]=K$2)*(Data[Main SKU name_GOM]=$A8)*(Data[SKU name_NHẬP_GOM]=K$3)))</f>
        <v>13200</v>
      </c>
      <c r="L8" s="8" cm="1">
        <f t="array" ref="L8">IF(L$2="FY",SUMPRODUCT(Data[Nhập-SPC+SPP-NX]*(Data[Year]=L$1)*(Data[Main SKU name_GOM]=$A8)*(Data[SKU name_NHẬP_GOM]=L$3)),SUMPRODUCT(Data[Nhập-SPC+SPP-NX]*(Data[Year]=L$1)*(Data[Month]=L$2)*(Data[Main SKU name_GOM]=$A8)*(Data[SKU name_NHẬP_GOM]=L$3)))</f>
        <v>3300</v>
      </c>
      <c r="M8" s="8" cm="1">
        <f t="array" ref="M8">IF(M$2="FY",SUMPRODUCT(Data[Nhập-SPC+SPP-NX]*(Data[Year]=M$1)*(Data[Main SKU name_GOM]=$A8)*(Data[SKU name_NHẬP_GOM]=M$3)),SUMPRODUCT(Data[Nhập-SPC+SPP-NX]*(Data[Year]=M$1)*(Data[Month]=M$2)*(Data[Main SKU name_GOM]=$A8)*(Data[SKU name_NHẬP_GOM]=M$3)))</f>
        <v>0</v>
      </c>
      <c r="N8" s="13">
        <f t="shared" si="0"/>
        <v>28324783.5</v>
      </c>
      <c r="P8" s="8" cm="1">
        <f t="array" ref="P8">IF(P$2="FY",SUMPRODUCT(Data[Nhập-SPC+SPP-NX]*(Data[Year]=P$1)*(Data[Main SKU name_GOM]=$A8)*(Data[SKU name_NHẬP_GOM]=P$3)),SUMPRODUCT(Data[Nhập-SPC+SPP-NX]*(Data[Year]=P$1)*(Data[Month]=P$2)*(Data[Main SKU name_GOM]=$A8)*(Data[SKU name_NHẬP_GOM]=P$3)))</f>
        <v>1100</v>
      </c>
      <c r="Q8" s="8" cm="1">
        <f t="array" ref="Q8">IF(Q$2="FY",SUMPRODUCT(Data[Nhập-SPC+SPP-NX]*(Data[Year]=Q$1)*(Data[Main SKU name_GOM]=$A8)*(Data[SKU name_NHẬP_GOM]=Q$3)),SUMPRODUCT(Data[Nhập-SPC+SPP-NX]*(Data[Year]=Q$1)*(Data[Month]=Q$2)*(Data[Main SKU name_GOM]=$A8)*(Data[SKU name_NHẬP_GOM]=Q$3)))</f>
        <v>463100</v>
      </c>
      <c r="R8" s="8" cm="1">
        <f t="array" ref="R8">IF(R$2="FY",SUMPRODUCT(Data[Nhập-SPC+SPP-NX]*(Data[Year]=R$1)*(Data[Main SKU name_GOM]=$A8)*(Data[SKU name_NHẬP_GOM]=R$3)),SUMPRODUCT(Data[Nhập-SPC+SPP-NX]*(Data[Year]=R$1)*(Data[Month]=R$2)*(Data[Main SKU name_GOM]=$A8)*(Data[SKU name_NHẬP_GOM]=R$3)))</f>
        <v>3266015.9999999995</v>
      </c>
      <c r="S8" s="8" cm="1">
        <f t="array" ref="S8">IF(S$2="FY",SUMPRODUCT(Data[Nhập-SPC+SPP-NX]*(Data[Year]=S$1)*(Data[Main SKU name_GOM]=$A8)*(Data[SKU name_NHẬP_GOM]=S$3)),SUMPRODUCT(Data[Nhập-SPC+SPP-NX]*(Data[Year]=S$1)*(Data[Month]=S$2)*(Data[Main SKU name_GOM]=$A8)*(Data[SKU name_NHẬP_GOM]=S$3)))</f>
        <v>164344</v>
      </c>
      <c r="T8" s="8" cm="1">
        <f t="array" ref="T8">IF(T$2="FY",SUMPRODUCT(Data[Nhập-SPC+SPP-NX]*(Data[Year]=T$1)*(Data[Main SKU name_GOM]=$A8)*(Data[SKU name_NHẬP_GOM]=T$3)),SUMPRODUCT(Data[Nhập-SPC+SPP-NX]*(Data[Year]=T$1)*(Data[Month]=T$2)*(Data[Main SKU name_GOM]=$A8)*(Data[SKU name_NHẬP_GOM]=T$3)))</f>
        <v>20900</v>
      </c>
      <c r="U8" s="8" cm="1">
        <f t="array" ref="U8">IF(U$2="FY",SUMPRODUCT(Data[Nhập-SPC+SPP-NX]*(Data[Year]=U$1)*(Data[Main SKU name_GOM]=$A8)*(Data[SKU name_NHẬP_GOM]=U$3)),SUMPRODUCT(Data[Nhập-SPC+SPP-NX]*(Data[Year]=U$1)*(Data[Month]=U$2)*(Data[Main SKU name_GOM]=$A8)*(Data[SKU name_NHẬP_GOM]=U$3)))</f>
        <v>0</v>
      </c>
      <c r="V8" s="8" cm="1">
        <f t="array" ref="V8">IF(V$2="FY",SUMPRODUCT(Data[Nhập-SPC+SPP-NX]*(Data[Year]=V$1)*(Data[Main SKU name_GOM]=$A8)*(Data[SKU name_NHẬP_GOM]=V$3)),SUMPRODUCT(Data[Nhập-SPC+SPP-NX]*(Data[Year]=V$1)*(Data[Month]=V$2)*(Data[Main SKU name_GOM]=$A8)*(Data[SKU name_NHẬP_GOM]=V$3)))</f>
        <v>0</v>
      </c>
      <c r="W8" s="8" cm="1">
        <f t="array" ref="W8">IF(W$2="FY",SUMPRODUCT(Data[Nhập-SPC+SPP-NX]*(Data[Year]=W$1)*(Data[Main SKU name_GOM]=$A8)*(Data[SKU name_NHẬP_GOM]=W$3)),SUMPRODUCT(Data[Nhập-SPC+SPP-NX]*(Data[Year]=W$1)*(Data[Month]=W$2)*(Data[Main SKU name_GOM]=$A8)*(Data[SKU name_NHẬP_GOM]=W$3)))</f>
        <v>0</v>
      </c>
      <c r="X8" s="8" cm="1">
        <f t="array" ref="X8">IF(X$2="FY",SUMPRODUCT(Data[Nhập-SPC+SPP-NX]*(Data[Year]=X$1)*(Data[Main SKU name_GOM]=$A8)*(Data[SKU name_NHẬP_GOM]=X$3)),SUMPRODUCT(Data[Nhập-SPC+SPP-NX]*(Data[Year]=X$1)*(Data[Month]=X$2)*(Data[Main SKU name_GOM]=$A8)*(Data[SKU name_NHẬP_GOM]=X$3)))</f>
        <v>0</v>
      </c>
      <c r="Y8" s="8" cm="1">
        <f t="array" ref="Y8">IF(Y$2="FY",SUMPRODUCT(Data[Nhập-SPC+SPP-NX]*(Data[Year]=Y$1)*(Data[Main SKU name_GOM]=$A8)*(Data[SKU name_NHẬP_GOM]=Y$3)),SUMPRODUCT(Data[Nhập-SPC+SPP-NX]*(Data[Year]=Y$1)*(Data[Month]=Y$2)*(Data[Main SKU name_GOM]=$A8)*(Data[SKU name_NHẬP_GOM]=Y$3)))</f>
        <v>0</v>
      </c>
      <c r="Z8" s="8">
        <f t="shared" si="1"/>
        <v>3915459.9999999995</v>
      </c>
      <c r="AB8" s="8" cm="1">
        <f t="array" ref="AB8">IF(AB$2="FY",SUMPRODUCT(Data[Nhập-SPC+SPP-NX]*(Data[Year]=AB$1)*(Data[Main SKU name_GOM]=$A8)*(Data[SKU name_NHẬP_GOM]=AB$3)),SUMPRODUCT(Data[Nhập-SPC+SPP-NX]*(Data[Year]=AB$1)*(Data[Month]=AB$2)*(Data[Main SKU name_GOM]=$A8)*(Data[SKU name_NHẬP_GOM]=AB$3)))</f>
        <v>0</v>
      </c>
      <c r="AC8" s="8" cm="1">
        <f t="array" ref="AC8">IF(AC$2="FY",SUMPRODUCT(Data[Nhập-SPC+SPP-NX]*(Data[Year]=AC$1)*(Data[Main SKU name_GOM]=$A8)*(Data[SKU name_NHẬP_GOM]=AC$3)),SUMPRODUCT(Data[Nhập-SPC+SPP-NX]*(Data[Year]=AC$1)*(Data[Month]=AC$2)*(Data[Main SKU name_GOM]=$A8)*(Data[SKU name_NHẬP_GOM]=AC$3)))</f>
        <v>162800</v>
      </c>
      <c r="AD8" s="8" cm="1">
        <f t="array" ref="AD8">IF(AD$2="FY",SUMPRODUCT(Data[Nhập-SPC+SPP-NX]*(Data[Year]=AD$1)*(Data[Main SKU name_GOM]=$A8)*(Data[SKU name_NHẬP_GOM]=AD$3)),SUMPRODUCT(Data[Nhập-SPC+SPP-NX]*(Data[Year]=AD$1)*(Data[Month]=AD$2)*(Data[Main SKU name_GOM]=$A8)*(Data[SKU name_NHẬP_GOM]=AD$3)))</f>
        <v>2438202</v>
      </c>
      <c r="AE8" s="8" cm="1">
        <f t="array" ref="AE8">IF(AE$2="FY",SUMPRODUCT(Data[Nhập-SPC+SPP-NX]*(Data[Year]=AE$1)*(Data[Main SKU name_GOM]=$A8)*(Data[SKU name_NHẬP_GOM]=AE$3)),SUMPRODUCT(Data[Nhập-SPC+SPP-NX]*(Data[Year]=AE$1)*(Data[Month]=AE$2)*(Data[Main SKU name_GOM]=$A8)*(Data[SKU name_NHẬP_GOM]=AE$3)))</f>
        <v>150700</v>
      </c>
      <c r="AF8" s="8" cm="1">
        <f t="array" ref="AF8">IF(AF$2="FY",SUMPRODUCT(Data[Nhập-SPC+SPP-NX]*(Data[Year]=AF$1)*(Data[Main SKU name_GOM]=$A8)*(Data[SKU name_NHẬP_GOM]=AF$3)),SUMPRODUCT(Data[Nhập-SPC+SPP-NX]*(Data[Year]=AF$1)*(Data[Month]=AF$2)*(Data[Main SKU name_GOM]=$A8)*(Data[SKU name_NHẬP_GOM]=AF$3)))</f>
        <v>5431</v>
      </c>
      <c r="AG8" s="8" cm="1">
        <f t="array" ref="AG8">IF(AG$2="FY",SUMPRODUCT(Data[Nhập-SPC+SPP-NX]*(Data[Year]=AG$1)*(Data[Main SKU name_GOM]=$A8)*(Data[SKU name_NHẬP_GOM]=AG$3)),SUMPRODUCT(Data[Nhập-SPC+SPP-NX]*(Data[Year]=AG$1)*(Data[Month]=AG$2)*(Data[Main SKU name_GOM]=$A8)*(Data[SKU name_NHẬP_GOM]=AG$3)))</f>
        <v>0</v>
      </c>
      <c r="AH8" s="8" cm="1">
        <f t="array" ref="AH8">IF(AH$2="FY",SUMPRODUCT(Data[Nhập-SPC+SPP-NX]*(Data[Year]=AH$1)*(Data[Main SKU name_GOM]=$A8)*(Data[SKU name_NHẬP_GOM]=AH$3)),SUMPRODUCT(Data[Nhập-SPC+SPP-NX]*(Data[Year]=AH$1)*(Data[Month]=AH$2)*(Data[Main SKU name_GOM]=$A8)*(Data[SKU name_NHẬP_GOM]=AH$3)))</f>
        <v>0</v>
      </c>
      <c r="AI8" s="8" cm="1">
        <f t="array" ref="AI8">IF(AI$2="FY",SUMPRODUCT(Data[Nhập-SPC+SPP-NX]*(Data[Year]=AI$1)*(Data[Main SKU name_GOM]=$A8)*(Data[SKU name_NHẬP_GOM]=AI$3)),SUMPRODUCT(Data[Nhập-SPC+SPP-NX]*(Data[Year]=AI$1)*(Data[Month]=AI$2)*(Data[Main SKU name_GOM]=$A8)*(Data[SKU name_NHẬP_GOM]=AI$3)))</f>
        <v>0</v>
      </c>
      <c r="AJ8" s="8" cm="1">
        <f t="array" ref="AJ8">IF(AJ$2="FY",SUMPRODUCT(Data[Nhập-SPC+SPP-NX]*(Data[Year]=AJ$1)*(Data[Main SKU name_GOM]=$A8)*(Data[SKU name_NHẬP_GOM]=AJ$3)),SUMPRODUCT(Data[Nhập-SPC+SPP-NX]*(Data[Year]=AJ$1)*(Data[Month]=AJ$2)*(Data[Main SKU name_GOM]=$A8)*(Data[SKU name_NHẬP_GOM]=AJ$3)))</f>
        <v>0</v>
      </c>
      <c r="AK8" s="8" cm="1">
        <f t="array" ref="AK8">IF(AK$2="FY",SUMPRODUCT(Data[Nhập-SPC+SPP-NX]*(Data[Year]=AK$1)*(Data[Main SKU name_GOM]=$A8)*(Data[SKU name_NHẬP_GOM]=AK$3)),SUMPRODUCT(Data[Nhập-SPC+SPP-NX]*(Data[Year]=AK$1)*(Data[Month]=AK$2)*(Data[Main SKU name_GOM]=$A8)*(Data[SKU name_NHẬP_GOM]=AK$3)))</f>
        <v>0</v>
      </c>
      <c r="AL8" s="8">
        <f t="shared" si="2"/>
        <v>2757133</v>
      </c>
      <c r="AN8" s="8" cm="1">
        <f t="array" ref="AN8">IF(AN$2="FY",SUMPRODUCT(Data[Nhập-SPC+SPP-NX]*(Data[Year]=AN$1)*(Data[Main SKU name_GOM]=$A8)*(Data[SKU name_NHẬP_GOM]=AN$3)),SUMPRODUCT(Data[Nhập-SPC+SPP-NX]*(Data[Year]=AN$1)*(Data[Month]=AN$2)*(Data[Main SKU name_GOM]=$A8)*(Data[SKU name_NHẬP_GOM]=AN$3)))</f>
        <v>0</v>
      </c>
      <c r="AO8" s="8" cm="1">
        <f t="array" ref="AO8">IF(AO$2="FY",SUMPRODUCT(Data[Nhập-SPC+SPP-NX]*(Data[Year]=AO$1)*(Data[Main SKU name_GOM]=$A8)*(Data[SKU name_NHẬP_GOM]=AO$3)),SUMPRODUCT(Data[Nhập-SPC+SPP-NX]*(Data[Year]=AO$1)*(Data[Month]=AO$2)*(Data[Main SKU name_GOM]=$A8)*(Data[SKU name_NHẬP_GOM]=AO$3)))</f>
        <v>431200</v>
      </c>
      <c r="AP8" s="8" cm="1">
        <f t="array" ref="AP8">IF(AP$2="FY",SUMPRODUCT(Data[Nhập-SPC+SPP-NX]*(Data[Year]=AP$1)*(Data[Main SKU name_GOM]=$A8)*(Data[SKU name_NHẬP_GOM]=AP$3)),SUMPRODUCT(Data[Nhập-SPC+SPP-NX]*(Data[Year]=AP$1)*(Data[Month]=AP$2)*(Data[Main SKU name_GOM]=$A8)*(Data[SKU name_NHẬP_GOM]=AP$3)))</f>
        <v>3342828.9999999995</v>
      </c>
      <c r="AQ8" s="8" cm="1">
        <f t="array" ref="AQ8">IF(AQ$2="FY",SUMPRODUCT(Data[Nhập-SPC+SPP-NX]*(Data[Year]=AQ$1)*(Data[Main SKU name_GOM]=$A8)*(Data[SKU name_NHẬP_GOM]=AQ$3)),SUMPRODUCT(Data[Nhập-SPC+SPP-NX]*(Data[Year]=AQ$1)*(Data[Month]=AQ$2)*(Data[Main SKU name_GOM]=$A8)*(Data[SKU name_NHẬP_GOM]=AQ$3)))</f>
        <v>118800</v>
      </c>
      <c r="AR8" s="8" cm="1">
        <f t="array" ref="AR8">IF(AR$2="FY",SUMPRODUCT(Data[Nhập-SPC+SPP-NX]*(Data[Year]=AR$1)*(Data[Main SKU name_GOM]=$A8)*(Data[SKU name_NHẬP_GOM]=AR$3)),SUMPRODUCT(Data[Nhập-SPC+SPP-NX]*(Data[Year]=AR$1)*(Data[Month]=AR$2)*(Data[Main SKU name_GOM]=$A8)*(Data[SKU name_NHẬP_GOM]=AR$3)))</f>
        <v>15400</v>
      </c>
      <c r="AS8" s="8" cm="1">
        <f t="array" ref="AS8">IF(AS$2="FY",SUMPRODUCT(Data[Nhập-SPC+SPP-NX]*(Data[Year]=AS$1)*(Data[Main SKU name_GOM]=$A8)*(Data[SKU name_NHẬP_GOM]=AS$3)),SUMPRODUCT(Data[Nhập-SPC+SPP-NX]*(Data[Year]=AS$1)*(Data[Month]=AS$2)*(Data[Main SKU name_GOM]=$A8)*(Data[SKU name_NHẬP_GOM]=AS$3)))</f>
        <v>0</v>
      </c>
      <c r="AT8" s="8" cm="1">
        <f t="array" ref="AT8">IF(AT$2="FY",SUMPRODUCT(Data[Nhập-SPC+SPP-NX]*(Data[Year]=AT$1)*(Data[Main SKU name_GOM]=$A8)*(Data[SKU name_NHẬP_GOM]=AT$3)),SUMPRODUCT(Data[Nhập-SPC+SPP-NX]*(Data[Year]=AT$1)*(Data[Month]=AT$2)*(Data[Main SKU name_GOM]=$A8)*(Data[SKU name_NHẬP_GOM]=AT$3)))</f>
        <v>0</v>
      </c>
      <c r="AU8" s="8" cm="1">
        <f t="array" ref="AU8">IF(AU$2="FY",SUMPRODUCT(Data[Nhập-SPC+SPP-NX]*(Data[Year]=AU$1)*(Data[Main SKU name_GOM]=$A8)*(Data[SKU name_NHẬP_GOM]=AU$3)),SUMPRODUCT(Data[Nhập-SPC+SPP-NX]*(Data[Year]=AU$1)*(Data[Month]=AU$2)*(Data[Main SKU name_GOM]=$A8)*(Data[SKU name_NHẬP_GOM]=AU$3)))</f>
        <v>0</v>
      </c>
      <c r="AV8" s="8" cm="1">
        <f t="array" ref="AV8">IF(AV$2="FY",SUMPRODUCT(Data[Nhập-SPC+SPP-NX]*(Data[Year]=AV$1)*(Data[Main SKU name_GOM]=$A8)*(Data[SKU name_NHẬP_GOM]=AV$3)),SUMPRODUCT(Data[Nhập-SPC+SPP-NX]*(Data[Year]=AV$1)*(Data[Month]=AV$2)*(Data[Main SKU name_GOM]=$A8)*(Data[SKU name_NHẬP_GOM]=AV$3)))</f>
        <v>0</v>
      </c>
      <c r="AW8" s="8" cm="1">
        <f t="array" ref="AW8">IF(AW$2="FY",SUMPRODUCT(Data[Nhập-SPC+SPP-NX]*(Data[Year]=AW$1)*(Data[Main SKU name_GOM]=$A8)*(Data[SKU name_NHẬP_GOM]=AW$3)),SUMPRODUCT(Data[Nhập-SPC+SPP-NX]*(Data[Year]=AW$1)*(Data[Month]=AW$2)*(Data[Main SKU name_GOM]=$A8)*(Data[SKU name_NHẬP_GOM]=AW$3)))</f>
        <v>0</v>
      </c>
      <c r="AX8" s="8">
        <f t="shared" si="3"/>
        <v>3908228.9999999995</v>
      </c>
      <c r="AZ8" s="8" cm="1">
        <f t="array" ref="AZ8">IF(AZ$2="FY",SUMPRODUCT(Data[Nhập-SPC+SPP-NX]*(Data[Year]=AZ$1)*(Data[Main SKU name_GOM]=$A8)*(Data[SKU name_NHẬP_GOM]=AZ$3)),SUMPRODUCT(Data[Nhập-SPC+SPP-NX]*(Data[Year]=AZ$1)*(Data[Month]=AZ$2)*(Data[Main SKU name_GOM]=$A8)*(Data[SKU name_NHẬP_GOM]=AZ$3)))</f>
        <v>1100</v>
      </c>
      <c r="BA8" s="8" cm="1">
        <f t="array" ref="BA8">IF(BA$2="FY",SUMPRODUCT(Data[Nhập-SPC+SPP-NX]*(Data[Year]=BA$1)*(Data[Main SKU name_GOM]=$A8)*(Data[SKU name_NHẬP_GOM]=BA$3)),SUMPRODUCT(Data[Nhập-SPC+SPP-NX]*(Data[Year]=BA$1)*(Data[Month]=BA$2)*(Data[Main SKU name_GOM]=$A8)*(Data[SKU name_NHẬP_GOM]=BA$3)))</f>
        <v>233201.00000000003</v>
      </c>
      <c r="BB8" s="8" cm="1">
        <f t="array" ref="BB8">IF(BB$2="FY",SUMPRODUCT(Data[Nhập-SPC+SPP-NX]*(Data[Year]=BB$1)*(Data[Main SKU name_GOM]=$A8)*(Data[SKU name_NHẬP_GOM]=BB$3)),SUMPRODUCT(Data[Nhập-SPC+SPP-NX]*(Data[Year]=BB$1)*(Data[Month]=BB$2)*(Data[Main SKU name_GOM]=$A8)*(Data[SKU name_NHẬP_GOM]=BB$3)))</f>
        <v>1045000</v>
      </c>
      <c r="BC8" s="8" cm="1">
        <f t="array" ref="BC8">IF(BC$2="FY",SUMPRODUCT(Data[Nhập-SPC+SPP-NX]*(Data[Year]=BC$1)*(Data[Main SKU name_GOM]=$A8)*(Data[SKU name_NHẬP_GOM]=BC$3)),SUMPRODUCT(Data[Nhập-SPC+SPP-NX]*(Data[Year]=BC$1)*(Data[Month]=BC$2)*(Data[Main SKU name_GOM]=$A8)*(Data[SKU name_NHẬP_GOM]=BC$3)))</f>
        <v>47300</v>
      </c>
      <c r="BD8" s="8" cm="1">
        <f t="array" ref="BD8">IF(BD$2="FY",SUMPRODUCT(Data[Nhập-SPC+SPP-NX]*(Data[Year]=BD$1)*(Data[Main SKU name_GOM]=$A8)*(Data[SKU name_NHẬP_GOM]=BD$3)),SUMPRODUCT(Data[Nhập-SPC+SPP-NX]*(Data[Year]=BD$1)*(Data[Month]=BD$2)*(Data[Main SKU name_GOM]=$A8)*(Data[SKU name_NHẬP_GOM]=BD$3)))</f>
        <v>15400</v>
      </c>
      <c r="BE8" s="8" cm="1">
        <f t="array" ref="BE8">IF(BE$2="FY",SUMPRODUCT(Data[Nhập-SPC+SPP-NX]*(Data[Year]=BE$1)*(Data[Main SKU name_GOM]=$A8)*(Data[SKU name_NHẬP_GOM]=BE$3)),SUMPRODUCT(Data[Nhập-SPC+SPP-NX]*(Data[Year]=BE$1)*(Data[Month]=BE$2)*(Data[Main SKU name_GOM]=$A8)*(Data[SKU name_NHẬP_GOM]=BE$3)))</f>
        <v>0</v>
      </c>
      <c r="BF8" s="8" cm="1">
        <f t="array" ref="BF8">IF(BF$2="FY",SUMPRODUCT(Data[Nhập-SPC+SPP-NX]*(Data[Year]=BF$1)*(Data[Main SKU name_GOM]=$A8)*(Data[SKU name_NHẬP_GOM]=BF$3)),SUMPRODUCT(Data[Nhập-SPC+SPP-NX]*(Data[Year]=BF$1)*(Data[Month]=BF$2)*(Data[Main SKU name_GOM]=$A8)*(Data[SKU name_NHẬP_GOM]=BF$3)))</f>
        <v>0</v>
      </c>
      <c r="BG8" s="8" cm="1">
        <f t="array" ref="BG8">IF(BG$2="FY",SUMPRODUCT(Data[Nhập-SPC+SPP-NX]*(Data[Year]=BG$1)*(Data[Main SKU name_GOM]=$A8)*(Data[SKU name_NHẬP_GOM]=BG$3)),SUMPRODUCT(Data[Nhập-SPC+SPP-NX]*(Data[Year]=BG$1)*(Data[Month]=BG$2)*(Data[Main SKU name_GOM]=$A8)*(Data[SKU name_NHẬP_GOM]=BG$3)))</f>
        <v>0</v>
      </c>
      <c r="BH8" s="8" cm="1">
        <f t="array" ref="BH8">IF(BH$2="FY",SUMPRODUCT(Data[Nhập-SPC+SPP-NX]*(Data[Year]=BH$1)*(Data[Main SKU name_GOM]=$A8)*(Data[SKU name_NHẬP_GOM]=BH$3)),SUMPRODUCT(Data[Nhập-SPC+SPP-NX]*(Data[Year]=BH$1)*(Data[Month]=BH$2)*(Data[Main SKU name_GOM]=$A8)*(Data[SKU name_NHẬP_GOM]=BH$3)))</f>
        <v>0</v>
      </c>
      <c r="BI8" s="8" cm="1">
        <f t="array" ref="BI8">IF(BI$2="FY",SUMPRODUCT(Data[Nhập-SPC+SPP-NX]*(Data[Year]=BI$1)*(Data[Main SKU name_GOM]=$A8)*(Data[SKU name_NHẬP_GOM]=BI$3)),SUMPRODUCT(Data[Nhập-SPC+SPP-NX]*(Data[Year]=BI$1)*(Data[Month]=BI$2)*(Data[Main SKU name_GOM]=$A8)*(Data[SKU name_NHẬP_GOM]=BI$3)))</f>
        <v>0</v>
      </c>
      <c r="BJ8" s="8">
        <f t="shared" si="4"/>
        <v>1342001</v>
      </c>
      <c r="BL8" s="8" cm="1">
        <f t="array" ref="BL8">IF(BL$2="FY",SUMPRODUCT(Data[Nhập-SPC+SPP-NX]*(Data[Year]=BL$1)*(Data[Main SKU name_GOM]=$A8)*(Data[SKU name_NHẬP_GOM]=BL$3)),SUMPRODUCT(Data[Nhập-SPC+SPP-NX]*(Data[Year]=BL$1)*(Data[Month]=BL$2)*(Data[Main SKU name_GOM]=$A8)*(Data[SKU name_NHẬP_GOM]=BL$3)))</f>
        <v>0</v>
      </c>
      <c r="BM8" s="8" cm="1">
        <f t="array" ref="BM8">IF(BM$2="FY",SUMPRODUCT(Data[Nhập-SPC+SPP-NX]*(Data[Year]=BM$1)*(Data[Main SKU name_GOM]=$A8)*(Data[SKU name_NHẬP_GOM]=BM$3)),SUMPRODUCT(Data[Nhập-SPC+SPP-NX]*(Data[Year]=BM$1)*(Data[Month]=BM$2)*(Data[Main SKU name_GOM]=$A8)*(Data[SKU name_NHẬP_GOM]=BM$3)))</f>
        <v>432300</v>
      </c>
      <c r="BN8" s="8" cm="1">
        <f t="array" ref="BN8">IF(BN$2="FY",SUMPRODUCT(Data[Nhập-SPC+SPP-NX]*(Data[Year]=BN$1)*(Data[Main SKU name_GOM]=$A8)*(Data[SKU name_NHẬP_GOM]=BN$3)),SUMPRODUCT(Data[Nhập-SPC+SPP-NX]*(Data[Year]=BN$1)*(Data[Month]=BN$2)*(Data[Main SKU name_GOM]=$A8)*(Data[SKU name_NHẬP_GOM]=BN$3)))</f>
        <v>3210900.0000000005</v>
      </c>
      <c r="BO8" s="8" cm="1">
        <f t="array" ref="BO8">IF(BO$2="FY",SUMPRODUCT(Data[Nhập-SPC+SPP-NX]*(Data[Year]=BO$1)*(Data[Main SKU name_GOM]=$A8)*(Data[SKU name_NHẬP_GOM]=BO$3)),SUMPRODUCT(Data[Nhập-SPC+SPP-NX]*(Data[Year]=BO$1)*(Data[Month]=BO$2)*(Data[Main SKU name_GOM]=$A8)*(Data[SKU name_NHẬP_GOM]=BO$3)))</f>
        <v>238700</v>
      </c>
      <c r="BP8" s="8" cm="1">
        <f t="array" ref="BP8">IF(BP$2="FY",SUMPRODUCT(Data[Nhập-SPC+SPP-NX]*(Data[Year]=BP$1)*(Data[Main SKU name_GOM]=$A8)*(Data[SKU name_NHẬP_GOM]=BP$3)),SUMPRODUCT(Data[Nhập-SPC+SPP-NX]*(Data[Year]=BP$1)*(Data[Month]=BP$2)*(Data[Main SKU name_GOM]=$A8)*(Data[SKU name_NHẬP_GOM]=BP$3)))</f>
        <v>274999.99999999994</v>
      </c>
      <c r="BQ8" s="8" cm="1">
        <f t="array" ref="BQ8">IF(BQ$2="FY",SUMPRODUCT(Data[Nhập-SPC+SPP-NX]*(Data[Year]=BQ$1)*(Data[Main SKU name_GOM]=$A8)*(Data[SKU name_NHẬP_GOM]=BQ$3)),SUMPRODUCT(Data[Nhập-SPC+SPP-NX]*(Data[Year]=BQ$1)*(Data[Month]=BQ$2)*(Data[Main SKU name_GOM]=$A8)*(Data[SKU name_NHẬP_GOM]=BQ$3)))</f>
        <v>0</v>
      </c>
      <c r="BR8" s="8" cm="1">
        <f t="array" ref="BR8">IF(BR$2="FY",SUMPRODUCT(Data[Nhập-SPC+SPP-NX]*(Data[Year]=BR$1)*(Data[Main SKU name_GOM]=$A8)*(Data[SKU name_NHẬP_GOM]=BR$3)),SUMPRODUCT(Data[Nhập-SPC+SPP-NX]*(Data[Year]=BR$1)*(Data[Month]=BR$2)*(Data[Main SKU name_GOM]=$A8)*(Data[SKU name_NHẬP_GOM]=BR$3)))</f>
        <v>0</v>
      </c>
      <c r="BS8" s="8" cm="1">
        <f t="array" ref="BS8">IF(BS$2="FY",SUMPRODUCT(Data[Nhập-SPC+SPP-NX]*(Data[Year]=BS$1)*(Data[Main SKU name_GOM]=$A8)*(Data[SKU name_NHẬP_GOM]=BS$3)),SUMPRODUCT(Data[Nhập-SPC+SPP-NX]*(Data[Year]=BS$1)*(Data[Month]=BS$2)*(Data[Main SKU name_GOM]=$A8)*(Data[SKU name_NHẬP_GOM]=BS$3)))</f>
        <v>0</v>
      </c>
      <c r="BT8" s="8" cm="1">
        <f t="array" ref="BT8">IF(BT$2="FY",SUMPRODUCT(Data[Nhập-SPC+SPP-NX]*(Data[Year]=BT$1)*(Data[Main SKU name_GOM]=$A8)*(Data[SKU name_NHẬP_GOM]=BT$3)),SUMPRODUCT(Data[Nhập-SPC+SPP-NX]*(Data[Year]=BT$1)*(Data[Month]=BT$2)*(Data[Main SKU name_GOM]=$A8)*(Data[SKU name_NHẬP_GOM]=BT$3)))</f>
        <v>0</v>
      </c>
      <c r="BU8" s="8" cm="1">
        <f t="array" ref="BU8">IF(BU$2="FY",SUMPRODUCT(Data[Nhập-SPC+SPP-NX]*(Data[Year]=BU$1)*(Data[Main SKU name_GOM]=$A8)*(Data[SKU name_NHẬP_GOM]=BU$3)),SUMPRODUCT(Data[Nhập-SPC+SPP-NX]*(Data[Year]=BU$1)*(Data[Month]=BU$2)*(Data[Main SKU name_GOM]=$A8)*(Data[SKU name_NHẬP_GOM]=BU$3)))</f>
        <v>0</v>
      </c>
      <c r="BV8" s="8">
        <f t="shared" si="5"/>
        <v>4156900.0000000005</v>
      </c>
      <c r="BX8" s="8" cm="1">
        <f t="array" ref="BX8">IF(BX$2="FY",SUMPRODUCT(Data[Nhập-SPC+SPP-NX]*(Data[Year]=BX$1)*(Data[Main SKU name_GOM]=$A8)*(Data[SKU name_NHẬP_GOM]=BX$3)),SUMPRODUCT(Data[Nhập-SPC+SPP-NX]*(Data[Year]=BX$1)*(Data[Month]=BX$2)*(Data[Main SKU name_GOM]=$A8)*(Data[SKU name_NHẬP_GOM]=BX$3)))</f>
        <v>0</v>
      </c>
      <c r="BY8" s="8" cm="1">
        <f t="array" ref="BY8">IF(BY$2="FY",SUMPRODUCT(Data[Nhập-SPC+SPP-NX]*(Data[Year]=BY$1)*(Data[Main SKU name_GOM]=$A8)*(Data[SKU name_NHẬP_GOM]=BY$3)),SUMPRODUCT(Data[Nhập-SPC+SPP-NX]*(Data[Year]=BY$1)*(Data[Month]=BY$2)*(Data[Main SKU name_GOM]=$A8)*(Data[SKU name_NHẬP_GOM]=BY$3)))</f>
        <v>467500.00000000006</v>
      </c>
      <c r="BZ8" s="8" cm="1">
        <f t="array" ref="BZ8">IF(BZ$2="FY",SUMPRODUCT(Data[Nhập-SPC+SPP-NX]*(Data[Year]=BZ$1)*(Data[Main SKU name_GOM]=$A8)*(Data[SKU name_NHẬP_GOM]=BZ$3)),SUMPRODUCT(Data[Nhập-SPC+SPP-NX]*(Data[Year]=BZ$1)*(Data[Month]=BZ$2)*(Data[Main SKU name_GOM]=$A8)*(Data[SKU name_NHẬP_GOM]=BZ$3)))</f>
        <v>2886399.9999999995</v>
      </c>
      <c r="CA8" s="8" cm="1">
        <f t="array" ref="CA8">IF(CA$2="FY",SUMPRODUCT(Data[Nhập-SPC+SPP-NX]*(Data[Year]=CA$1)*(Data[Main SKU name_GOM]=$A8)*(Data[SKU name_NHẬP_GOM]=CA$3)),SUMPRODUCT(Data[Nhập-SPC+SPP-NX]*(Data[Year]=CA$1)*(Data[Month]=CA$2)*(Data[Main SKU name_GOM]=$A8)*(Data[SKU name_NHẬP_GOM]=CA$3)))</f>
        <v>105600.00000000001</v>
      </c>
      <c r="CB8" s="8" cm="1">
        <f t="array" ref="CB8">IF(CB$2="FY",SUMPRODUCT(Data[Nhập-SPC+SPP-NX]*(Data[Year]=CB$1)*(Data[Main SKU name_GOM]=$A8)*(Data[SKU name_NHẬP_GOM]=CB$3)),SUMPRODUCT(Data[Nhập-SPC+SPP-NX]*(Data[Year]=CB$1)*(Data[Month]=CB$2)*(Data[Main SKU name_GOM]=$A8)*(Data[SKU name_NHẬP_GOM]=CB$3)))</f>
        <v>378600</v>
      </c>
      <c r="CC8" s="8" cm="1">
        <f t="array" ref="CC8">IF(CC$2="FY",SUMPRODUCT(Data[Nhập-SPC+SPP-NX]*(Data[Year]=CC$1)*(Data[Main SKU name_GOM]=$A8)*(Data[SKU name_NHẬP_GOM]=CC$3)),SUMPRODUCT(Data[Nhập-SPC+SPP-NX]*(Data[Year]=CC$1)*(Data[Month]=CC$2)*(Data[Main SKU name_GOM]=$A8)*(Data[SKU name_NHẬP_GOM]=CC$3)))</f>
        <v>0</v>
      </c>
      <c r="CD8" s="8" cm="1">
        <f t="array" ref="CD8">IF(CD$2="FY",SUMPRODUCT(Data[Nhập-SPC+SPP-NX]*(Data[Year]=CD$1)*(Data[Main SKU name_GOM]=$A8)*(Data[SKU name_NHẬP_GOM]=CD$3)),SUMPRODUCT(Data[Nhập-SPC+SPP-NX]*(Data[Year]=CD$1)*(Data[Month]=CD$2)*(Data[Main SKU name_GOM]=$A8)*(Data[SKU name_NHẬP_GOM]=CD$3)))</f>
        <v>0</v>
      </c>
      <c r="CE8" s="8" cm="1">
        <f t="array" ref="CE8">IF(CE$2="FY",SUMPRODUCT(Data[Nhập-SPC+SPP-NX]*(Data[Year]=CE$1)*(Data[Main SKU name_GOM]=$A8)*(Data[SKU name_NHẬP_GOM]=CE$3)),SUMPRODUCT(Data[Nhập-SPC+SPP-NX]*(Data[Year]=CE$1)*(Data[Month]=CE$2)*(Data[Main SKU name_GOM]=$A8)*(Data[SKU name_NHẬP_GOM]=CE$3)))</f>
        <v>0</v>
      </c>
      <c r="CF8" s="8" cm="1">
        <f t="array" ref="CF8">IF(CF$2="FY",SUMPRODUCT(Data[Nhập-SPC+SPP-NX]*(Data[Year]=CF$1)*(Data[Main SKU name_GOM]=$A8)*(Data[SKU name_NHẬP_GOM]=CF$3)),SUMPRODUCT(Data[Nhập-SPC+SPP-NX]*(Data[Year]=CF$1)*(Data[Month]=CF$2)*(Data[Main SKU name_GOM]=$A8)*(Data[SKU name_NHẬP_GOM]=CF$3)))</f>
        <v>0</v>
      </c>
      <c r="CG8" s="8" cm="1">
        <f t="array" ref="CG8">IF(CG$2="FY",SUMPRODUCT(Data[Nhập-SPC+SPP-NX]*(Data[Year]=CG$1)*(Data[Main SKU name_GOM]=$A8)*(Data[SKU name_NHẬP_GOM]=CG$3)),SUMPRODUCT(Data[Nhập-SPC+SPP-NX]*(Data[Year]=CG$1)*(Data[Month]=CG$2)*(Data[Main SKU name_GOM]=$A8)*(Data[SKU name_NHẬP_GOM]=CG$3)))</f>
        <v>0</v>
      </c>
      <c r="CH8" s="8">
        <f t="shared" si="6"/>
        <v>3838099.9999999995</v>
      </c>
      <c r="CJ8" s="8" cm="1">
        <f t="array" ref="CJ8">IF(CJ$2="FY",SUMPRODUCT(Data[Nhập-SPC+SPP-NX]*(Data[Year]=CJ$1)*(Data[Main SKU name_GOM]=$A8)*(Data[SKU name_NHẬP_GOM]=CJ$3)),SUMPRODUCT(Data[Nhập-SPC+SPP-NX]*(Data[Year]=CJ$1)*(Data[Month]=CJ$2)*(Data[Main SKU name_GOM]=$A8)*(Data[SKU name_NHẬP_GOM]=CJ$3)))</f>
        <v>0</v>
      </c>
      <c r="CK8" s="8" cm="1">
        <f t="array" ref="CK8">IF(CK$2="FY",SUMPRODUCT(Data[Nhập-SPC+SPP-NX]*(Data[Year]=CK$1)*(Data[Main SKU name_GOM]=$A8)*(Data[SKU name_NHẬP_GOM]=CK$3)),SUMPRODUCT(Data[Nhập-SPC+SPP-NX]*(Data[Year]=CK$1)*(Data[Month]=CK$2)*(Data[Main SKU name_GOM]=$A8)*(Data[SKU name_NHẬP_GOM]=CK$3)))</f>
        <v>0</v>
      </c>
      <c r="CL8" s="8" cm="1">
        <f t="array" ref="CL8">IF(CL$2="FY",SUMPRODUCT(Data[Nhập-SPC+SPP-NX]*(Data[Year]=CL$1)*(Data[Main SKU name_GOM]=$A8)*(Data[SKU name_NHẬP_GOM]=CL$3)),SUMPRODUCT(Data[Nhập-SPC+SPP-NX]*(Data[Year]=CL$1)*(Data[Month]=CL$2)*(Data[Main SKU name_GOM]=$A8)*(Data[SKU name_NHẬP_GOM]=CL$3)))</f>
        <v>126500</v>
      </c>
      <c r="CM8" s="8" cm="1">
        <f t="array" ref="CM8">IF(CM$2="FY",SUMPRODUCT(Data[Nhập-SPC+SPP-NX]*(Data[Year]=CM$1)*(Data[Main SKU name_GOM]=$A8)*(Data[SKU name_NHẬP_GOM]=CM$3)),SUMPRODUCT(Data[Nhập-SPC+SPP-NX]*(Data[Year]=CM$1)*(Data[Month]=CM$2)*(Data[Main SKU name_GOM]=$A8)*(Data[SKU name_NHẬP_GOM]=CM$3)))</f>
        <v>3300</v>
      </c>
      <c r="CN8" s="8" cm="1">
        <f t="array" ref="CN8">IF(CN$2="FY",SUMPRODUCT(Data[Nhập-SPC+SPP-NX]*(Data[Year]=CN$1)*(Data[Main SKU name_GOM]=$A8)*(Data[SKU name_NHẬP_GOM]=CN$3)),SUMPRODUCT(Data[Nhập-SPC+SPP-NX]*(Data[Year]=CN$1)*(Data[Month]=CN$2)*(Data[Main SKU name_GOM]=$A8)*(Data[SKU name_NHẬP_GOM]=CN$3)))</f>
        <v>42600</v>
      </c>
      <c r="CO8" s="8" cm="1">
        <f t="array" ref="CO8">IF(CO$2="FY",SUMPRODUCT(Data[Nhập-SPC+SPP-NX]*(Data[Year]=CO$1)*(Data[Main SKU name_GOM]=$A8)*(Data[SKU name_NHẬP_GOM]=CO$3)),SUMPRODUCT(Data[Nhập-SPC+SPP-NX]*(Data[Year]=CO$1)*(Data[Month]=CO$2)*(Data[Main SKU name_GOM]=$A8)*(Data[SKU name_NHẬP_GOM]=CO$3)))</f>
        <v>0</v>
      </c>
      <c r="CP8" s="8" cm="1">
        <f t="array" ref="CP8">IF(CP$2="FY",SUMPRODUCT(Data[Nhập-SPC+SPP-NX]*(Data[Year]=CP$1)*(Data[Main SKU name_GOM]=$A8)*(Data[SKU name_NHẬP_GOM]=CP$3)),SUMPRODUCT(Data[Nhập-SPC+SPP-NX]*(Data[Year]=CP$1)*(Data[Month]=CP$2)*(Data[Main SKU name_GOM]=$A8)*(Data[SKU name_NHẬP_GOM]=CP$3)))</f>
        <v>0</v>
      </c>
      <c r="CQ8" s="8" cm="1">
        <f t="array" ref="CQ8">IF(CQ$2="FY",SUMPRODUCT(Data[Nhập-SPC+SPP-NX]*(Data[Year]=CQ$1)*(Data[Main SKU name_GOM]=$A8)*(Data[SKU name_NHẬP_GOM]=CQ$3)),SUMPRODUCT(Data[Nhập-SPC+SPP-NX]*(Data[Year]=CQ$1)*(Data[Month]=CQ$2)*(Data[Main SKU name_GOM]=$A8)*(Data[SKU name_NHẬP_GOM]=CQ$3)))</f>
        <v>0</v>
      </c>
      <c r="CR8" s="8" cm="1">
        <f t="array" ref="CR8">IF(CR$2="FY",SUMPRODUCT(Data[Nhập-SPC+SPP-NX]*(Data[Year]=CR$1)*(Data[Main SKU name_GOM]=$A8)*(Data[SKU name_NHẬP_GOM]=CR$3)),SUMPRODUCT(Data[Nhập-SPC+SPP-NX]*(Data[Year]=CR$1)*(Data[Month]=CR$2)*(Data[Main SKU name_GOM]=$A8)*(Data[SKU name_NHẬP_GOM]=CR$3)))</f>
        <v>0</v>
      </c>
      <c r="CS8" s="8" cm="1">
        <f t="array" ref="CS8">IF(CS$2="FY",SUMPRODUCT(Data[Nhập-SPC+SPP-NX]*(Data[Year]=CS$1)*(Data[Main SKU name_GOM]=$A8)*(Data[SKU name_NHẬP_GOM]=CS$3)),SUMPRODUCT(Data[Nhập-SPC+SPP-NX]*(Data[Year]=CS$1)*(Data[Month]=CS$2)*(Data[Main SKU name_GOM]=$A8)*(Data[SKU name_NHẬP_GOM]=CS$3)))</f>
        <v>0</v>
      </c>
      <c r="CT8" s="8">
        <f t="shared" si="7"/>
        <v>172400</v>
      </c>
      <c r="CV8" s="8" cm="1">
        <f t="array" ref="CV8">IF(CV$2="FY",SUMPRODUCT(Data[Nhập-SPC+SPP-NX]*(Data[Year]=CV$1)*(Data[Main SKU name_GOM]=$A8)*(Data[SKU name_NHẬP_GOM]=CV$3)),SUMPRODUCT(Data[Nhập-SPC+SPP-NX]*(Data[Year]=CV$1)*(Data[Month]=CV$2)*(Data[Main SKU name_GOM]=$A8)*(Data[SKU name_NHẬP_GOM]=CV$3)))</f>
        <v>0</v>
      </c>
      <c r="CW8" s="8" cm="1">
        <f t="array" ref="CW8">IF(CW$2="FY",SUMPRODUCT(Data[Nhập-SPC+SPP-NX]*(Data[Year]=CW$1)*(Data[Main SKU name_GOM]=$A8)*(Data[SKU name_NHẬP_GOM]=CW$3)),SUMPRODUCT(Data[Nhập-SPC+SPP-NX]*(Data[Year]=CW$1)*(Data[Month]=CW$2)*(Data[Main SKU name_GOM]=$A8)*(Data[SKU name_NHẬP_GOM]=CW$3)))</f>
        <v>22219</v>
      </c>
      <c r="CX8" s="8" cm="1">
        <f t="array" ref="CX8">IF(CX$2="FY",SUMPRODUCT(Data[Nhập-SPC+SPP-NX]*(Data[Year]=CX$1)*(Data[Main SKU name_GOM]=$A8)*(Data[SKU name_NHẬP_GOM]=CX$3)),SUMPRODUCT(Data[Nhập-SPC+SPP-NX]*(Data[Year]=CX$1)*(Data[Month]=CX$2)*(Data[Main SKU name_GOM]=$A8)*(Data[SKU name_NHẬP_GOM]=CX$3)))</f>
        <v>1029159</v>
      </c>
      <c r="CY8" s="8" cm="1">
        <f t="array" ref="CY8">IF(CY$2="FY",SUMPRODUCT(Data[Nhập-SPC+SPP-NX]*(Data[Year]=CY$1)*(Data[Main SKU name_GOM]=$A8)*(Data[SKU name_NHẬP_GOM]=CY$3)),SUMPRODUCT(Data[Nhập-SPC+SPP-NX]*(Data[Year]=CY$1)*(Data[Month]=CY$2)*(Data[Main SKU name_GOM]=$A8)*(Data[SKU name_NHẬP_GOM]=CY$3)))</f>
        <v>2200</v>
      </c>
      <c r="CZ8" s="8" cm="1">
        <f t="array" ref="CZ8">IF(CZ$2="FY",SUMPRODUCT(Data[Nhập-SPC+SPP-NX]*(Data[Year]=CZ$1)*(Data[Main SKU name_GOM]=$A8)*(Data[SKU name_NHẬP_GOM]=CZ$3)),SUMPRODUCT(Data[Nhập-SPC+SPP-NX]*(Data[Year]=CZ$1)*(Data[Month]=CZ$2)*(Data[Main SKU name_GOM]=$A8)*(Data[SKU name_NHẬP_GOM]=CZ$3)))</f>
        <v>60798</v>
      </c>
      <c r="DA8" s="8" cm="1">
        <f t="array" ref="DA8">IF(DA$2="FY",SUMPRODUCT(Data[Nhập-SPC+SPP-NX]*(Data[Year]=DA$1)*(Data[Main SKU name_GOM]=$A8)*(Data[SKU name_NHẬP_GOM]=DA$3)),SUMPRODUCT(Data[Nhập-SPC+SPP-NX]*(Data[Year]=DA$1)*(Data[Month]=DA$2)*(Data[Main SKU name_GOM]=$A8)*(Data[SKU name_NHẬP_GOM]=DA$3)))</f>
        <v>0</v>
      </c>
      <c r="DB8" s="8" cm="1">
        <f t="array" ref="DB8">IF(DB$2="FY",SUMPRODUCT(Data[Nhập-SPC+SPP-NX]*(Data[Year]=DB$1)*(Data[Main SKU name_GOM]=$A8)*(Data[SKU name_NHẬP_GOM]=DB$3)),SUMPRODUCT(Data[Nhập-SPC+SPP-NX]*(Data[Year]=DB$1)*(Data[Month]=DB$2)*(Data[Main SKU name_GOM]=$A8)*(Data[SKU name_NHẬP_GOM]=DB$3)))</f>
        <v>0</v>
      </c>
      <c r="DC8" s="8" cm="1">
        <f t="array" ref="DC8">IF(DC$2="FY",SUMPRODUCT(Data[Nhập-SPC+SPP-NX]*(Data[Year]=DC$1)*(Data[Main SKU name_GOM]=$A8)*(Data[SKU name_NHẬP_GOM]=DC$3)),SUMPRODUCT(Data[Nhập-SPC+SPP-NX]*(Data[Year]=DC$1)*(Data[Month]=DC$2)*(Data[Main SKU name_GOM]=$A8)*(Data[SKU name_NHẬP_GOM]=DC$3)))</f>
        <v>0</v>
      </c>
      <c r="DD8" s="8" cm="1">
        <f t="array" ref="DD8">IF(DD$2="FY",SUMPRODUCT(Data[Nhập-SPC+SPP-NX]*(Data[Year]=DD$1)*(Data[Main SKU name_GOM]=$A8)*(Data[SKU name_NHẬP_GOM]=DD$3)),SUMPRODUCT(Data[Nhập-SPC+SPP-NX]*(Data[Year]=DD$1)*(Data[Month]=DD$2)*(Data[Main SKU name_GOM]=$A8)*(Data[SKU name_NHẬP_GOM]=DD$3)))</f>
        <v>0</v>
      </c>
      <c r="DE8" s="8" cm="1">
        <f t="array" ref="DE8">IF(DE$2="FY",SUMPRODUCT(Data[Nhập-SPC+SPP-NX]*(Data[Year]=DE$1)*(Data[Main SKU name_GOM]=$A8)*(Data[SKU name_NHẬP_GOM]=DE$3)),SUMPRODUCT(Data[Nhập-SPC+SPP-NX]*(Data[Year]=DE$1)*(Data[Month]=DE$2)*(Data[Main SKU name_GOM]=$A8)*(Data[SKU name_NHẬP_GOM]=DE$3)))</f>
        <v>0</v>
      </c>
      <c r="DF8" s="8">
        <f t="shared" si="8"/>
        <v>1114376</v>
      </c>
      <c r="DH8" s="8" cm="1">
        <f t="array" ref="DH8">IF(DH$2="FY",SUMPRODUCT(Data[Nhập-SPC+SPP-NX]*(Data[Year]=DH$1)*(Data[Main SKU name_GOM]=$A8)*(Data[SKU name_NHẬP_GOM]=DH$3)),SUMPRODUCT(Data[Nhập-SPC+SPP-NX]*(Data[Year]=DH$1)*(Data[Month]=DH$2)*(Data[Main SKU name_GOM]=$A8)*(Data[SKU name_NHẬP_GOM]=DH$3)))</f>
        <v>1100</v>
      </c>
      <c r="DI8" s="8" cm="1">
        <f t="array" ref="DI8">IF(DI$2="FY",SUMPRODUCT(Data[Nhập-SPC+SPP-NX]*(Data[Year]=DI$1)*(Data[Main SKU name_GOM]=$A8)*(Data[SKU name_NHẬP_GOM]=DI$3)),SUMPRODUCT(Data[Nhập-SPC+SPP-NX]*(Data[Year]=DI$1)*(Data[Month]=DI$2)*(Data[Main SKU name_GOM]=$A8)*(Data[SKU name_NHẬP_GOM]=DI$3)))</f>
        <v>132000</v>
      </c>
      <c r="DJ8" s="8" cm="1">
        <f t="array" ref="DJ8">IF(DJ$2="FY",SUMPRODUCT(Data[Nhập-SPC+SPP-NX]*(Data[Year]=DJ$1)*(Data[Main SKU name_GOM]=$A8)*(Data[SKU name_NHẬP_GOM]=DJ$3)),SUMPRODUCT(Data[Nhập-SPC+SPP-NX]*(Data[Year]=DJ$1)*(Data[Month]=DJ$2)*(Data[Main SKU name_GOM]=$A8)*(Data[SKU name_NHẬP_GOM]=DJ$3)))</f>
        <v>1274901</v>
      </c>
      <c r="DK8" s="8" cm="1">
        <f t="array" ref="DK8">IF(DK$2="FY",SUMPRODUCT(Data[Nhập-SPC+SPP-NX]*(Data[Year]=DK$1)*(Data[Main SKU name_GOM]=$A8)*(Data[SKU name_NHẬP_GOM]=DK$3)),SUMPRODUCT(Data[Nhập-SPC+SPP-NX]*(Data[Year]=DK$1)*(Data[Month]=DK$2)*(Data[Main SKU name_GOM]=$A8)*(Data[SKU name_NHẬP_GOM]=DK$3)))</f>
        <v>4100</v>
      </c>
      <c r="DL8" s="8" cm="1">
        <f t="array" ref="DL8">IF(DL$2="FY",SUMPRODUCT(Data[Nhập-SPC+SPP-NX]*(Data[Year]=DL$1)*(Data[Main SKU name_GOM]=$A8)*(Data[SKU name_NHẬP_GOM]=DL$3)),SUMPRODUCT(Data[Nhập-SPC+SPP-NX]*(Data[Year]=DL$1)*(Data[Month]=DL$2)*(Data[Main SKU name_GOM]=$A8)*(Data[SKU name_NHẬP_GOM]=DL$3)))</f>
        <v>87232.5</v>
      </c>
      <c r="DM8" s="8" cm="1">
        <f t="array" ref="DM8">IF(DM$2="FY",SUMPRODUCT(Data[Nhập-SPC+SPP-NX]*(Data[Year]=DM$1)*(Data[Main SKU name_GOM]=$A8)*(Data[SKU name_NHẬP_GOM]=DM$3)),SUMPRODUCT(Data[Nhập-SPC+SPP-NX]*(Data[Year]=DM$1)*(Data[Month]=DM$2)*(Data[Main SKU name_GOM]=$A8)*(Data[SKU name_NHẬP_GOM]=DM$3)))</f>
        <v>0</v>
      </c>
      <c r="DN8" s="8" cm="1">
        <f t="array" ref="DN8">IF(DN$2="FY",SUMPRODUCT(Data[Nhập-SPC+SPP-NX]*(Data[Year]=DN$1)*(Data[Main SKU name_GOM]=$A8)*(Data[SKU name_NHẬP_GOM]=DN$3)),SUMPRODUCT(Data[Nhập-SPC+SPP-NX]*(Data[Year]=DN$1)*(Data[Month]=DN$2)*(Data[Main SKU name_GOM]=$A8)*(Data[SKU name_NHẬP_GOM]=DN$3)))</f>
        <v>0</v>
      </c>
      <c r="DO8" s="8" cm="1">
        <f t="array" ref="DO8">IF(DO$2="FY",SUMPRODUCT(Data[Nhập-SPC+SPP-NX]*(Data[Year]=DO$1)*(Data[Main SKU name_GOM]=$A8)*(Data[SKU name_NHẬP_GOM]=DO$3)),SUMPRODUCT(Data[Nhập-SPC+SPP-NX]*(Data[Year]=DO$1)*(Data[Month]=DO$2)*(Data[Main SKU name_GOM]=$A8)*(Data[SKU name_NHẬP_GOM]=DO$3)))</f>
        <v>0</v>
      </c>
      <c r="DP8" s="8" cm="1">
        <f t="array" ref="DP8">IF(DP$2="FY",SUMPRODUCT(Data[Nhập-SPC+SPP-NX]*(Data[Year]=DP$1)*(Data[Main SKU name_GOM]=$A8)*(Data[SKU name_NHẬP_GOM]=DP$3)),SUMPRODUCT(Data[Nhập-SPC+SPP-NX]*(Data[Year]=DP$1)*(Data[Month]=DP$2)*(Data[Main SKU name_GOM]=$A8)*(Data[SKU name_NHẬP_GOM]=DP$3)))</f>
        <v>0</v>
      </c>
      <c r="DQ8" s="8" cm="1">
        <f t="array" ref="DQ8">IF(DQ$2="FY",SUMPRODUCT(Data[Nhập-SPC+SPP-NX]*(Data[Year]=DQ$1)*(Data[Main SKU name_GOM]=$A8)*(Data[SKU name_NHẬP_GOM]=DQ$3)),SUMPRODUCT(Data[Nhập-SPC+SPP-NX]*(Data[Year]=DQ$1)*(Data[Month]=DQ$2)*(Data[Main SKU name_GOM]=$A8)*(Data[SKU name_NHẬP_GOM]=DQ$3)))</f>
        <v>0</v>
      </c>
      <c r="DR8" s="8">
        <f t="shared" si="9"/>
        <v>1499333.5</v>
      </c>
      <c r="DT8" s="8" cm="1">
        <f t="array" ref="DT8">IF(DT$2="FY",SUMPRODUCT(Data[Nhập-SPC+SPP-NX]*(Data[Year]=DT$1)*(Data[Main SKU name_GOM]=$A8)*(Data[SKU name_NHẬP_GOM]=DT$3)),SUMPRODUCT(Data[Nhập-SPC+SPP-NX]*(Data[Year]=DT$1)*(Data[Month]=DT$2)*(Data[Main SKU name_GOM]=$A8)*(Data[SKU name_NHẬP_GOM]=DT$3)))</f>
        <v>0</v>
      </c>
      <c r="DU8" s="8" cm="1">
        <f t="array" ref="DU8">IF(DU$2="FY",SUMPRODUCT(Data[Nhập-SPC+SPP-NX]*(Data[Year]=DU$1)*(Data[Main SKU name_GOM]=$A8)*(Data[SKU name_NHẬP_GOM]=DU$3)),SUMPRODUCT(Data[Nhập-SPC+SPP-NX]*(Data[Year]=DU$1)*(Data[Month]=DU$2)*(Data[Main SKU name_GOM]=$A8)*(Data[SKU name_NHẬP_GOM]=DU$3)))</f>
        <v>81400</v>
      </c>
      <c r="DV8" s="8" cm="1">
        <f t="array" ref="DV8">IF(DV$2="FY",SUMPRODUCT(Data[Nhập-SPC+SPP-NX]*(Data[Year]=DV$1)*(Data[Main SKU name_GOM]=$A8)*(Data[SKU name_NHẬP_GOM]=DV$3)),SUMPRODUCT(Data[Nhập-SPC+SPP-NX]*(Data[Year]=DV$1)*(Data[Month]=DV$2)*(Data[Main SKU name_GOM]=$A8)*(Data[SKU name_NHẬP_GOM]=DV$3)))</f>
        <v>1271310</v>
      </c>
      <c r="DW8" s="8" cm="1">
        <f t="array" ref="DW8">IF(DW$2="FY",SUMPRODUCT(Data[Nhập-SPC+SPP-NX]*(Data[Year]=DW$1)*(Data[Main SKU name_GOM]=$A8)*(Data[SKU name_NHẬP_GOM]=DW$3)),SUMPRODUCT(Data[Nhập-SPC+SPP-NX]*(Data[Year]=DW$1)*(Data[Month]=DW$2)*(Data[Main SKU name_GOM]=$A8)*(Data[SKU name_NHẬP_GOM]=DW$3)))</f>
        <v>52800</v>
      </c>
      <c r="DX8" s="8" cm="1">
        <f t="array" ref="DX8">IF(DX$2="FY",SUMPRODUCT(Data[Nhập-SPC+SPP-NX]*(Data[Year]=DX$1)*(Data[Main SKU name_GOM]=$A8)*(Data[SKU name_NHẬP_GOM]=DX$3)),SUMPRODUCT(Data[Nhập-SPC+SPP-NX]*(Data[Year]=DX$1)*(Data[Month]=DX$2)*(Data[Main SKU name_GOM]=$A8)*(Data[SKU name_NHẬP_GOM]=DX$3)))</f>
        <v>583106</v>
      </c>
      <c r="DY8" s="8" cm="1">
        <f t="array" ref="DY8">IF(DY$2="FY",SUMPRODUCT(Data[Nhập-SPC+SPP-NX]*(Data[Year]=DY$1)*(Data[Main SKU name_GOM]=$A8)*(Data[SKU name_NHẬP_GOM]=DY$3)),SUMPRODUCT(Data[Nhập-SPC+SPP-NX]*(Data[Year]=DY$1)*(Data[Month]=DY$2)*(Data[Main SKU name_GOM]=$A8)*(Data[SKU name_NHẬP_GOM]=DY$3)))</f>
        <v>0</v>
      </c>
      <c r="DZ8" s="8" cm="1">
        <f t="array" ref="DZ8">IF(DZ$2="FY",SUMPRODUCT(Data[Nhập-SPC+SPP-NX]*(Data[Year]=DZ$1)*(Data[Main SKU name_GOM]=$A8)*(Data[SKU name_NHẬP_GOM]=DZ$3)),SUMPRODUCT(Data[Nhập-SPC+SPP-NX]*(Data[Year]=DZ$1)*(Data[Month]=DZ$2)*(Data[Main SKU name_GOM]=$A8)*(Data[SKU name_NHẬP_GOM]=DZ$3)))</f>
        <v>0</v>
      </c>
      <c r="EA8" s="8" cm="1">
        <f t="array" ref="EA8">IF(EA$2="FY",SUMPRODUCT(Data[Nhập-SPC+SPP-NX]*(Data[Year]=EA$1)*(Data[Main SKU name_GOM]=$A8)*(Data[SKU name_NHẬP_GOM]=EA$3)),SUMPRODUCT(Data[Nhập-SPC+SPP-NX]*(Data[Year]=EA$1)*(Data[Month]=EA$2)*(Data[Main SKU name_GOM]=$A8)*(Data[SKU name_NHẬP_GOM]=EA$3)))</f>
        <v>0</v>
      </c>
      <c r="EB8" s="8" cm="1">
        <f t="array" ref="EB8">IF(EB$2="FY",SUMPRODUCT(Data[Nhập-SPC+SPP-NX]*(Data[Year]=EB$1)*(Data[Main SKU name_GOM]=$A8)*(Data[SKU name_NHẬP_GOM]=EB$3)),SUMPRODUCT(Data[Nhập-SPC+SPP-NX]*(Data[Year]=EB$1)*(Data[Month]=EB$2)*(Data[Main SKU name_GOM]=$A8)*(Data[SKU name_NHẬP_GOM]=EB$3)))</f>
        <v>0</v>
      </c>
      <c r="EC8" s="8" cm="1">
        <f t="array" ref="EC8">IF(EC$2="FY",SUMPRODUCT(Data[Nhập-SPC+SPP-NX]*(Data[Year]=EC$1)*(Data[Main SKU name_GOM]=$A8)*(Data[SKU name_NHẬP_GOM]=EC$3)),SUMPRODUCT(Data[Nhập-SPC+SPP-NX]*(Data[Year]=EC$1)*(Data[Month]=EC$2)*(Data[Main SKU name_GOM]=$A8)*(Data[SKU name_NHẬP_GOM]=EC$3)))</f>
        <v>0</v>
      </c>
      <c r="ED8" s="8">
        <f t="shared" si="10"/>
        <v>1988616</v>
      </c>
      <c r="EF8" s="8" cm="1">
        <f t="array" ref="EF8">IF(EF$2="FY",SUMPRODUCT(Data[Nhập-SPC+SPP-NX]*(Data[Year]=EF$1)*(Data[Main SKU name_GOM]=$A8)*(Data[SKU name_NHẬP_GOM]=EF$3)),SUMPRODUCT(Data[Nhập-SPC+SPP-NX]*(Data[Year]=EF$1)*(Data[Month]=EF$2)*(Data[Main SKU name_GOM]=$A8)*(Data[SKU name_NHẬP_GOM]=EF$3)))</f>
        <v>0</v>
      </c>
      <c r="EG8" s="8" cm="1">
        <f t="array" ref="EG8">IF(EG$2="FY",SUMPRODUCT(Data[Nhập-SPC+SPP-NX]*(Data[Year]=EG$1)*(Data[Main SKU name_GOM]=$A8)*(Data[SKU name_NHẬP_GOM]=EG$3)),SUMPRODUCT(Data[Nhập-SPC+SPP-NX]*(Data[Year]=EG$1)*(Data[Month]=EG$2)*(Data[Main SKU name_GOM]=$A8)*(Data[SKU name_NHẬP_GOM]=EG$3)))</f>
        <v>244200</v>
      </c>
      <c r="EH8" s="8" cm="1">
        <f t="array" ref="EH8">IF(EH$2="FY",SUMPRODUCT(Data[Nhập-SPC+SPP-NX]*(Data[Year]=EH$1)*(Data[Main SKU name_GOM]=$A8)*(Data[SKU name_NHẬP_GOM]=EH$3)),SUMPRODUCT(Data[Nhập-SPC+SPP-NX]*(Data[Year]=EH$1)*(Data[Month]=EH$2)*(Data[Main SKU name_GOM]=$A8)*(Data[SKU name_NHẬP_GOM]=EH$3)))</f>
        <v>1493800</v>
      </c>
      <c r="EI8" s="8" cm="1">
        <f t="array" ref="EI8">IF(EI$2="FY",SUMPRODUCT(Data[Nhập-SPC+SPP-NX]*(Data[Year]=EI$1)*(Data[Main SKU name_GOM]=$A8)*(Data[SKU name_NHẬP_GOM]=EI$3)),SUMPRODUCT(Data[Nhập-SPC+SPP-NX]*(Data[Year]=EI$1)*(Data[Month]=EI$2)*(Data[Main SKU name_GOM]=$A8)*(Data[SKU name_NHẬP_GOM]=EI$3)))</f>
        <v>5500</v>
      </c>
      <c r="EJ8" s="8" cm="1">
        <f t="array" ref="EJ8">IF(EJ$2="FY",SUMPRODUCT(Data[Nhập-SPC+SPP-NX]*(Data[Year]=EJ$1)*(Data[Main SKU name_GOM]=$A8)*(Data[SKU name_NHẬP_GOM]=EJ$3)),SUMPRODUCT(Data[Nhập-SPC+SPP-NX]*(Data[Year]=EJ$1)*(Data[Month]=EJ$2)*(Data[Main SKU name_GOM]=$A8)*(Data[SKU name_NHẬP_GOM]=EJ$3)))</f>
        <v>19835</v>
      </c>
      <c r="EK8" s="8" cm="1">
        <f t="array" ref="EK8">IF(EK$2="FY",SUMPRODUCT(Data[Nhập-SPC+SPP-NX]*(Data[Year]=EK$1)*(Data[Main SKU name_GOM]=$A8)*(Data[SKU name_NHẬP_GOM]=EK$3)),SUMPRODUCT(Data[Nhập-SPC+SPP-NX]*(Data[Year]=EK$1)*(Data[Month]=EK$2)*(Data[Main SKU name_GOM]=$A8)*(Data[SKU name_NHẬP_GOM]=EK$3)))</f>
        <v>0</v>
      </c>
      <c r="EL8" s="8" cm="1">
        <f t="array" ref="EL8">IF(EL$2="FY",SUMPRODUCT(Data[Nhập-SPC+SPP-NX]*(Data[Year]=EL$1)*(Data[Main SKU name_GOM]=$A8)*(Data[SKU name_NHẬP_GOM]=EL$3)),SUMPRODUCT(Data[Nhập-SPC+SPP-NX]*(Data[Year]=EL$1)*(Data[Month]=EL$2)*(Data[Main SKU name_GOM]=$A8)*(Data[SKU name_NHẬP_GOM]=EL$3)))</f>
        <v>0</v>
      </c>
      <c r="EM8" s="8" cm="1">
        <f t="array" ref="EM8">IF(EM$2="FY",SUMPRODUCT(Data[Nhập-SPC+SPP-NX]*(Data[Year]=EM$1)*(Data[Main SKU name_GOM]=$A8)*(Data[SKU name_NHẬP_GOM]=EM$3)),SUMPRODUCT(Data[Nhập-SPC+SPP-NX]*(Data[Year]=EM$1)*(Data[Month]=EM$2)*(Data[Main SKU name_GOM]=$A8)*(Data[SKU name_NHẬP_GOM]=EM$3)))</f>
        <v>0</v>
      </c>
      <c r="EN8" s="8" cm="1">
        <f t="array" ref="EN8">IF(EN$2="FY",SUMPRODUCT(Data[Nhập-SPC+SPP-NX]*(Data[Year]=EN$1)*(Data[Main SKU name_GOM]=$A8)*(Data[SKU name_NHẬP_GOM]=EN$3)),SUMPRODUCT(Data[Nhập-SPC+SPP-NX]*(Data[Year]=EN$1)*(Data[Month]=EN$2)*(Data[Main SKU name_GOM]=$A8)*(Data[SKU name_NHẬP_GOM]=EN$3)))</f>
        <v>0</v>
      </c>
      <c r="EO8" s="8" cm="1">
        <f t="array" ref="EO8">IF(EO$2="FY",SUMPRODUCT(Data[Nhập-SPC+SPP-NX]*(Data[Year]=EO$1)*(Data[Main SKU name_GOM]=$A8)*(Data[SKU name_NHẬP_GOM]=EO$3)),SUMPRODUCT(Data[Nhập-SPC+SPP-NX]*(Data[Year]=EO$1)*(Data[Month]=EO$2)*(Data[Main SKU name_GOM]=$A8)*(Data[SKU name_NHẬP_GOM]=EO$3)))</f>
        <v>0</v>
      </c>
      <c r="EP8" s="8">
        <f t="shared" si="11"/>
        <v>1763335</v>
      </c>
      <c r="ER8" s="8" cm="1">
        <f t="array" ref="ER8">IF(ER$2="FY",SUMPRODUCT(Data[Nhập-SPC+SPP-NX]*(Data[Year]=ER$1)*(Data[Main SKU name_GOM]=$A8)*(Data[SKU name_NHẬP_GOM]=ER$3)),SUMPRODUCT(Data[Nhập-SPC+SPP-NX]*(Data[Year]=ER$1)*(Data[Month]=ER$2)*(Data[Main SKU name_GOM]=$A8)*(Data[SKU name_NHẬP_GOM]=ER$3)))</f>
        <v>0</v>
      </c>
      <c r="ES8" s="8" cm="1">
        <f t="array" ref="ES8">IF(ES$2="FY",SUMPRODUCT(Data[Nhập-SPC+SPP-NX]*(Data[Year]=ES$1)*(Data[Main SKU name_GOM]=$A8)*(Data[SKU name_NHẬP_GOM]=ES$3)),SUMPRODUCT(Data[Nhập-SPC+SPP-NX]*(Data[Year]=ES$1)*(Data[Month]=ES$2)*(Data[Main SKU name_GOM]=$A8)*(Data[SKU name_NHẬP_GOM]=ES$3)))</f>
        <v>102300.00000000001</v>
      </c>
      <c r="ET8" s="8" cm="1">
        <f t="array" ref="ET8">IF(ET$2="FY",SUMPRODUCT(Data[Nhập-SPC+SPP-NX]*(Data[Year]=ET$1)*(Data[Main SKU name_GOM]=$A8)*(Data[SKU name_NHẬP_GOM]=ET$3)),SUMPRODUCT(Data[Nhập-SPC+SPP-NX]*(Data[Year]=ET$1)*(Data[Month]=ET$2)*(Data[Main SKU name_GOM]=$A8)*(Data[SKU name_NHẬP_GOM]=ET$3)))</f>
        <v>1734700</v>
      </c>
      <c r="EU8" s="8" cm="1">
        <f t="array" ref="EU8">IF(EU$2="FY",SUMPRODUCT(Data[Nhập-SPC+SPP-NX]*(Data[Year]=EU$1)*(Data[Main SKU name_GOM]=$A8)*(Data[SKU name_NHẬP_GOM]=EU$3)),SUMPRODUCT(Data[Nhập-SPC+SPP-NX]*(Data[Year]=EU$1)*(Data[Month]=EU$2)*(Data[Main SKU name_GOM]=$A8)*(Data[SKU name_NHẬP_GOM]=EU$3)))</f>
        <v>2200</v>
      </c>
      <c r="EV8" s="8" cm="1">
        <f t="array" ref="EV8">IF(EV$2="FY",SUMPRODUCT(Data[Nhập-SPC+SPP-NX]*(Data[Year]=EV$1)*(Data[Main SKU name_GOM]=$A8)*(Data[SKU name_NHẬP_GOM]=EV$3)),SUMPRODUCT(Data[Nhập-SPC+SPP-NX]*(Data[Year]=EV$1)*(Data[Month]=EV$2)*(Data[Main SKU name_GOM]=$A8)*(Data[SKU name_NHẬP_GOM]=EV$3)))</f>
        <v>13200</v>
      </c>
      <c r="EW8" s="8" cm="1">
        <f t="array" ref="EW8">IF(EW$2="FY",SUMPRODUCT(Data[Nhập-SPC+SPP-NX]*(Data[Year]=EW$1)*(Data[Main SKU name_GOM]=$A8)*(Data[SKU name_NHẬP_GOM]=EW$3)),SUMPRODUCT(Data[Nhập-SPC+SPP-NX]*(Data[Year]=EW$1)*(Data[Month]=EW$2)*(Data[Main SKU name_GOM]=$A8)*(Data[SKU name_NHẬP_GOM]=EW$3)))</f>
        <v>0</v>
      </c>
      <c r="EX8" s="8" cm="1">
        <f t="array" ref="EX8">IF(EX$2="FY",SUMPRODUCT(Data[Nhập-SPC+SPP-NX]*(Data[Year]=EX$1)*(Data[Main SKU name_GOM]=$A8)*(Data[SKU name_NHẬP_GOM]=EX$3)),SUMPRODUCT(Data[Nhập-SPC+SPP-NX]*(Data[Year]=EX$1)*(Data[Month]=EX$2)*(Data[Main SKU name_GOM]=$A8)*(Data[SKU name_NHẬP_GOM]=EX$3)))</f>
        <v>0</v>
      </c>
      <c r="EY8" s="8" cm="1">
        <f t="array" ref="EY8">IF(EY$2="FY",SUMPRODUCT(Data[Nhập-SPC+SPP-NX]*(Data[Year]=EY$1)*(Data[Main SKU name_GOM]=$A8)*(Data[SKU name_NHẬP_GOM]=EY$3)),SUMPRODUCT(Data[Nhập-SPC+SPP-NX]*(Data[Year]=EY$1)*(Data[Month]=EY$2)*(Data[Main SKU name_GOM]=$A8)*(Data[SKU name_NHẬP_GOM]=EY$3)))</f>
        <v>13200</v>
      </c>
      <c r="EZ8" s="8" cm="1">
        <f t="array" ref="EZ8">IF(EZ$2="FY",SUMPRODUCT(Data[Nhập-SPC+SPP-NX]*(Data[Year]=EZ$1)*(Data[Main SKU name_GOM]=$A8)*(Data[SKU name_NHẬP_GOM]=EZ$3)),SUMPRODUCT(Data[Nhập-SPC+SPP-NX]*(Data[Year]=EZ$1)*(Data[Month]=EZ$2)*(Data[Main SKU name_GOM]=$A8)*(Data[SKU name_NHẬP_GOM]=EZ$3)))</f>
        <v>3300</v>
      </c>
      <c r="FA8" s="8" cm="1">
        <f t="array" ref="FA8">IF(FA$2="FY",SUMPRODUCT(Data[Nhập-SPC+SPP-NX]*(Data[Year]=FA$1)*(Data[Main SKU name_GOM]=$A8)*(Data[SKU name_NHẬP_GOM]=FA$3)),SUMPRODUCT(Data[Nhập-SPC+SPP-NX]*(Data[Year]=FA$1)*(Data[Month]=FA$2)*(Data[Main SKU name_GOM]=$A8)*(Data[SKU name_NHẬP_GOM]=FA$3)))</f>
        <v>0</v>
      </c>
      <c r="FB8" s="8">
        <f t="shared" si="12"/>
        <v>1868900</v>
      </c>
    </row>
    <row r="9" spans="1:158" ht="15" thickBot="1" x14ac:dyDescent="0.4">
      <c r="A9" s="5" t="s">
        <v>71</v>
      </c>
      <c r="B9" t="s">
        <v>71</v>
      </c>
      <c r="D9" s="8" cm="1">
        <f t="array" ref="D9">IF(D$2="FY",SUMPRODUCT(Data[Nhập-SPC+SPP-NX]*(Data[Year]=D$1)*(Data[Main SKU name_GOM]=$A9)*(Data[SKU name_NHẬP_GOM]=D$3)),SUMPRODUCT(Data[Nhập-SPC+SPP-NX]*(Data[Year]=D$1)*(Data[Month]=D$2)*(Data[Main SKU name_GOM]=$A9)*(Data[SKU name_NHẬP_GOM]=D$3)))</f>
        <v>0</v>
      </c>
      <c r="E9" s="8" cm="1">
        <f t="array" ref="E9">IF(E$2="FY",SUMPRODUCT(Data[Nhập-SPC+SPP-NX]*(Data[Year]=E$1)*(Data[Main SKU name_GOM]=$A9)*(Data[SKU name_NHẬP_GOM]=E$3)),SUMPRODUCT(Data[Nhập-SPC+SPP-NX]*(Data[Year]=E$1)*(Data[Month]=E$2)*(Data[Main SKU name_GOM]=$A9)*(Data[SKU name_NHẬP_GOM]=E$3)))</f>
        <v>0</v>
      </c>
      <c r="F9" s="8" cm="1">
        <f t="array" ref="F9">IF(F$2="FY",SUMPRODUCT(Data[Nhập-SPC+SPP-NX]*(Data[Year]=F$1)*(Data[Main SKU name_GOM]=$A9)*(Data[SKU name_NHẬP_GOM]=F$3)),SUMPRODUCT(Data[Nhập-SPC+SPP-NX]*(Data[Year]=F$1)*(Data[Month]=F$2)*(Data[Main SKU name_GOM]=$A9)*(Data[SKU name_NHẬP_GOM]=F$3)))</f>
        <v>0</v>
      </c>
      <c r="G9" s="8" cm="1">
        <f t="array" ref="G9">IF(G$2="FY",SUMPRODUCT(Data[Nhập-SPC+SPP-NX]*(Data[Year]=G$1)*(Data[Main SKU name_GOM]=$A9)*(Data[SKU name_NHẬP_GOM]=G$3)),SUMPRODUCT(Data[Nhập-SPC+SPP-NX]*(Data[Year]=G$1)*(Data[Month]=G$2)*(Data[Main SKU name_GOM]=$A9)*(Data[SKU name_NHẬP_GOM]=G$3)))</f>
        <v>2200</v>
      </c>
      <c r="H9" s="8" cm="1">
        <f t="array" ref="H9">IF(H$2="FY",SUMPRODUCT(Data[Nhập-SPC+SPP-NX]*(Data[Year]=H$1)*(Data[Main SKU name_GOM]=$A9)*(Data[SKU name_NHẬP_GOM]=H$3)),SUMPRODUCT(Data[Nhập-SPC+SPP-NX]*(Data[Year]=H$1)*(Data[Month]=H$2)*(Data[Main SKU name_GOM]=$A9)*(Data[SKU name_NHẬP_GOM]=H$3)))</f>
        <v>222200</v>
      </c>
      <c r="I9" s="8" cm="1">
        <f t="array" ref="I9">IF(I$2="FY",SUMPRODUCT(Data[Nhập-SPC+SPP-NX]*(Data[Year]=I$1)*(Data[Main SKU name_GOM]=$A9)*(Data[SKU name_NHẬP_GOM]=I$3)),SUMPRODUCT(Data[Nhập-SPC+SPP-NX]*(Data[Year]=I$1)*(Data[Month]=I$2)*(Data[Main SKU name_GOM]=$A9)*(Data[SKU name_NHẬP_GOM]=I$3)))</f>
        <v>0</v>
      </c>
      <c r="J9" s="8" cm="1">
        <f t="array" ref="J9">IF(J$2="FY",SUMPRODUCT(Data[Nhập-SPC+SPP-NX]*(Data[Year]=J$1)*(Data[Main SKU name_GOM]=$A9)*(Data[SKU name_NHẬP_GOM]=J$3)),SUMPRODUCT(Data[Nhập-SPC+SPP-NX]*(Data[Year]=J$1)*(Data[Month]=J$2)*(Data[Main SKU name_GOM]=$A9)*(Data[SKU name_NHẬP_GOM]=J$3)))</f>
        <v>0</v>
      </c>
      <c r="K9" s="8" cm="1">
        <f t="array" ref="K9">IF(K$2="FY",SUMPRODUCT(Data[Nhập-SPC+SPP-NX]*(Data[Year]=K$1)*(Data[Main SKU name_GOM]=$A9)*(Data[SKU name_NHẬP_GOM]=K$3)),SUMPRODUCT(Data[Nhập-SPC+SPP-NX]*(Data[Year]=K$1)*(Data[Month]=K$2)*(Data[Main SKU name_GOM]=$A9)*(Data[SKU name_NHẬP_GOM]=K$3)))</f>
        <v>0</v>
      </c>
      <c r="L9" s="8" cm="1">
        <f t="array" ref="L9">IF(L$2="FY",SUMPRODUCT(Data[Nhập-SPC+SPP-NX]*(Data[Year]=L$1)*(Data[Main SKU name_GOM]=$A9)*(Data[SKU name_NHẬP_GOM]=L$3)),SUMPRODUCT(Data[Nhập-SPC+SPP-NX]*(Data[Year]=L$1)*(Data[Month]=L$2)*(Data[Main SKU name_GOM]=$A9)*(Data[SKU name_NHẬP_GOM]=L$3)))</f>
        <v>0</v>
      </c>
      <c r="M9" s="8" cm="1">
        <f t="array" ref="M9">IF(M$2="FY",SUMPRODUCT(Data[Nhập-SPC+SPP-NX]*(Data[Year]=M$1)*(Data[Main SKU name_GOM]=$A9)*(Data[SKU name_NHẬP_GOM]=M$3)),SUMPRODUCT(Data[Nhập-SPC+SPP-NX]*(Data[Year]=M$1)*(Data[Month]=M$2)*(Data[Main SKU name_GOM]=$A9)*(Data[SKU name_NHẬP_GOM]=M$3)))</f>
        <v>0</v>
      </c>
      <c r="N9" s="13">
        <f t="shared" si="0"/>
        <v>224400</v>
      </c>
      <c r="P9" s="8" cm="1">
        <f t="array" ref="P9">IF(P$2="FY",SUMPRODUCT(Data[Nhập-SPC+SPP-NX]*(Data[Year]=P$1)*(Data[Main SKU name_GOM]=$A9)*(Data[SKU name_NHẬP_GOM]=P$3)),SUMPRODUCT(Data[Nhập-SPC+SPP-NX]*(Data[Year]=P$1)*(Data[Month]=P$2)*(Data[Main SKU name_GOM]=$A9)*(Data[SKU name_NHẬP_GOM]=P$3)))</f>
        <v>0</v>
      </c>
      <c r="Q9" s="8" cm="1">
        <f t="array" ref="Q9">IF(Q$2="FY",SUMPRODUCT(Data[Nhập-SPC+SPP-NX]*(Data[Year]=Q$1)*(Data[Main SKU name_GOM]=$A9)*(Data[SKU name_NHẬP_GOM]=Q$3)),SUMPRODUCT(Data[Nhập-SPC+SPP-NX]*(Data[Year]=Q$1)*(Data[Month]=Q$2)*(Data[Main SKU name_GOM]=$A9)*(Data[SKU name_NHẬP_GOM]=Q$3)))</f>
        <v>0</v>
      </c>
      <c r="R9" s="8" cm="1">
        <f t="array" ref="R9">IF(R$2="FY",SUMPRODUCT(Data[Nhập-SPC+SPP-NX]*(Data[Year]=R$1)*(Data[Main SKU name_GOM]=$A9)*(Data[SKU name_NHẬP_GOM]=R$3)),SUMPRODUCT(Data[Nhập-SPC+SPP-NX]*(Data[Year]=R$1)*(Data[Month]=R$2)*(Data[Main SKU name_GOM]=$A9)*(Data[SKU name_NHẬP_GOM]=R$3)))</f>
        <v>0</v>
      </c>
      <c r="S9" s="8" cm="1">
        <f t="array" ref="S9">IF(S$2="FY",SUMPRODUCT(Data[Nhập-SPC+SPP-NX]*(Data[Year]=S$1)*(Data[Main SKU name_GOM]=$A9)*(Data[SKU name_NHẬP_GOM]=S$3)),SUMPRODUCT(Data[Nhập-SPC+SPP-NX]*(Data[Year]=S$1)*(Data[Month]=S$2)*(Data[Main SKU name_GOM]=$A9)*(Data[SKU name_NHẬP_GOM]=S$3)))</f>
        <v>0</v>
      </c>
      <c r="T9" s="8" cm="1">
        <f t="array" ref="T9">IF(T$2="FY",SUMPRODUCT(Data[Nhập-SPC+SPP-NX]*(Data[Year]=T$1)*(Data[Main SKU name_GOM]=$A9)*(Data[SKU name_NHẬP_GOM]=T$3)),SUMPRODUCT(Data[Nhập-SPC+SPP-NX]*(Data[Year]=T$1)*(Data[Month]=T$2)*(Data[Main SKU name_GOM]=$A9)*(Data[SKU name_NHẬP_GOM]=T$3)))</f>
        <v>0</v>
      </c>
      <c r="U9" s="8" cm="1">
        <f t="array" ref="U9">IF(U$2="FY",SUMPRODUCT(Data[Nhập-SPC+SPP-NX]*(Data[Year]=U$1)*(Data[Main SKU name_GOM]=$A9)*(Data[SKU name_NHẬP_GOM]=U$3)),SUMPRODUCT(Data[Nhập-SPC+SPP-NX]*(Data[Year]=U$1)*(Data[Month]=U$2)*(Data[Main SKU name_GOM]=$A9)*(Data[SKU name_NHẬP_GOM]=U$3)))</f>
        <v>0</v>
      </c>
      <c r="V9" s="8" cm="1">
        <f t="array" ref="V9">IF(V$2="FY",SUMPRODUCT(Data[Nhập-SPC+SPP-NX]*(Data[Year]=V$1)*(Data[Main SKU name_GOM]=$A9)*(Data[SKU name_NHẬP_GOM]=V$3)),SUMPRODUCT(Data[Nhập-SPC+SPP-NX]*(Data[Year]=V$1)*(Data[Month]=V$2)*(Data[Main SKU name_GOM]=$A9)*(Data[SKU name_NHẬP_GOM]=V$3)))</f>
        <v>0</v>
      </c>
      <c r="W9" s="8" cm="1">
        <f t="array" ref="W9">IF(W$2="FY",SUMPRODUCT(Data[Nhập-SPC+SPP-NX]*(Data[Year]=W$1)*(Data[Main SKU name_GOM]=$A9)*(Data[SKU name_NHẬP_GOM]=W$3)),SUMPRODUCT(Data[Nhập-SPC+SPP-NX]*(Data[Year]=W$1)*(Data[Month]=W$2)*(Data[Main SKU name_GOM]=$A9)*(Data[SKU name_NHẬP_GOM]=W$3)))</f>
        <v>0</v>
      </c>
      <c r="X9" s="8" cm="1">
        <f t="array" ref="X9">IF(X$2="FY",SUMPRODUCT(Data[Nhập-SPC+SPP-NX]*(Data[Year]=X$1)*(Data[Main SKU name_GOM]=$A9)*(Data[SKU name_NHẬP_GOM]=X$3)),SUMPRODUCT(Data[Nhập-SPC+SPP-NX]*(Data[Year]=X$1)*(Data[Month]=X$2)*(Data[Main SKU name_GOM]=$A9)*(Data[SKU name_NHẬP_GOM]=X$3)))</f>
        <v>0</v>
      </c>
      <c r="Y9" s="8" cm="1">
        <f t="array" ref="Y9">IF(Y$2="FY",SUMPRODUCT(Data[Nhập-SPC+SPP-NX]*(Data[Year]=Y$1)*(Data[Main SKU name_GOM]=$A9)*(Data[SKU name_NHẬP_GOM]=Y$3)),SUMPRODUCT(Data[Nhập-SPC+SPP-NX]*(Data[Year]=Y$1)*(Data[Month]=Y$2)*(Data[Main SKU name_GOM]=$A9)*(Data[SKU name_NHẬP_GOM]=Y$3)))</f>
        <v>0</v>
      </c>
      <c r="Z9" s="8">
        <f t="shared" si="1"/>
        <v>0</v>
      </c>
      <c r="AB9" s="8" cm="1">
        <f t="array" ref="AB9">IF(AB$2="FY",SUMPRODUCT(Data[Nhập-SPC+SPP-NX]*(Data[Year]=AB$1)*(Data[Main SKU name_GOM]=$A9)*(Data[SKU name_NHẬP_GOM]=AB$3)),SUMPRODUCT(Data[Nhập-SPC+SPP-NX]*(Data[Year]=AB$1)*(Data[Month]=AB$2)*(Data[Main SKU name_GOM]=$A9)*(Data[SKU name_NHẬP_GOM]=AB$3)))</f>
        <v>0</v>
      </c>
      <c r="AC9" s="8" cm="1">
        <f t="array" ref="AC9">IF(AC$2="FY",SUMPRODUCT(Data[Nhập-SPC+SPP-NX]*(Data[Year]=AC$1)*(Data[Main SKU name_GOM]=$A9)*(Data[SKU name_NHẬP_GOM]=AC$3)),SUMPRODUCT(Data[Nhập-SPC+SPP-NX]*(Data[Year]=AC$1)*(Data[Month]=AC$2)*(Data[Main SKU name_GOM]=$A9)*(Data[SKU name_NHẬP_GOM]=AC$3)))</f>
        <v>0</v>
      </c>
      <c r="AD9" s="8" cm="1">
        <f t="array" ref="AD9">IF(AD$2="FY",SUMPRODUCT(Data[Nhập-SPC+SPP-NX]*(Data[Year]=AD$1)*(Data[Main SKU name_GOM]=$A9)*(Data[SKU name_NHẬP_GOM]=AD$3)),SUMPRODUCT(Data[Nhập-SPC+SPP-NX]*(Data[Year]=AD$1)*(Data[Month]=AD$2)*(Data[Main SKU name_GOM]=$A9)*(Data[SKU name_NHẬP_GOM]=AD$3)))</f>
        <v>0</v>
      </c>
      <c r="AE9" s="8" cm="1">
        <f t="array" ref="AE9">IF(AE$2="FY",SUMPRODUCT(Data[Nhập-SPC+SPP-NX]*(Data[Year]=AE$1)*(Data[Main SKU name_GOM]=$A9)*(Data[SKU name_NHẬP_GOM]=AE$3)),SUMPRODUCT(Data[Nhập-SPC+SPP-NX]*(Data[Year]=AE$1)*(Data[Month]=AE$2)*(Data[Main SKU name_GOM]=$A9)*(Data[SKU name_NHẬP_GOM]=AE$3)))</f>
        <v>0</v>
      </c>
      <c r="AF9" s="8" cm="1">
        <f t="array" ref="AF9">IF(AF$2="FY",SUMPRODUCT(Data[Nhập-SPC+SPP-NX]*(Data[Year]=AF$1)*(Data[Main SKU name_GOM]=$A9)*(Data[SKU name_NHẬP_GOM]=AF$3)),SUMPRODUCT(Data[Nhập-SPC+SPP-NX]*(Data[Year]=AF$1)*(Data[Month]=AF$2)*(Data[Main SKU name_GOM]=$A9)*(Data[SKU name_NHẬP_GOM]=AF$3)))</f>
        <v>0</v>
      </c>
      <c r="AG9" s="8" cm="1">
        <f t="array" ref="AG9">IF(AG$2="FY",SUMPRODUCT(Data[Nhập-SPC+SPP-NX]*(Data[Year]=AG$1)*(Data[Main SKU name_GOM]=$A9)*(Data[SKU name_NHẬP_GOM]=AG$3)),SUMPRODUCT(Data[Nhập-SPC+SPP-NX]*(Data[Year]=AG$1)*(Data[Month]=AG$2)*(Data[Main SKU name_GOM]=$A9)*(Data[SKU name_NHẬP_GOM]=AG$3)))</f>
        <v>0</v>
      </c>
      <c r="AH9" s="8" cm="1">
        <f t="array" ref="AH9">IF(AH$2="FY",SUMPRODUCT(Data[Nhập-SPC+SPP-NX]*(Data[Year]=AH$1)*(Data[Main SKU name_GOM]=$A9)*(Data[SKU name_NHẬP_GOM]=AH$3)),SUMPRODUCT(Data[Nhập-SPC+SPP-NX]*(Data[Year]=AH$1)*(Data[Month]=AH$2)*(Data[Main SKU name_GOM]=$A9)*(Data[SKU name_NHẬP_GOM]=AH$3)))</f>
        <v>0</v>
      </c>
      <c r="AI9" s="8" cm="1">
        <f t="array" ref="AI9">IF(AI$2="FY",SUMPRODUCT(Data[Nhập-SPC+SPP-NX]*(Data[Year]=AI$1)*(Data[Main SKU name_GOM]=$A9)*(Data[SKU name_NHẬP_GOM]=AI$3)),SUMPRODUCT(Data[Nhập-SPC+SPP-NX]*(Data[Year]=AI$1)*(Data[Month]=AI$2)*(Data[Main SKU name_GOM]=$A9)*(Data[SKU name_NHẬP_GOM]=AI$3)))</f>
        <v>0</v>
      </c>
      <c r="AJ9" s="8" cm="1">
        <f t="array" ref="AJ9">IF(AJ$2="FY",SUMPRODUCT(Data[Nhập-SPC+SPP-NX]*(Data[Year]=AJ$1)*(Data[Main SKU name_GOM]=$A9)*(Data[SKU name_NHẬP_GOM]=AJ$3)),SUMPRODUCT(Data[Nhập-SPC+SPP-NX]*(Data[Year]=AJ$1)*(Data[Month]=AJ$2)*(Data[Main SKU name_GOM]=$A9)*(Data[SKU name_NHẬP_GOM]=AJ$3)))</f>
        <v>0</v>
      </c>
      <c r="AK9" s="8" cm="1">
        <f t="array" ref="AK9">IF(AK$2="FY",SUMPRODUCT(Data[Nhập-SPC+SPP-NX]*(Data[Year]=AK$1)*(Data[Main SKU name_GOM]=$A9)*(Data[SKU name_NHẬP_GOM]=AK$3)),SUMPRODUCT(Data[Nhập-SPC+SPP-NX]*(Data[Year]=AK$1)*(Data[Month]=AK$2)*(Data[Main SKU name_GOM]=$A9)*(Data[SKU name_NHẬP_GOM]=AK$3)))</f>
        <v>0</v>
      </c>
      <c r="AL9" s="8">
        <f t="shared" si="2"/>
        <v>0</v>
      </c>
      <c r="AN9" s="8" cm="1">
        <f t="array" ref="AN9">IF(AN$2="FY",SUMPRODUCT(Data[Nhập-SPC+SPP-NX]*(Data[Year]=AN$1)*(Data[Main SKU name_GOM]=$A9)*(Data[SKU name_NHẬP_GOM]=AN$3)),SUMPRODUCT(Data[Nhập-SPC+SPP-NX]*(Data[Year]=AN$1)*(Data[Month]=AN$2)*(Data[Main SKU name_GOM]=$A9)*(Data[SKU name_NHẬP_GOM]=AN$3)))</f>
        <v>0</v>
      </c>
      <c r="AO9" s="8" cm="1">
        <f t="array" ref="AO9">IF(AO$2="FY",SUMPRODUCT(Data[Nhập-SPC+SPP-NX]*(Data[Year]=AO$1)*(Data[Main SKU name_GOM]=$A9)*(Data[SKU name_NHẬP_GOM]=AO$3)),SUMPRODUCT(Data[Nhập-SPC+SPP-NX]*(Data[Year]=AO$1)*(Data[Month]=AO$2)*(Data[Main SKU name_GOM]=$A9)*(Data[SKU name_NHẬP_GOM]=AO$3)))</f>
        <v>0</v>
      </c>
      <c r="AP9" s="8" cm="1">
        <f t="array" ref="AP9">IF(AP$2="FY",SUMPRODUCT(Data[Nhập-SPC+SPP-NX]*(Data[Year]=AP$1)*(Data[Main SKU name_GOM]=$A9)*(Data[SKU name_NHẬP_GOM]=AP$3)),SUMPRODUCT(Data[Nhập-SPC+SPP-NX]*(Data[Year]=AP$1)*(Data[Month]=AP$2)*(Data[Main SKU name_GOM]=$A9)*(Data[SKU name_NHẬP_GOM]=AP$3)))</f>
        <v>0</v>
      </c>
      <c r="AQ9" s="8" cm="1">
        <f t="array" ref="AQ9">IF(AQ$2="FY",SUMPRODUCT(Data[Nhập-SPC+SPP-NX]*(Data[Year]=AQ$1)*(Data[Main SKU name_GOM]=$A9)*(Data[SKU name_NHẬP_GOM]=AQ$3)),SUMPRODUCT(Data[Nhập-SPC+SPP-NX]*(Data[Year]=AQ$1)*(Data[Month]=AQ$2)*(Data[Main SKU name_GOM]=$A9)*(Data[SKU name_NHẬP_GOM]=AQ$3)))</f>
        <v>0</v>
      </c>
      <c r="AR9" s="8" cm="1">
        <f t="array" ref="AR9">IF(AR$2="FY",SUMPRODUCT(Data[Nhập-SPC+SPP-NX]*(Data[Year]=AR$1)*(Data[Main SKU name_GOM]=$A9)*(Data[SKU name_NHẬP_GOM]=AR$3)),SUMPRODUCT(Data[Nhập-SPC+SPP-NX]*(Data[Year]=AR$1)*(Data[Month]=AR$2)*(Data[Main SKU name_GOM]=$A9)*(Data[SKU name_NHẬP_GOM]=AR$3)))</f>
        <v>0</v>
      </c>
      <c r="AS9" s="8" cm="1">
        <f t="array" ref="AS9">IF(AS$2="FY",SUMPRODUCT(Data[Nhập-SPC+SPP-NX]*(Data[Year]=AS$1)*(Data[Main SKU name_GOM]=$A9)*(Data[SKU name_NHẬP_GOM]=AS$3)),SUMPRODUCT(Data[Nhập-SPC+SPP-NX]*(Data[Year]=AS$1)*(Data[Month]=AS$2)*(Data[Main SKU name_GOM]=$A9)*(Data[SKU name_NHẬP_GOM]=AS$3)))</f>
        <v>0</v>
      </c>
      <c r="AT9" s="8" cm="1">
        <f t="array" ref="AT9">IF(AT$2="FY",SUMPRODUCT(Data[Nhập-SPC+SPP-NX]*(Data[Year]=AT$1)*(Data[Main SKU name_GOM]=$A9)*(Data[SKU name_NHẬP_GOM]=AT$3)),SUMPRODUCT(Data[Nhập-SPC+SPP-NX]*(Data[Year]=AT$1)*(Data[Month]=AT$2)*(Data[Main SKU name_GOM]=$A9)*(Data[SKU name_NHẬP_GOM]=AT$3)))</f>
        <v>0</v>
      </c>
      <c r="AU9" s="8" cm="1">
        <f t="array" ref="AU9">IF(AU$2="FY",SUMPRODUCT(Data[Nhập-SPC+SPP-NX]*(Data[Year]=AU$1)*(Data[Main SKU name_GOM]=$A9)*(Data[SKU name_NHẬP_GOM]=AU$3)),SUMPRODUCT(Data[Nhập-SPC+SPP-NX]*(Data[Year]=AU$1)*(Data[Month]=AU$2)*(Data[Main SKU name_GOM]=$A9)*(Data[SKU name_NHẬP_GOM]=AU$3)))</f>
        <v>0</v>
      </c>
      <c r="AV9" s="8" cm="1">
        <f t="array" ref="AV9">IF(AV$2="FY",SUMPRODUCT(Data[Nhập-SPC+SPP-NX]*(Data[Year]=AV$1)*(Data[Main SKU name_GOM]=$A9)*(Data[SKU name_NHẬP_GOM]=AV$3)),SUMPRODUCT(Data[Nhập-SPC+SPP-NX]*(Data[Year]=AV$1)*(Data[Month]=AV$2)*(Data[Main SKU name_GOM]=$A9)*(Data[SKU name_NHẬP_GOM]=AV$3)))</f>
        <v>0</v>
      </c>
      <c r="AW9" s="8" cm="1">
        <f t="array" ref="AW9">IF(AW$2="FY",SUMPRODUCT(Data[Nhập-SPC+SPP-NX]*(Data[Year]=AW$1)*(Data[Main SKU name_GOM]=$A9)*(Data[SKU name_NHẬP_GOM]=AW$3)),SUMPRODUCT(Data[Nhập-SPC+SPP-NX]*(Data[Year]=AW$1)*(Data[Month]=AW$2)*(Data[Main SKU name_GOM]=$A9)*(Data[SKU name_NHẬP_GOM]=AW$3)))</f>
        <v>0</v>
      </c>
      <c r="AX9" s="8">
        <f t="shared" si="3"/>
        <v>0</v>
      </c>
      <c r="AZ9" s="8" cm="1">
        <f t="array" ref="AZ9">IF(AZ$2="FY",SUMPRODUCT(Data[Nhập-SPC+SPP-NX]*(Data[Year]=AZ$1)*(Data[Main SKU name_GOM]=$A9)*(Data[SKU name_NHẬP_GOM]=AZ$3)),SUMPRODUCT(Data[Nhập-SPC+SPP-NX]*(Data[Year]=AZ$1)*(Data[Month]=AZ$2)*(Data[Main SKU name_GOM]=$A9)*(Data[SKU name_NHẬP_GOM]=AZ$3)))</f>
        <v>0</v>
      </c>
      <c r="BA9" s="8" cm="1">
        <f t="array" ref="BA9">IF(BA$2="FY",SUMPRODUCT(Data[Nhập-SPC+SPP-NX]*(Data[Year]=BA$1)*(Data[Main SKU name_GOM]=$A9)*(Data[SKU name_NHẬP_GOM]=BA$3)),SUMPRODUCT(Data[Nhập-SPC+SPP-NX]*(Data[Year]=BA$1)*(Data[Month]=BA$2)*(Data[Main SKU name_GOM]=$A9)*(Data[SKU name_NHẬP_GOM]=BA$3)))</f>
        <v>0</v>
      </c>
      <c r="BB9" s="8" cm="1">
        <f t="array" ref="BB9">IF(BB$2="FY",SUMPRODUCT(Data[Nhập-SPC+SPP-NX]*(Data[Year]=BB$1)*(Data[Main SKU name_GOM]=$A9)*(Data[SKU name_NHẬP_GOM]=BB$3)),SUMPRODUCT(Data[Nhập-SPC+SPP-NX]*(Data[Year]=BB$1)*(Data[Month]=BB$2)*(Data[Main SKU name_GOM]=$A9)*(Data[SKU name_NHẬP_GOM]=BB$3)))</f>
        <v>0</v>
      </c>
      <c r="BC9" s="8" cm="1">
        <f t="array" ref="BC9">IF(BC$2="FY",SUMPRODUCT(Data[Nhập-SPC+SPP-NX]*(Data[Year]=BC$1)*(Data[Main SKU name_GOM]=$A9)*(Data[SKU name_NHẬP_GOM]=BC$3)),SUMPRODUCT(Data[Nhập-SPC+SPP-NX]*(Data[Year]=BC$1)*(Data[Month]=BC$2)*(Data[Main SKU name_GOM]=$A9)*(Data[SKU name_NHẬP_GOM]=BC$3)))</f>
        <v>0</v>
      </c>
      <c r="BD9" s="8" cm="1">
        <f t="array" ref="BD9">IF(BD$2="FY",SUMPRODUCT(Data[Nhập-SPC+SPP-NX]*(Data[Year]=BD$1)*(Data[Main SKU name_GOM]=$A9)*(Data[SKU name_NHẬP_GOM]=BD$3)),SUMPRODUCT(Data[Nhập-SPC+SPP-NX]*(Data[Year]=BD$1)*(Data[Month]=BD$2)*(Data[Main SKU name_GOM]=$A9)*(Data[SKU name_NHẬP_GOM]=BD$3)))</f>
        <v>0</v>
      </c>
      <c r="BE9" s="8" cm="1">
        <f t="array" ref="BE9">IF(BE$2="FY",SUMPRODUCT(Data[Nhập-SPC+SPP-NX]*(Data[Year]=BE$1)*(Data[Main SKU name_GOM]=$A9)*(Data[SKU name_NHẬP_GOM]=BE$3)),SUMPRODUCT(Data[Nhập-SPC+SPP-NX]*(Data[Year]=BE$1)*(Data[Month]=BE$2)*(Data[Main SKU name_GOM]=$A9)*(Data[SKU name_NHẬP_GOM]=BE$3)))</f>
        <v>0</v>
      </c>
      <c r="BF9" s="8" cm="1">
        <f t="array" ref="BF9">IF(BF$2="FY",SUMPRODUCT(Data[Nhập-SPC+SPP-NX]*(Data[Year]=BF$1)*(Data[Main SKU name_GOM]=$A9)*(Data[SKU name_NHẬP_GOM]=BF$3)),SUMPRODUCT(Data[Nhập-SPC+SPP-NX]*(Data[Year]=BF$1)*(Data[Month]=BF$2)*(Data[Main SKU name_GOM]=$A9)*(Data[SKU name_NHẬP_GOM]=BF$3)))</f>
        <v>0</v>
      </c>
      <c r="BG9" s="8" cm="1">
        <f t="array" ref="BG9">IF(BG$2="FY",SUMPRODUCT(Data[Nhập-SPC+SPP-NX]*(Data[Year]=BG$1)*(Data[Main SKU name_GOM]=$A9)*(Data[SKU name_NHẬP_GOM]=BG$3)),SUMPRODUCT(Data[Nhập-SPC+SPP-NX]*(Data[Year]=BG$1)*(Data[Month]=BG$2)*(Data[Main SKU name_GOM]=$A9)*(Data[SKU name_NHẬP_GOM]=BG$3)))</f>
        <v>0</v>
      </c>
      <c r="BH9" s="8" cm="1">
        <f t="array" ref="BH9">IF(BH$2="FY",SUMPRODUCT(Data[Nhập-SPC+SPP-NX]*(Data[Year]=BH$1)*(Data[Main SKU name_GOM]=$A9)*(Data[SKU name_NHẬP_GOM]=BH$3)),SUMPRODUCT(Data[Nhập-SPC+SPP-NX]*(Data[Year]=BH$1)*(Data[Month]=BH$2)*(Data[Main SKU name_GOM]=$A9)*(Data[SKU name_NHẬP_GOM]=BH$3)))</f>
        <v>0</v>
      </c>
      <c r="BI9" s="8" cm="1">
        <f t="array" ref="BI9">IF(BI$2="FY",SUMPRODUCT(Data[Nhập-SPC+SPP-NX]*(Data[Year]=BI$1)*(Data[Main SKU name_GOM]=$A9)*(Data[SKU name_NHẬP_GOM]=BI$3)),SUMPRODUCT(Data[Nhập-SPC+SPP-NX]*(Data[Year]=BI$1)*(Data[Month]=BI$2)*(Data[Main SKU name_GOM]=$A9)*(Data[SKU name_NHẬP_GOM]=BI$3)))</f>
        <v>0</v>
      </c>
      <c r="BJ9" s="8">
        <f t="shared" si="4"/>
        <v>0</v>
      </c>
      <c r="BL9" s="8" cm="1">
        <f t="array" ref="BL9">IF(BL$2="FY",SUMPRODUCT(Data[Nhập-SPC+SPP-NX]*(Data[Year]=BL$1)*(Data[Main SKU name_GOM]=$A9)*(Data[SKU name_NHẬP_GOM]=BL$3)),SUMPRODUCT(Data[Nhập-SPC+SPP-NX]*(Data[Year]=BL$1)*(Data[Month]=BL$2)*(Data[Main SKU name_GOM]=$A9)*(Data[SKU name_NHẬP_GOM]=BL$3)))</f>
        <v>0</v>
      </c>
      <c r="BM9" s="8" cm="1">
        <f t="array" ref="BM9">IF(BM$2="FY",SUMPRODUCT(Data[Nhập-SPC+SPP-NX]*(Data[Year]=BM$1)*(Data[Main SKU name_GOM]=$A9)*(Data[SKU name_NHẬP_GOM]=BM$3)),SUMPRODUCT(Data[Nhập-SPC+SPP-NX]*(Data[Year]=BM$1)*(Data[Month]=BM$2)*(Data[Main SKU name_GOM]=$A9)*(Data[SKU name_NHẬP_GOM]=BM$3)))</f>
        <v>0</v>
      </c>
      <c r="BN9" s="8" cm="1">
        <f t="array" ref="BN9">IF(BN$2="FY",SUMPRODUCT(Data[Nhập-SPC+SPP-NX]*(Data[Year]=BN$1)*(Data[Main SKU name_GOM]=$A9)*(Data[SKU name_NHẬP_GOM]=BN$3)),SUMPRODUCT(Data[Nhập-SPC+SPP-NX]*(Data[Year]=BN$1)*(Data[Month]=BN$2)*(Data[Main SKU name_GOM]=$A9)*(Data[SKU name_NHẬP_GOM]=BN$3)))</f>
        <v>0</v>
      </c>
      <c r="BO9" s="8" cm="1">
        <f t="array" ref="BO9">IF(BO$2="FY",SUMPRODUCT(Data[Nhập-SPC+SPP-NX]*(Data[Year]=BO$1)*(Data[Main SKU name_GOM]=$A9)*(Data[SKU name_NHẬP_GOM]=BO$3)),SUMPRODUCT(Data[Nhập-SPC+SPP-NX]*(Data[Year]=BO$1)*(Data[Month]=BO$2)*(Data[Main SKU name_GOM]=$A9)*(Data[SKU name_NHẬP_GOM]=BO$3)))</f>
        <v>0</v>
      </c>
      <c r="BP9" s="8" cm="1">
        <f t="array" ref="BP9">IF(BP$2="FY",SUMPRODUCT(Data[Nhập-SPC+SPP-NX]*(Data[Year]=BP$1)*(Data[Main SKU name_GOM]=$A9)*(Data[SKU name_NHẬP_GOM]=BP$3)),SUMPRODUCT(Data[Nhập-SPC+SPP-NX]*(Data[Year]=BP$1)*(Data[Month]=BP$2)*(Data[Main SKU name_GOM]=$A9)*(Data[SKU name_NHẬP_GOM]=BP$3)))</f>
        <v>0</v>
      </c>
      <c r="BQ9" s="8" cm="1">
        <f t="array" ref="BQ9">IF(BQ$2="FY",SUMPRODUCT(Data[Nhập-SPC+SPP-NX]*(Data[Year]=BQ$1)*(Data[Main SKU name_GOM]=$A9)*(Data[SKU name_NHẬP_GOM]=BQ$3)),SUMPRODUCT(Data[Nhập-SPC+SPP-NX]*(Data[Year]=BQ$1)*(Data[Month]=BQ$2)*(Data[Main SKU name_GOM]=$A9)*(Data[SKU name_NHẬP_GOM]=BQ$3)))</f>
        <v>0</v>
      </c>
      <c r="BR9" s="8" cm="1">
        <f t="array" ref="BR9">IF(BR$2="FY",SUMPRODUCT(Data[Nhập-SPC+SPP-NX]*(Data[Year]=BR$1)*(Data[Main SKU name_GOM]=$A9)*(Data[SKU name_NHẬP_GOM]=BR$3)),SUMPRODUCT(Data[Nhập-SPC+SPP-NX]*(Data[Year]=BR$1)*(Data[Month]=BR$2)*(Data[Main SKU name_GOM]=$A9)*(Data[SKU name_NHẬP_GOM]=BR$3)))</f>
        <v>0</v>
      </c>
      <c r="BS9" s="8" cm="1">
        <f t="array" ref="BS9">IF(BS$2="FY",SUMPRODUCT(Data[Nhập-SPC+SPP-NX]*(Data[Year]=BS$1)*(Data[Main SKU name_GOM]=$A9)*(Data[SKU name_NHẬP_GOM]=BS$3)),SUMPRODUCT(Data[Nhập-SPC+SPP-NX]*(Data[Year]=BS$1)*(Data[Month]=BS$2)*(Data[Main SKU name_GOM]=$A9)*(Data[SKU name_NHẬP_GOM]=BS$3)))</f>
        <v>0</v>
      </c>
      <c r="BT9" s="8" cm="1">
        <f t="array" ref="BT9">IF(BT$2="FY",SUMPRODUCT(Data[Nhập-SPC+SPP-NX]*(Data[Year]=BT$1)*(Data[Main SKU name_GOM]=$A9)*(Data[SKU name_NHẬP_GOM]=BT$3)),SUMPRODUCT(Data[Nhập-SPC+SPP-NX]*(Data[Year]=BT$1)*(Data[Month]=BT$2)*(Data[Main SKU name_GOM]=$A9)*(Data[SKU name_NHẬP_GOM]=BT$3)))</f>
        <v>0</v>
      </c>
      <c r="BU9" s="8" cm="1">
        <f t="array" ref="BU9">IF(BU$2="FY",SUMPRODUCT(Data[Nhập-SPC+SPP-NX]*(Data[Year]=BU$1)*(Data[Main SKU name_GOM]=$A9)*(Data[SKU name_NHẬP_GOM]=BU$3)),SUMPRODUCT(Data[Nhập-SPC+SPP-NX]*(Data[Year]=BU$1)*(Data[Month]=BU$2)*(Data[Main SKU name_GOM]=$A9)*(Data[SKU name_NHẬP_GOM]=BU$3)))</f>
        <v>0</v>
      </c>
      <c r="BV9" s="8">
        <f t="shared" si="5"/>
        <v>0</v>
      </c>
      <c r="BX9" s="8" cm="1">
        <f t="array" ref="BX9">IF(BX$2="FY",SUMPRODUCT(Data[Nhập-SPC+SPP-NX]*(Data[Year]=BX$1)*(Data[Main SKU name_GOM]=$A9)*(Data[SKU name_NHẬP_GOM]=BX$3)),SUMPRODUCT(Data[Nhập-SPC+SPP-NX]*(Data[Year]=BX$1)*(Data[Month]=BX$2)*(Data[Main SKU name_GOM]=$A9)*(Data[SKU name_NHẬP_GOM]=BX$3)))</f>
        <v>0</v>
      </c>
      <c r="BY9" s="8" cm="1">
        <f t="array" ref="BY9">IF(BY$2="FY",SUMPRODUCT(Data[Nhập-SPC+SPP-NX]*(Data[Year]=BY$1)*(Data[Main SKU name_GOM]=$A9)*(Data[SKU name_NHẬP_GOM]=BY$3)),SUMPRODUCT(Data[Nhập-SPC+SPP-NX]*(Data[Year]=BY$1)*(Data[Month]=BY$2)*(Data[Main SKU name_GOM]=$A9)*(Data[SKU name_NHẬP_GOM]=BY$3)))</f>
        <v>0</v>
      </c>
      <c r="BZ9" s="8" cm="1">
        <f t="array" ref="BZ9">IF(BZ$2="FY",SUMPRODUCT(Data[Nhập-SPC+SPP-NX]*(Data[Year]=BZ$1)*(Data[Main SKU name_GOM]=$A9)*(Data[SKU name_NHẬP_GOM]=BZ$3)),SUMPRODUCT(Data[Nhập-SPC+SPP-NX]*(Data[Year]=BZ$1)*(Data[Month]=BZ$2)*(Data[Main SKU name_GOM]=$A9)*(Data[SKU name_NHẬP_GOM]=BZ$3)))</f>
        <v>0</v>
      </c>
      <c r="CA9" s="8" cm="1">
        <f t="array" ref="CA9">IF(CA$2="FY",SUMPRODUCT(Data[Nhập-SPC+SPP-NX]*(Data[Year]=CA$1)*(Data[Main SKU name_GOM]=$A9)*(Data[SKU name_NHẬP_GOM]=CA$3)),SUMPRODUCT(Data[Nhập-SPC+SPP-NX]*(Data[Year]=CA$1)*(Data[Month]=CA$2)*(Data[Main SKU name_GOM]=$A9)*(Data[SKU name_NHẬP_GOM]=CA$3)))</f>
        <v>0</v>
      </c>
      <c r="CB9" s="8" cm="1">
        <f t="array" ref="CB9">IF(CB$2="FY",SUMPRODUCT(Data[Nhập-SPC+SPP-NX]*(Data[Year]=CB$1)*(Data[Main SKU name_GOM]=$A9)*(Data[SKU name_NHẬP_GOM]=CB$3)),SUMPRODUCT(Data[Nhập-SPC+SPP-NX]*(Data[Year]=CB$1)*(Data[Month]=CB$2)*(Data[Main SKU name_GOM]=$A9)*(Data[SKU name_NHẬP_GOM]=CB$3)))</f>
        <v>0</v>
      </c>
      <c r="CC9" s="8" cm="1">
        <f t="array" ref="CC9">IF(CC$2="FY",SUMPRODUCT(Data[Nhập-SPC+SPP-NX]*(Data[Year]=CC$1)*(Data[Main SKU name_GOM]=$A9)*(Data[SKU name_NHẬP_GOM]=CC$3)),SUMPRODUCT(Data[Nhập-SPC+SPP-NX]*(Data[Year]=CC$1)*(Data[Month]=CC$2)*(Data[Main SKU name_GOM]=$A9)*(Data[SKU name_NHẬP_GOM]=CC$3)))</f>
        <v>0</v>
      </c>
      <c r="CD9" s="8" cm="1">
        <f t="array" ref="CD9">IF(CD$2="FY",SUMPRODUCT(Data[Nhập-SPC+SPP-NX]*(Data[Year]=CD$1)*(Data[Main SKU name_GOM]=$A9)*(Data[SKU name_NHẬP_GOM]=CD$3)),SUMPRODUCT(Data[Nhập-SPC+SPP-NX]*(Data[Year]=CD$1)*(Data[Month]=CD$2)*(Data[Main SKU name_GOM]=$A9)*(Data[SKU name_NHẬP_GOM]=CD$3)))</f>
        <v>0</v>
      </c>
      <c r="CE9" s="8" cm="1">
        <f t="array" ref="CE9">IF(CE$2="FY",SUMPRODUCT(Data[Nhập-SPC+SPP-NX]*(Data[Year]=CE$1)*(Data[Main SKU name_GOM]=$A9)*(Data[SKU name_NHẬP_GOM]=CE$3)),SUMPRODUCT(Data[Nhập-SPC+SPP-NX]*(Data[Year]=CE$1)*(Data[Month]=CE$2)*(Data[Main SKU name_GOM]=$A9)*(Data[SKU name_NHẬP_GOM]=CE$3)))</f>
        <v>0</v>
      </c>
      <c r="CF9" s="8" cm="1">
        <f t="array" ref="CF9">IF(CF$2="FY",SUMPRODUCT(Data[Nhập-SPC+SPP-NX]*(Data[Year]=CF$1)*(Data[Main SKU name_GOM]=$A9)*(Data[SKU name_NHẬP_GOM]=CF$3)),SUMPRODUCT(Data[Nhập-SPC+SPP-NX]*(Data[Year]=CF$1)*(Data[Month]=CF$2)*(Data[Main SKU name_GOM]=$A9)*(Data[SKU name_NHẬP_GOM]=CF$3)))</f>
        <v>0</v>
      </c>
      <c r="CG9" s="8" cm="1">
        <f t="array" ref="CG9">IF(CG$2="FY",SUMPRODUCT(Data[Nhập-SPC+SPP-NX]*(Data[Year]=CG$1)*(Data[Main SKU name_GOM]=$A9)*(Data[SKU name_NHẬP_GOM]=CG$3)),SUMPRODUCT(Data[Nhập-SPC+SPP-NX]*(Data[Year]=CG$1)*(Data[Month]=CG$2)*(Data[Main SKU name_GOM]=$A9)*(Data[SKU name_NHẬP_GOM]=CG$3)))</f>
        <v>0</v>
      </c>
      <c r="CH9" s="8">
        <f t="shared" si="6"/>
        <v>0</v>
      </c>
      <c r="CJ9" s="8" cm="1">
        <f t="array" ref="CJ9">IF(CJ$2="FY",SUMPRODUCT(Data[Nhập-SPC+SPP-NX]*(Data[Year]=CJ$1)*(Data[Main SKU name_GOM]=$A9)*(Data[SKU name_NHẬP_GOM]=CJ$3)),SUMPRODUCT(Data[Nhập-SPC+SPP-NX]*(Data[Year]=CJ$1)*(Data[Month]=CJ$2)*(Data[Main SKU name_GOM]=$A9)*(Data[SKU name_NHẬP_GOM]=CJ$3)))</f>
        <v>0</v>
      </c>
      <c r="CK9" s="8" cm="1">
        <f t="array" ref="CK9">IF(CK$2="FY",SUMPRODUCT(Data[Nhập-SPC+SPP-NX]*(Data[Year]=CK$1)*(Data[Main SKU name_GOM]=$A9)*(Data[SKU name_NHẬP_GOM]=CK$3)),SUMPRODUCT(Data[Nhập-SPC+SPP-NX]*(Data[Year]=CK$1)*(Data[Month]=CK$2)*(Data[Main SKU name_GOM]=$A9)*(Data[SKU name_NHẬP_GOM]=CK$3)))</f>
        <v>0</v>
      </c>
      <c r="CL9" s="8" cm="1">
        <f t="array" ref="CL9">IF(CL$2="FY",SUMPRODUCT(Data[Nhập-SPC+SPP-NX]*(Data[Year]=CL$1)*(Data[Main SKU name_GOM]=$A9)*(Data[SKU name_NHẬP_GOM]=CL$3)),SUMPRODUCT(Data[Nhập-SPC+SPP-NX]*(Data[Year]=CL$1)*(Data[Month]=CL$2)*(Data[Main SKU name_GOM]=$A9)*(Data[SKU name_NHẬP_GOM]=CL$3)))</f>
        <v>0</v>
      </c>
      <c r="CM9" s="8" cm="1">
        <f t="array" ref="CM9">IF(CM$2="FY",SUMPRODUCT(Data[Nhập-SPC+SPP-NX]*(Data[Year]=CM$1)*(Data[Main SKU name_GOM]=$A9)*(Data[SKU name_NHẬP_GOM]=CM$3)),SUMPRODUCT(Data[Nhập-SPC+SPP-NX]*(Data[Year]=CM$1)*(Data[Month]=CM$2)*(Data[Main SKU name_GOM]=$A9)*(Data[SKU name_NHẬP_GOM]=CM$3)))</f>
        <v>0</v>
      </c>
      <c r="CN9" s="8" cm="1">
        <f t="array" ref="CN9">IF(CN$2="FY",SUMPRODUCT(Data[Nhập-SPC+SPP-NX]*(Data[Year]=CN$1)*(Data[Main SKU name_GOM]=$A9)*(Data[SKU name_NHẬP_GOM]=CN$3)),SUMPRODUCT(Data[Nhập-SPC+SPP-NX]*(Data[Year]=CN$1)*(Data[Month]=CN$2)*(Data[Main SKU name_GOM]=$A9)*(Data[SKU name_NHẬP_GOM]=CN$3)))</f>
        <v>0</v>
      </c>
      <c r="CO9" s="8" cm="1">
        <f t="array" ref="CO9">IF(CO$2="FY",SUMPRODUCT(Data[Nhập-SPC+SPP-NX]*(Data[Year]=CO$1)*(Data[Main SKU name_GOM]=$A9)*(Data[SKU name_NHẬP_GOM]=CO$3)),SUMPRODUCT(Data[Nhập-SPC+SPP-NX]*(Data[Year]=CO$1)*(Data[Month]=CO$2)*(Data[Main SKU name_GOM]=$A9)*(Data[SKU name_NHẬP_GOM]=CO$3)))</f>
        <v>0</v>
      </c>
      <c r="CP9" s="8" cm="1">
        <f t="array" ref="CP9">IF(CP$2="FY",SUMPRODUCT(Data[Nhập-SPC+SPP-NX]*(Data[Year]=CP$1)*(Data[Main SKU name_GOM]=$A9)*(Data[SKU name_NHẬP_GOM]=CP$3)),SUMPRODUCT(Data[Nhập-SPC+SPP-NX]*(Data[Year]=CP$1)*(Data[Month]=CP$2)*(Data[Main SKU name_GOM]=$A9)*(Data[SKU name_NHẬP_GOM]=CP$3)))</f>
        <v>0</v>
      </c>
      <c r="CQ9" s="8" cm="1">
        <f t="array" ref="CQ9">IF(CQ$2="FY",SUMPRODUCT(Data[Nhập-SPC+SPP-NX]*(Data[Year]=CQ$1)*(Data[Main SKU name_GOM]=$A9)*(Data[SKU name_NHẬP_GOM]=CQ$3)),SUMPRODUCT(Data[Nhập-SPC+SPP-NX]*(Data[Year]=CQ$1)*(Data[Month]=CQ$2)*(Data[Main SKU name_GOM]=$A9)*(Data[SKU name_NHẬP_GOM]=CQ$3)))</f>
        <v>0</v>
      </c>
      <c r="CR9" s="8" cm="1">
        <f t="array" ref="CR9">IF(CR$2="FY",SUMPRODUCT(Data[Nhập-SPC+SPP-NX]*(Data[Year]=CR$1)*(Data[Main SKU name_GOM]=$A9)*(Data[SKU name_NHẬP_GOM]=CR$3)),SUMPRODUCT(Data[Nhập-SPC+SPP-NX]*(Data[Year]=CR$1)*(Data[Month]=CR$2)*(Data[Main SKU name_GOM]=$A9)*(Data[SKU name_NHẬP_GOM]=CR$3)))</f>
        <v>0</v>
      </c>
      <c r="CS9" s="8" cm="1">
        <f t="array" ref="CS9">IF(CS$2="FY",SUMPRODUCT(Data[Nhập-SPC+SPP-NX]*(Data[Year]=CS$1)*(Data[Main SKU name_GOM]=$A9)*(Data[SKU name_NHẬP_GOM]=CS$3)),SUMPRODUCT(Data[Nhập-SPC+SPP-NX]*(Data[Year]=CS$1)*(Data[Month]=CS$2)*(Data[Main SKU name_GOM]=$A9)*(Data[SKU name_NHẬP_GOM]=CS$3)))</f>
        <v>0</v>
      </c>
      <c r="CT9" s="8">
        <f t="shared" si="7"/>
        <v>0</v>
      </c>
      <c r="CV9" s="8" cm="1">
        <f t="array" ref="CV9">IF(CV$2="FY",SUMPRODUCT(Data[Nhập-SPC+SPP-NX]*(Data[Year]=CV$1)*(Data[Main SKU name_GOM]=$A9)*(Data[SKU name_NHẬP_GOM]=CV$3)),SUMPRODUCT(Data[Nhập-SPC+SPP-NX]*(Data[Year]=CV$1)*(Data[Month]=CV$2)*(Data[Main SKU name_GOM]=$A9)*(Data[SKU name_NHẬP_GOM]=CV$3)))</f>
        <v>0</v>
      </c>
      <c r="CW9" s="8" cm="1">
        <f t="array" ref="CW9">IF(CW$2="FY",SUMPRODUCT(Data[Nhập-SPC+SPP-NX]*(Data[Year]=CW$1)*(Data[Main SKU name_GOM]=$A9)*(Data[SKU name_NHẬP_GOM]=CW$3)),SUMPRODUCT(Data[Nhập-SPC+SPP-NX]*(Data[Year]=CW$1)*(Data[Month]=CW$2)*(Data[Main SKU name_GOM]=$A9)*(Data[SKU name_NHẬP_GOM]=CW$3)))</f>
        <v>0</v>
      </c>
      <c r="CX9" s="8" cm="1">
        <f t="array" ref="CX9">IF(CX$2="FY",SUMPRODUCT(Data[Nhập-SPC+SPP-NX]*(Data[Year]=CX$1)*(Data[Main SKU name_GOM]=$A9)*(Data[SKU name_NHẬP_GOM]=CX$3)),SUMPRODUCT(Data[Nhập-SPC+SPP-NX]*(Data[Year]=CX$1)*(Data[Month]=CX$2)*(Data[Main SKU name_GOM]=$A9)*(Data[SKU name_NHẬP_GOM]=CX$3)))</f>
        <v>0</v>
      </c>
      <c r="CY9" s="8" cm="1">
        <f t="array" ref="CY9">IF(CY$2="FY",SUMPRODUCT(Data[Nhập-SPC+SPP-NX]*(Data[Year]=CY$1)*(Data[Main SKU name_GOM]=$A9)*(Data[SKU name_NHẬP_GOM]=CY$3)),SUMPRODUCT(Data[Nhập-SPC+SPP-NX]*(Data[Year]=CY$1)*(Data[Month]=CY$2)*(Data[Main SKU name_GOM]=$A9)*(Data[SKU name_NHẬP_GOM]=CY$3)))</f>
        <v>0</v>
      </c>
      <c r="CZ9" s="8" cm="1">
        <f t="array" ref="CZ9">IF(CZ$2="FY",SUMPRODUCT(Data[Nhập-SPC+SPP-NX]*(Data[Year]=CZ$1)*(Data[Main SKU name_GOM]=$A9)*(Data[SKU name_NHẬP_GOM]=CZ$3)),SUMPRODUCT(Data[Nhập-SPC+SPP-NX]*(Data[Year]=CZ$1)*(Data[Month]=CZ$2)*(Data[Main SKU name_GOM]=$A9)*(Data[SKU name_NHẬP_GOM]=CZ$3)))</f>
        <v>0</v>
      </c>
      <c r="DA9" s="8" cm="1">
        <f t="array" ref="DA9">IF(DA$2="FY",SUMPRODUCT(Data[Nhập-SPC+SPP-NX]*(Data[Year]=DA$1)*(Data[Main SKU name_GOM]=$A9)*(Data[SKU name_NHẬP_GOM]=DA$3)),SUMPRODUCT(Data[Nhập-SPC+SPP-NX]*(Data[Year]=DA$1)*(Data[Month]=DA$2)*(Data[Main SKU name_GOM]=$A9)*(Data[SKU name_NHẬP_GOM]=DA$3)))</f>
        <v>0</v>
      </c>
      <c r="DB9" s="8" cm="1">
        <f t="array" ref="DB9">IF(DB$2="FY",SUMPRODUCT(Data[Nhập-SPC+SPP-NX]*(Data[Year]=DB$1)*(Data[Main SKU name_GOM]=$A9)*(Data[SKU name_NHẬP_GOM]=DB$3)),SUMPRODUCT(Data[Nhập-SPC+SPP-NX]*(Data[Year]=DB$1)*(Data[Month]=DB$2)*(Data[Main SKU name_GOM]=$A9)*(Data[SKU name_NHẬP_GOM]=DB$3)))</f>
        <v>0</v>
      </c>
      <c r="DC9" s="8" cm="1">
        <f t="array" ref="DC9">IF(DC$2="FY",SUMPRODUCT(Data[Nhập-SPC+SPP-NX]*(Data[Year]=DC$1)*(Data[Main SKU name_GOM]=$A9)*(Data[SKU name_NHẬP_GOM]=DC$3)),SUMPRODUCT(Data[Nhập-SPC+SPP-NX]*(Data[Year]=DC$1)*(Data[Month]=DC$2)*(Data[Main SKU name_GOM]=$A9)*(Data[SKU name_NHẬP_GOM]=DC$3)))</f>
        <v>0</v>
      </c>
      <c r="DD9" s="8" cm="1">
        <f t="array" ref="DD9">IF(DD$2="FY",SUMPRODUCT(Data[Nhập-SPC+SPP-NX]*(Data[Year]=DD$1)*(Data[Main SKU name_GOM]=$A9)*(Data[SKU name_NHẬP_GOM]=DD$3)),SUMPRODUCT(Data[Nhập-SPC+SPP-NX]*(Data[Year]=DD$1)*(Data[Month]=DD$2)*(Data[Main SKU name_GOM]=$A9)*(Data[SKU name_NHẬP_GOM]=DD$3)))</f>
        <v>0</v>
      </c>
      <c r="DE9" s="8" cm="1">
        <f t="array" ref="DE9">IF(DE$2="FY",SUMPRODUCT(Data[Nhập-SPC+SPP-NX]*(Data[Year]=DE$1)*(Data[Main SKU name_GOM]=$A9)*(Data[SKU name_NHẬP_GOM]=DE$3)),SUMPRODUCT(Data[Nhập-SPC+SPP-NX]*(Data[Year]=DE$1)*(Data[Month]=DE$2)*(Data[Main SKU name_GOM]=$A9)*(Data[SKU name_NHẬP_GOM]=DE$3)))</f>
        <v>0</v>
      </c>
      <c r="DF9" s="8">
        <f t="shared" si="8"/>
        <v>0</v>
      </c>
      <c r="DH9" s="8" cm="1">
        <f t="array" ref="DH9">IF(DH$2="FY",SUMPRODUCT(Data[Nhập-SPC+SPP-NX]*(Data[Year]=DH$1)*(Data[Main SKU name_GOM]=$A9)*(Data[SKU name_NHẬP_GOM]=DH$3)),SUMPRODUCT(Data[Nhập-SPC+SPP-NX]*(Data[Year]=DH$1)*(Data[Month]=DH$2)*(Data[Main SKU name_GOM]=$A9)*(Data[SKU name_NHẬP_GOM]=DH$3)))</f>
        <v>0</v>
      </c>
      <c r="DI9" s="8" cm="1">
        <f t="array" ref="DI9">IF(DI$2="FY",SUMPRODUCT(Data[Nhập-SPC+SPP-NX]*(Data[Year]=DI$1)*(Data[Main SKU name_GOM]=$A9)*(Data[SKU name_NHẬP_GOM]=DI$3)),SUMPRODUCT(Data[Nhập-SPC+SPP-NX]*(Data[Year]=DI$1)*(Data[Month]=DI$2)*(Data[Main SKU name_GOM]=$A9)*(Data[SKU name_NHẬP_GOM]=DI$3)))</f>
        <v>0</v>
      </c>
      <c r="DJ9" s="8" cm="1">
        <f t="array" ref="DJ9">IF(DJ$2="FY",SUMPRODUCT(Data[Nhập-SPC+SPP-NX]*(Data[Year]=DJ$1)*(Data[Main SKU name_GOM]=$A9)*(Data[SKU name_NHẬP_GOM]=DJ$3)),SUMPRODUCT(Data[Nhập-SPC+SPP-NX]*(Data[Year]=DJ$1)*(Data[Month]=DJ$2)*(Data[Main SKU name_GOM]=$A9)*(Data[SKU name_NHẬP_GOM]=DJ$3)))</f>
        <v>0</v>
      </c>
      <c r="DK9" s="8" cm="1">
        <f t="array" ref="DK9">IF(DK$2="FY",SUMPRODUCT(Data[Nhập-SPC+SPP-NX]*(Data[Year]=DK$1)*(Data[Main SKU name_GOM]=$A9)*(Data[SKU name_NHẬP_GOM]=DK$3)),SUMPRODUCT(Data[Nhập-SPC+SPP-NX]*(Data[Year]=DK$1)*(Data[Month]=DK$2)*(Data[Main SKU name_GOM]=$A9)*(Data[SKU name_NHẬP_GOM]=DK$3)))</f>
        <v>0</v>
      </c>
      <c r="DL9" s="8" cm="1">
        <f t="array" ref="DL9">IF(DL$2="FY",SUMPRODUCT(Data[Nhập-SPC+SPP-NX]*(Data[Year]=DL$1)*(Data[Main SKU name_GOM]=$A9)*(Data[SKU name_NHẬP_GOM]=DL$3)),SUMPRODUCT(Data[Nhập-SPC+SPP-NX]*(Data[Year]=DL$1)*(Data[Month]=DL$2)*(Data[Main SKU name_GOM]=$A9)*(Data[SKU name_NHẬP_GOM]=DL$3)))</f>
        <v>0</v>
      </c>
      <c r="DM9" s="8" cm="1">
        <f t="array" ref="DM9">IF(DM$2="FY",SUMPRODUCT(Data[Nhập-SPC+SPP-NX]*(Data[Year]=DM$1)*(Data[Main SKU name_GOM]=$A9)*(Data[SKU name_NHẬP_GOM]=DM$3)),SUMPRODUCT(Data[Nhập-SPC+SPP-NX]*(Data[Year]=DM$1)*(Data[Month]=DM$2)*(Data[Main SKU name_GOM]=$A9)*(Data[SKU name_NHẬP_GOM]=DM$3)))</f>
        <v>0</v>
      </c>
      <c r="DN9" s="8" cm="1">
        <f t="array" ref="DN9">IF(DN$2="FY",SUMPRODUCT(Data[Nhập-SPC+SPP-NX]*(Data[Year]=DN$1)*(Data[Main SKU name_GOM]=$A9)*(Data[SKU name_NHẬP_GOM]=DN$3)),SUMPRODUCT(Data[Nhập-SPC+SPP-NX]*(Data[Year]=DN$1)*(Data[Month]=DN$2)*(Data[Main SKU name_GOM]=$A9)*(Data[SKU name_NHẬP_GOM]=DN$3)))</f>
        <v>0</v>
      </c>
      <c r="DO9" s="8" cm="1">
        <f t="array" ref="DO9">IF(DO$2="FY",SUMPRODUCT(Data[Nhập-SPC+SPP-NX]*(Data[Year]=DO$1)*(Data[Main SKU name_GOM]=$A9)*(Data[SKU name_NHẬP_GOM]=DO$3)),SUMPRODUCT(Data[Nhập-SPC+SPP-NX]*(Data[Year]=DO$1)*(Data[Month]=DO$2)*(Data[Main SKU name_GOM]=$A9)*(Data[SKU name_NHẬP_GOM]=DO$3)))</f>
        <v>0</v>
      </c>
      <c r="DP9" s="8" cm="1">
        <f t="array" ref="DP9">IF(DP$2="FY",SUMPRODUCT(Data[Nhập-SPC+SPP-NX]*(Data[Year]=DP$1)*(Data[Main SKU name_GOM]=$A9)*(Data[SKU name_NHẬP_GOM]=DP$3)),SUMPRODUCT(Data[Nhập-SPC+SPP-NX]*(Data[Year]=DP$1)*(Data[Month]=DP$2)*(Data[Main SKU name_GOM]=$A9)*(Data[SKU name_NHẬP_GOM]=DP$3)))</f>
        <v>0</v>
      </c>
      <c r="DQ9" s="8" cm="1">
        <f t="array" ref="DQ9">IF(DQ$2="FY",SUMPRODUCT(Data[Nhập-SPC+SPP-NX]*(Data[Year]=DQ$1)*(Data[Main SKU name_GOM]=$A9)*(Data[SKU name_NHẬP_GOM]=DQ$3)),SUMPRODUCT(Data[Nhập-SPC+SPP-NX]*(Data[Year]=DQ$1)*(Data[Month]=DQ$2)*(Data[Main SKU name_GOM]=$A9)*(Data[SKU name_NHẬP_GOM]=DQ$3)))</f>
        <v>0</v>
      </c>
      <c r="DR9" s="8">
        <f t="shared" si="9"/>
        <v>0</v>
      </c>
      <c r="DT9" s="8" cm="1">
        <f t="array" ref="DT9">IF(DT$2="FY",SUMPRODUCT(Data[Nhập-SPC+SPP-NX]*(Data[Year]=DT$1)*(Data[Main SKU name_GOM]=$A9)*(Data[SKU name_NHẬP_GOM]=DT$3)),SUMPRODUCT(Data[Nhập-SPC+SPP-NX]*(Data[Year]=DT$1)*(Data[Month]=DT$2)*(Data[Main SKU name_GOM]=$A9)*(Data[SKU name_NHẬP_GOM]=DT$3)))</f>
        <v>0</v>
      </c>
      <c r="DU9" s="8" cm="1">
        <f t="array" ref="DU9">IF(DU$2="FY",SUMPRODUCT(Data[Nhập-SPC+SPP-NX]*(Data[Year]=DU$1)*(Data[Main SKU name_GOM]=$A9)*(Data[SKU name_NHẬP_GOM]=DU$3)),SUMPRODUCT(Data[Nhập-SPC+SPP-NX]*(Data[Year]=DU$1)*(Data[Month]=DU$2)*(Data[Main SKU name_GOM]=$A9)*(Data[SKU name_NHẬP_GOM]=DU$3)))</f>
        <v>0</v>
      </c>
      <c r="DV9" s="8" cm="1">
        <f t="array" ref="DV9">IF(DV$2="FY",SUMPRODUCT(Data[Nhập-SPC+SPP-NX]*(Data[Year]=DV$1)*(Data[Main SKU name_GOM]=$A9)*(Data[SKU name_NHẬP_GOM]=DV$3)),SUMPRODUCT(Data[Nhập-SPC+SPP-NX]*(Data[Year]=DV$1)*(Data[Month]=DV$2)*(Data[Main SKU name_GOM]=$A9)*(Data[SKU name_NHẬP_GOM]=DV$3)))</f>
        <v>0</v>
      </c>
      <c r="DW9" s="8" cm="1">
        <f t="array" ref="DW9">IF(DW$2="FY",SUMPRODUCT(Data[Nhập-SPC+SPP-NX]*(Data[Year]=DW$1)*(Data[Main SKU name_GOM]=$A9)*(Data[SKU name_NHẬP_GOM]=DW$3)),SUMPRODUCT(Data[Nhập-SPC+SPP-NX]*(Data[Year]=DW$1)*(Data[Month]=DW$2)*(Data[Main SKU name_GOM]=$A9)*(Data[SKU name_NHẬP_GOM]=DW$3)))</f>
        <v>0</v>
      </c>
      <c r="DX9" s="8" cm="1">
        <f t="array" ref="DX9">IF(DX$2="FY",SUMPRODUCT(Data[Nhập-SPC+SPP-NX]*(Data[Year]=DX$1)*(Data[Main SKU name_GOM]=$A9)*(Data[SKU name_NHẬP_GOM]=DX$3)),SUMPRODUCT(Data[Nhập-SPC+SPP-NX]*(Data[Year]=DX$1)*(Data[Month]=DX$2)*(Data[Main SKU name_GOM]=$A9)*(Data[SKU name_NHẬP_GOM]=DX$3)))</f>
        <v>108900</v>
      </c>
      <c r="DY9" s="8" cm="1">
        <f t="array" ref="DY9">IF(DY$2="FY",SUMPRODUCT(Data[Nhập-SPC+SPP-NX]*(Data[Year]=DY$1)*(Data[Main SKU name_GOM]=$A9)*(Data[SKU name_NHẬP_GOM]=DY$3)),SUMPRODUCT(Data[Nhập-SPC+SPP-NX]*(Data[Year]=DY$1)*(Data[Month]=DY$2)*(Data[Main SKU name_GOM]=$A9)*(Data[SKU name_NHẬP_GOM]=DY$3)))</f>
        <v>0</v>
      </c>
      <c r="DZ9" s="8" cm="1">
        <f t="array" ref="DZ9">IF(DZ$2="FY",SUMPRODUCT(Data[Nhập-SPC+SPP-NX]*(Data[Year]=DZ$1)*(Data[Main SKU name_GOM]=$A9)*(Data[SKU name_NHẬP_GOM]=DZ$3)),SUMPRODUCT(Data[Nhập-SPC+SPP-NX]*(Data[Year]=DZ$1)*(Data[Month]=DZ$2)*(Data[Main SKU name_GOM]=$A9)*(Data[SKU name_NHẬP_GOM]=DZ$3)))</f>
        <v>0</v>
      </c>
      <c r="EA9" s="8" cm="1">
        <f t="array" ref="EA9">IF(EA$2="FY",SUMPRODUCT(Data[Nhập-SPC+SPP-NX]*(Data[Year]=EA$1)*(Data[Main SKU name_GOM]=$A9)*(Data[SKU name_NHẬP_GOM]=EA$3)),SUMPRODUCT(Data[Nhập-SPC+SPP-NX]*(Data[Year]=EA$1)*(Data[Month]=EA$2)*(Data[Main SKU name_GOM]=$A9)*(Data[SKU name_NHẬP_GOM]=EA$3)))</f>
        <v>0</v>
      </c>
      <c r="EB9" s="8" cm="1">
        <f t="array" ref="EB9">IF(EB$2="FY",SUMPRODUCT(Data[Nhập-SPC+SPP-NX]*(Data[Year]=EB$1)*(Data[Main SKU name_GOM]=$A9)*(Data[SKU name_NHẬP_GOM]=EB$3)),SUMPRODUCT(Data[Nhập-SPC+SPP-NX]*(Data[Year]=EB$1)*(Data[Month]=EB$2)*(Data[Main SKU name_GOM]=$A9)*(Data[SKU name_NHẬP_GOM]=EB$3)))</f>
        <v>0</v>
      </c>
      <c r="EC9" s="8" cm="1">
        <f t="array" ref="EC9">IF(EC$2="FY",SUMPRODUCT(Data[Nhập-SPC+SPP-NX]*(Data[Year]=EC$1)*(Data[Main SKU name_GOM]=$A9)*(Data[SKU name_NHẬP_GOM]=EC$3)),SUMPRODUCT(Data[Nhập-SPC+SPP-NX]*(Data[Year]=EC$1)*(Data[Month]=EC$2)*(Data[Main SKU name_GOM]=$A9)*(Data[SKU name_NHẬP_GOM]=EC$3)))</f>
        <v>0</v>
      </c>
      <c r="ED9" s="8">
        <f t="shared" si="10"/>
        <v>108900</v>
      </c>
      <c r="EF9" s="8" cm="1">
        <f t="array" ref="EF9">IF(EF$2="FY",SUMPRODUCT(Data[Nhập-SPC+SPP-NX]*(Data[Year]=EF$1)*(Data[Main SKU name_GOM]=$A9)*(Data[SKU name_NHẬP_GOM]=EF$3)),SUMPRODUCT(Data[Nhập-SPC+SPP-NX]*(Data[Year]=EF$1)*(Data[Month]=EF$2)*(Data[Main SKU name_GOM]=$A9)*(Data[SKU name_NHẬP_GOM]=EF$3)))</f>
        <v>0</v>
      </c>
      <c r="EG9" s="8" cm="1">
        <f t="array" ref="EG9">IF(EG$2="FY",SUMPRODUCT(Data[Nhập-SPC+SPP-NX]*(Data[Year]=EG$1)*(Data[Main SKU name_GOM]=$A9)*(Data[SKU name_NHẬP_GOM]=EG$3)),SUMPRODUCT(Data[Nhập-SPC+SPP-NX]*(Data[Year]=EG$1)*(Data[Month]=EG$2)*(Data[Main SKU name_GOM]=$A9)*(Data[SKU name_NHẬP_GOM]=EG$3)))</f>
        <v>0</v>
      </c>
      <c r="EH9" s="8" cm="1">
        <f t="array" ref="EH9">IF(EH$2="FY",SUMPRODUCT(Data[Nhập-SPC+SPP-NX]*(Data[Year]=EH$1)*(Data[Main SKU name_GOM]=$A9)*(Data[SKU name_NHẬP_GOM]=EH$3)),SUMPRODUCT(Data[Nhập-SPC+SPP-NX]*(Data[Year]=EH$1)*(Data[Month]=EH$2)*(Data[Main SKU name_GOM]=$A9)*(Data[SKU name_NHẬP_GOM]=EH$3)))</f>
        <v>0</v>
      </c>
      <c r="EI9" s="8" cm="1">
        <f t="array" ref="EI9">IF(EI$2="FY",SUMPRODUCT(Data[Nhập-SPC+SPP-NX]*(Data[Year]=EI$1)*(Data[Main SKU name_GOM]=$A9)*(Data[SKU name_NHẬP_GOM]=EI$3)),SUMPRODUCT(Data[Nhập-SPC+SPP-NX]*(Data[Year]=EI$1)*(Data[Month]=EI$2)*(Data[Main SKU name_GOM]=$A9)*(Data[SKU name_NHẬP_GOM]=EI$3)))</f>
        <v>1100</v>
      </c>
      <c r="EJ9" s="8" cm="1">
        <f t="array" ref="EJ9">IF(EJ$2="FY",SUMPRODUCT(Data[Nhập-SPC+SPP-NX]*(Data[Year]=EJ$1)*(Data[Main SKU name_GOM]=$A9)*(Data[SKU name_NHẬP_GOM]=EJ$3)),SUMPRODUCT(Data[Nhập-SPC+SPP-NX]*(Data[Year]=EJ$1)*(Data[Month]=EJ$2)*(Data[Main SKU name_GOM]=$A9)*(Data[SKU name_NHẬP_GOM]=EJ$3)))</f>
        <v>93500</v>
      </c>
      <c r="EK9" s="8" cm="1">
        <f t="array" ref="EK9">IF(EK$2="FY",SUMPRODUCT(Data[Nhập-SPC+SPP-NX]*(Data[Year]=EK$1)*(Data[Main SKU name_GOM]=$A9)*(Data[SKU name_NHẬP_GOM]=EK$3)),SUMPRODUCT(Data[Nhập-SPC+SPP-NX]*(Data[Year]=EK$1)*(Data[Month]=EK$2)*(Data[Main SKU name_GOM]=$A9)*(Data[SKU name_NHẬP_GOM]=EK$3)))</f>
        <v>0</v>
      </c>
      <c r="EL9" s="8" cm="1">
        <f t="array" ref="EL9">IF(EL$2="FY",SUMPRODUCT(Data[Nhập-SPC+SPP-NX]*(Data[Year]=EL$1)*(Data[Main SKU name_GOM]=$A9)*(Data[SKU name_NHẬP_GOM]=EL$3)),SUMPRODUCT(Data[Nhập-SPC+SPP-NX]*(Data[Year]=EL$1)*(Data[Month]=EL$2)*(Data[Main SKU name_GOM]=$A9)*(Data[SKU name_NHẬP_GOM]=EL$3)))</f>
        <v>0</v>
      </c>
      <c r="EM9" s="8" cm="1">
        <f t="array" ref="EM9">IF(EM$2="FY",SUMPRODUCT(Data[Nhập-SPC+SPP-NX]*(Data[Year]=EM$1)*(Data[Main SKU name_GOM]=$A9)*(Data[SKU name_NHẬP_GOM]=EM$3)),SUMPRODUCT(Data[Nhập-SPC+SPP-NX]*(Data[Year]=EM$1)*(Data[Month]=EM$2)*(Data[Main SKU name_GOM]=$A9)*(Data[SKU name_NHẬP_GOM]=EM$3)))</f>
        <v>0</v>
      </c>
      <c r="EN9" s="8" cm="1">
        <f t="array" ref="EN9">IF(EN$2="FY",SUMPRODUCT(Data[Nhập-SPC+SPP-NX]*(Data[Year]=EN$1)*(Data[Main SKU name_GOM]=$A9)*(Data[SKU name_NHẬP_GOM]=EN$3)),SUMPRODUCT(Data[Nhập-SPC+SPP-NX]*(Data[Year]=EN$1)*(Data[Month]=EN$2)*(Data[Main SKU name_GOM]=$A9)*(Data[SKU name_NHẬP_GOM]=EN$3)))</f>
        <v>0</v>
      </c>
      <c r="EO9" s="8" cm="1">
        <f t="array" ref="EO9">IF(EO$2="FY",SUMPRODUCT(Data[Nhập-SPC+SPP-NX]*(Data[Year]=EO$1)*(Data[Main SKU name_GOM]=$A9)*(Data[SKU name_NHẬP_GOM]=EO$3)),SUMPRODUCT(Data[Nhập-SPC+SPP-NX]*(Data[Year]=EO$1)*(Data[Month]=EO$2)*(Data[Main SKU name_GOM]=$A9)*(Data[SKU name_NHẬP_GOM]=EO$3)))</f>
        <v>0</v>
      </c>
      <c r="EP9" s="8">
        <f t="shared" si="11"/>
        <v>94600</v>
      </c>
      <c r="ER9" s="8" cm="1">
        <f t="array" ref="ER9">IF(ER$2="FY",SUMPRODUCT(Data[Nhập-SPC+SPP-NX]*(Data[Year]=ER$1)*(Data[Main SKU name_GOM]=$A9)*(Data[SKU name_NHẬP_GOM]=ER$3)),SUMPRODUCT(Data[Nhập-SPC+SPP-NX]*(Data[Year]=ER$1)*(Data[Month]=ER$2)*(Data[Main SKU name_GOM]=$A9)*(Data[SKU name_NHẬP_GOM]=ER$3)))</f>
        <v>0</v>
      </c>
      <c r="ES9" s="8" cm="1">
        <f t="array" ref="ES9">IF(ES$2="FY",SUMPRODUCT(Data[Nhập-SPC+SPP-NX]*(Data[Year]=ES$1)*(Data[Main SKU name_GOM]=$A9)*(Data[SKU name_NHẬP_GOM]=ES$3)),SUMPRODUCT(Data[Nhập-SPC+SPP-NX]*(Data[Year]=ES$1)*(Data[Month]=ES$2)*(Data[Main SKU name_GOM]=$A9)*(Data[SKU name_NHẬP_GOM]=ES$3)))</f>
        <v>0</v>
      </c>
      <c r="ET9" s="8" cm="1">
        <f t="array" ref="ET9">IF(ET$2="FY",SUMPRODUCT(Data[Nhập-SPC+SPP-NX]*(Data[Year]=ET$1)*(Data[Main SKU name_GOM]=$A9)*(Data[SKU name_NHẬP_GOM]=ET$3)),SUMPRODUCT(Data[Nhập-SPC+SPP-NX]*(Data[Year]=ET$1)*(Data[Month]=ET$2)*(Data[Main SKU name_GOM]=$A9)*(Data[SKU name_NHẬP_GOM]=ET$3)))</f>
        <v>0</v>
      </c>
      <c r="EU9" s="8" cm="1">
        <f t="array" ref="EU9">IF(EU$2="FY",SUMPRODUCT(Data[Nhập-SPC+SPP-NX]*(Data[Year]=EU$1)*(Data[Main SKU name_GOM]=$A9)*(Data[SKU name_NHẬP_GOM]=EU$3)),SUMPRODUCT(Data[Nhập-SPC+SPP-NX]*(Data[Year]=EU$1)*(Data[Month]=EU$2)*(Data[Main SKU name_GOM]=$A9)*(Data[SKU name_NHẬP_GOM]=EU$3)))</f>
        <v>1100</v>
      </c>
      <c r="EV9" s="8" cm="1">
        <f t="array" ref="EV9">IF(EV$2="FY",SUMPRODUCT(Data[Nhập-SPC+SPP-NX]*(Data[Year]=EV$1)*(Data[Main SKU name_GOM]=$A9)*(Data[SKU name_NHẬP_GOM]=EV$3)),SUMPRODUCT(Data[Nhập-SPC+SPP-NX]*(Data[Year]=EV$1)*(Data[Month]=EV$2)*(Data[Main SKU name_GOM]=$A9)*(Data[SKU name_NHẬP_GOM]=EV$3)))</f>
        <v>19800</v>
      </c>
      <c r="EW9" s="8" cm="1">
        <f t="array" ref="EW9">IF(EW$2="FY",SUMPRODUCT(Data[Nhập-SPC+SPP-NX]*(Data[Year]=EW$1)*(Data[Main SKU name_GOM]=$A9)*(Data[SKU name_NHẬP_GOM]=EW$3)),SUMPRODUCT(Data[Nhập-SPC+SPP-NX]*(Data[Year]=EW$1)*(Data[Month]=EW$2)*(Data[Main SKU name_GOM]=$A9)*(Data[SKU name_NHẬP_GOM]=EW$3)))</f>
        <v>0</v>
      </c>
      <c r="EX9" s="8" cm="1">
        <f t="array" ref="EX9">IF(EX$2="FY",SUMPRODUCT(Data[Nhập-SPC+SPP-NX]*(Data[Year]=EX$1)*(Data[Main SKU name_GOM]=$A9)*(Data[SKU name_NHẬP_GOM]=EX$3)),SUMPRODUCT(Data[Nhập-SPC+SPP-NX]*(Data[Year]=EX$1)*(Data[Month]=EX$2)*(Data[Main SKU name_GOM]=$A9)*(Data[SKU name_NHẬP_GOM]=EX$3)))</f>
        <v>0</v>
      </c>
      <c r="EY9" s="8" cm="1">
        <f t="array" ref="EY9">IF(EY$2="FY",SUMPRODUCT(Data[Nhập-SPC+SPP-NX]*(Data[Year]=EY$1)*(Data[Main SKU name_GOM]=$A9)*(Data[SKU name_NHẬP_GOM]=EY$3)),SUMPRODUCT(Data[Nhập-SPC+SPP-NX]*(Data[Year]=EY$1)*(Data[Month]=EY$2)*(Data[Main SKU name_GOM]=$A9)*(Data[SKU name_NHẬP_GOM]=EY$3)))</f>
        <v>0</v>
      </c>
      <c r="EZ9" s="8" cm="1">
        <f t="array" ref="EZ9">IF(EZ$2="FY",SUMPRODUCT(Data[Nhập-SPC+SPP-NX]*(Data[Year]=EZ$1)*(Data[Main SKU name_GOM]=$A9)*(Data[SKU name_NHẬP_GOM]=EZ$3)),SUMPRODUCT(Data[Nhập-SPC+SPP-NX]*(Data[Year]=EZ$1)*(Data[Month]=EZ$2)*(Data[Main SKU name_GOM]=$A9)*(Data[SKU name_NHẬP_GOM]=EZ$3)))</f>
        <v>0</v>
      </c>
      <c r="FA9" s="8" cm="1">
        <f t="array" ref="FA9">IF(FA$2="FY",SUMPRODUCT(Data[Nhập-SPC+SPP-NX]*(Data[Year]=FA$1)*(Data[Main SKU name_GOM]=$A9)*(Data[SKU name_NHẬP_GOM]=FA$3)),SUMPRODUCT(Data[Nhập-SPC+SPP-NX]*(Data[Year]=FA$1)*(Data[Month]=FA$2)*(Data[Main SKU name_GOM]=$A9)*(Data[SKU name_NHẬP_GOM]=FA$3)))</f>
        <v>0</v>
      </c>
      <c r="FB9" s="8">
        <f t="shared" si="12"/>
        <v>20900</v>
      </c>
    </row>
    <row r="10" spans="1:158" s="1" customFormat="1" ht="15" thickBot="1" x14ac:dyDescent="0.4">
      <c r="A10" s="6"/>
      <c r="B10" s="7" t="s">
        <v>78</v>
      </c>
      <c r="D10" s="9">
        <f>SUM(D6:D9)</f>
        <v>5865271</v>
      </c>
      <c r="E10" s="9">
        <f t="shared" ref="E10" si="13">SUM(E6:E9)</f>
        <v>5427021</v>
      </c>
      <c r="F10" s="9">
        <f t="shared" ref="F10" si="14">SUM(F6:F9)</f>
        <v>23250578</v>
      </c>
      <c r="G10" s="9">
        <f t="shared" ref="G10" si="15">SUM(G6:G9)</f>
        <v>915344</v>
      </c>
      <c r="H10" s="9">
        <f t="shared" ref="H10" si="16">SUM(H6:H9)</f>
        <v>2217922.5</v>
      </c>
      <c r="I10" s="9">
        <f t="shared" ref="I10" si="17">SUM(I6:I9)</f>
        <v>16500</v>
      </c>
      <c r="J10" s="9">
        <f t="shared" ref="J10" si="18">SUM(J6:J9)</f>
        <v>0</v>
      </c>
      <c r="K10" s="9">
        <f t="shared" ref="K10" si="19">SUM(K6:K9)</f>
        <v>13200</v>
      </c>
      <c r="L10" s="9">
        <f t="shared" ref="L10" si="20">SUM(L6:L9)</f>
        <v>6600</v>
      </c>
      <c r="M10" s="9">
        <f t="shared" ref="M10" si="21">SUM(M6:M9)</f>
        <v>0</v>
      </c>
      <c r="N10" s="9">
        <f t="shared" ref="N10" si="22">SUM(N6:N9)</f>
        <v>37712436.5</v>
      </c>
      <c r="P10" s="9">
        <f>SUM(P6:P9)</f>
        <v>232198</v>
      </c>
      <c r="Q10" s="9">
        <f t="shared" ref="Q10" si="23">SUM(Q6:Q9)</f>
        <v>755700</v>
      </c>
      <c r="R10" s="9">
        <f t="shared" ref="R10" si="24">SUM(R6:R9)</f>
        <v>3270376.9999999995</v>
      </c>
      <c r="S10" s="9">
        <f t="shared" ref="S10" si="25">SUM(S6:S9)</f>
        <v>169844</v>
      </c>
      <c r="T10" s="9">
        <f t="shared" ref="T10" si="26">SUM(T6:T9)</f>
        <v>23100</v>
      </c>
      <c r="U10" s="9">
        <f t="shared" ref="U10" si="27">SUM(U6:U9)</f>
        <v>0</v>
      </c>
      <c r="V10" s="9">
        <f t="shared" ref="V10" si="28">SUM(V6:V9)</f>
        <v>0</v>
      </c>
      <c r="W10" s="9">
        <f t="shared" ref="W10" si="29">SUM(W6:W9)</f>
        <v>0</v>
      </c>
      <c r="X10" s="9">
        <f t="shared" ref="X10" si="30">SUM(X6:X9)</f>
        <v>0</v>
      </c>
      <c r="Y10" s="9">
        <f t="shared" ref="Y10" si="31">SUM(Y6:Y9)</f>
        <v>0</v>
      </c>
      <c r="Z10" s="9">
        <f t="shared" ref="Z10" si="32">SUM(Z6:Z9)</f>
        <v>4451219</v>
      </c>
      <c r="AB10" s="9">
        <f>SUM(AB6:AB9)</f>
        <v>232233</v>
      </c>
      <c r="AC10" s="9">
        <f t="shared" ref="AC10" si="33">SUM(AC6:AC9)</f>
        <v>201300</v>
      </c>
      <c r="AD10" s="9">
        <f t="shared" ref="AD10" si="34">SUM(AD6:AD9)</f>
        <v>2440402</v>
      </c>
      <c r="AE10" s="9">
        <f t="shared" ref="AE10" si="35">SUM(AE6:AE9)</f>
        <v>157300</v>
      </c>
      <c r="AF10" s="9">
        <f t="shared" ref="AF10" si="36">SUM(AF6:AF9)</f>
        <v>7631</v>
      </c>
      <c r="AG10" s="9">
        <f t="shared" ref="AG10" si="37">SUM(AG6:AG9)</f>
        <v>0</v>
      </c>
      <c r="AH10" s="9">
        <f t="shared" ref="AH10" si="38">SUM(AH6:AH9)</f>
        <v>0</v>
      </c>
      <c r="AI10" s="9">
        <f t="shared" ref="AI10" si="39">SUM(AI6:AI9)</f>
        <v>0</v>
      </c>
      <c r="AJ10" s="9">
        <f t="shared" ref="AJ10" si="40">SUM(AJ6:AJ9)</f>
        <v>0</v>
      </c>
      <c r="AK10" s="9">
        <f t="shared" ref="AK10" si="41">SUM(AK6:AK9)</f>
        <v>0</v>
      </c>
      <c r="AL10" s="9">
        <f t="shared" ref="AL10" si="42">SUM(AL6:AL9)</f>
        <v>3038866</v>
      </c>
      <c r="AN10" s="9">
        <f>SUM(AN6:AN9)</f>
        <v>28600</v>
      </c>
      <c r="AO10" s="9">
        <f t="shared" ref="AO10" si="43">SUM(AO6:AO9)</f>
        <v>441100</v>
      </c>
      <c r="AP10" s="9">
        <f t="shared" ref="AP10" si="44">SUM(AP6:AP9)</f>
        <v>3343928.9999999995</v>
      </c>
      <c r="AQ10" s="9">
        <f t="shared" ref="AQ10" si="45">SUM(AQ6:AQ9)</f>
        <v>118800</v>
      </c>
      <c r="AR10" s="9">
        <f t="shared" ref="AR10" si="46">SUM(AR6:AR9)</f>
        <v>17600</v>
      </c>
      <c r="AS10" s="9">
        <f t="shared" ref="AS10" si="47">SUM(AS6:AS9)</f>
        <v>0</v>
      </c>
      <c r="AT10" s="9">
        <f t="shared" ref="AT10" si="48">SUM(AT6:AT9)</f>
        <v>0</v>
      </c>
      <c r="AU10" s="9">
        <f t="shared" ref="AU10" si="49">SUM(AU6:AU9)</f>
        <v>0</v>
      </c>
      <c r="AV10" s="9">
        <f t="shared" ref="AV10" si="50">SUM(AV6:AV9)</f>
        <v>0</v>
      </c>
      <c r="AW10" s="9">
        <f t="shared" ref="AW10" si="51">SUM(AW6:AW9)</f>
        <v>0</v>
      </c>
      <c r="AX10" s="9">
        <f t="shared" ref="AX10" si="52">SUM(AX6:AX9)</f>
        <v>3950028.9999999995</v>
      </c>
      <c r="AZ10" s="9">
        <f>SUM(AZ6:AZ9)</f>
        <v>127600.00000000001</v>
      </c>
      <c r="BA10" s="9">
        <f t="shared" ref="BA10" si="53">SUM(BA6:BA9)</f>
        <v>240901.00000000003</v>
      </c>
      <c r="BB10" s="9">
        <f t="shared" ref="BB10" si="54">SUM(BB6:BB9)</f>
        <v>1045000</v>
      </c>
      <c r="BC10" s="9">
        <f t="shared" ref="BC10" si="55">SUM(BC6:BC9)</f>
        <v>47300</v>
      </c>
      <c r="BD10" s="9">
        <f t="shared" ref="BD10" si="56">SUM(BD6:BD9)</f>
        <v>15400</v>
      </c>
      <c r="BE10" s="9">
        <f t="shared" ref="BE10" si="57">SUM(BE6:BE9)</f>
        <v>0</v>
      </c>
      <c r="BF10" s="9">
        <f t="shared" ref="BF10" si="58">SUM(BF6:BF9)</f>
        <v>0</v>
      </c>
      <c r="BG10" s="9">
        <f t="shared" ref="BG10" si="59">SUM(BG6:BG9)</f>
        <v>0</v>
      </c>
      <c r="BH10" s="9">
        <f t="shared" ref="BH10" si="60">SUM(BH6:BH9)</f>
        <v>0</v>
      </c>
      <c r="BI10" s="9">
        <f t="shared" ref="BI10" si="61">SUM(BI6:BI9)</f>
        <v>0</v>
      </c>
      <c r="BJ10" s="9">
        <f t="shared" ref="BJ10" si="62">SUM(BJ6:BJ9)</f>
        <v>1476201</v>
      </c>
      <c r="BL10" s="9">
        <f>SUM(BL6:BL9)</f>
        <v>196900</v>
      </c>
      <c r="BM10" s="9">
        <f t="shared" ref="BM10" si="63">SUM(BM6:BM9)</f>
        <v>475200</v>
      </c>
      <c r="BN10" s="9">
        <f t="shared" ref="BN10" si="64">SUM(BN6:BN9)</f>
        <v>3210900.0000000005</v>
      </c>
      <c r="BO10" s="9">
        <f t="shared" ref="BO10" si="65">SUM(BO6:BO9)</f>
        <v>243100</v>
      </c>
      <c r="BP10" s="9">
        <f t="shared" ref="BP10" si="66">SUM(BP6:BP9)</f>
        <v>280499.99999999994</v>
      </c>
      <c r="BQ10" s="9">
        <f t="shared" ref="BQ10" si="67">SUM(BQ6:BQ9)</f>
        <v>0</v>
      </c>
      <c r="BR10" s="9">
        <f t="shared" ref="BR10" si="68">SUM(BR6:BR9)</f>
        <v>0</v>
      </c>
      <c r="BS10" s="9">
        <f t="shared" ref="BS10" si="69">SUM(BS6:BS9)</f>
        <v>0</v>
      </c>
      <c r="BT10" s="9">
        <f t="shared" ref="BT10" si="70">SUM(BT6:BT9)</f>
        <v>0</v>
      </c>
      <c r="BU10" s="9">
        <f t="shared" ref="BU10" si="71">SUM(BU6:BU9)</f>
        <v>0</v>
      </c>
      <c r="BV10" s="9">
        <f t="shared" ref="BV10" si="72">SUM(BV6:BV9)</f>
        <v>4406600</v>
      </c>
      <c r="BX10" s="9">
        <f>SUM(BX6:BX9)</f>
        <v>207900</v>
      </c>
      <c r="BY10" s="9">
        <f t="shared" ref="BY10" si="73">SUM(BY6:BY9)</f>
        <v>489500.00000000006</v>
      </c>
      <c r="BZ10" s="9">
        <f t="shared" ref="BZ10" si="74">SUM(BZ6:BZ9)</f>
        <v>2886399.9999999995</v>
      </c>
      <c r="CA10" s="9">
        <f t="shared" ref="CA10" si="75">SUM(CA6:CA9)</f>
        <v>105600.00000000001</v>
      </c>
      <c r="CB10" s="9">
        <f t="shared" ref="CB10" si="76">SUM(CB6:CB9)</f>
        <v>379700</v>
      </c>
      <c r="CC10" s="9">
        <f t="shared" ref="CC10" si="77">SUM(CC6:CC9)</f>
        <v>0</v>
      </c>
      <c r="CD10" s="9">
        <f t="shared" ref="CD10" si="78">SUM(CD6:CD9)</f>
        <v>0</v>
      </c>
      <c r="CE10" s="9">
        <f t="shared" ref="CE10" si="79">SUM(CE6:CE9)</f>
        <v>0</v>
      </c>
      <c r="CF10" s="9">
        <f t="shared" ref="CF10" si="80">SUM(CF6:CF9)</f>
        <v>0</v>
      </c>
      <c r="CG10" s="9">
        <f t="shared" ref="CG10" si="81">SUM(CG6:CG9)</f>
        <v>0</v>
      </c>
      <c r="CH10" s="9">
        <f t="shared" ref="CH10" si="82">SUM(CH6:CH9)</f>
        <v>4069099.9999999995</v>
      </c>
      <c r="CJ10" s="9">
        <f>SUM(CJ6:CJ9)</f>
        <v>446599.99999999994</v>
      </c>
      <c r="CK10" s="9">
        <f t="shared" ref="CK10" si="83">SUM(CK6:CK9)</f>
        <v>284900</v>
      </c>
      <c r="CL10" s="9">
        <f t="shared" ref="CL10" si="84">SUM(CL6:CL9)</f>
        <v>134200</v>
      </c>
      <c r="CM10" s="9">
        <f t="shared" ref="CM10" si="85">SUM(CM6:CM9)</f>
        <v>3300</v>
      </c>
      <c r="CN10" s="9">
        <f t="shared" ref="CN10" si="86">SUM(CN6:CN9)</f>
        <v>49200</v>
      </c>
      <c r="CO10" s="9">
        <f t="shared" ref="CO10" si="87">SUM(CO6:CO9)</f>
        <v>0</v>
      </c>
      <c r="CP10" s="9">
        <f t="shared" ref="CP10" si="88">SUM(CP6:CP9)</f>
        <v>0</v>
      </c>
      <c r="CQ10" s="9">
        <f t="shared" ref="CQ10" si="89">SUM(CQ6:CQ9)</f>
        <v>0</v>
      </c>
      <c r="CR10" s="9">
        <f t="shared" ref="CR10" si="90">SUM(CR6:CR9)</f>
        <v>0</v>
      </c>
      <c r="CS10" s="9">
        <f t="shared" ref="CS10" si="91">SUM(CS6:CS9)</f>
        <v>0</v>
      </c>
      <c r="CT10" s="9">
        <f t="shared" ref="CT10" si="92">SUM(CT6:CT9)</f>
        <v>918200</v>
      </c>
      <c r="CV10" s="9">
        <f>SUM(CV6:CV9)</f>
        <v>586300</v>
      </c>
      <c r="CW10" s="9">
        <f t="shared" ref="CW10" si="93">SUM(CW6:CW9)</f>
        <v>129164</v>
      </c>
      <c r="CX10" s="9">
        <f t="shared" ref="CX10" si="94">SUM(CX6:CX9)</f>
        <v>1029159</v>
      </c>
      <c r="CY10" s="9">
        <f t="shared" ref="CY10" si="95">SUM(CY6:CY9)</f>
        <v>2200</v>
      </c>
      <c r="CZ10" s="9">
        <f t="shared" ref="CZ10" si="96">SUM(CZ6:CZ9)</f>
        <v>86097</v>
      </c>
      <c r="DA10" s="9">
        <f t="shared" ref="DA10" si="97">SUM(DA6:DA9)</f>
        <v>0</v>
      </c>
      <c r="DB10" s="9">
        <f t="shared" ref="DB10" si="98">SUM(DB6:DB9)</f>
        <v>0</v>
      </c>
      <c r="DC10" s="9">
        <f t="shared" ref="DC10" si="99">SUM(DC6:DC9)</f>
        <v>0</v>
      </c>
      <c r="DD10" s="9">
        <f t="shared" ref="DD10" si="100">SUM(DD6:DD9)</f>
        <v>0</v>
      </c>
      <c r="DE10" s="9">
        <f t="shared" ref="DE10" si="101">SUM(DE6:DE9)</f>
        <v>0</v>
      </c>
      <c r="DF10" s="9">
        <f t="shared" ref="DF10" si="102">SUM(DF6:DF9)</f>
        <v>1832920</v>
      </c>
      <c r="DH10" s="9">
        <f>SUM(DH6:DH9)</f>
        <v>1211100.0000000002</v>
      </c>
      <c r="DI10" s="9">
        <f t="shared" ref="DI10" si="103">SUM(DI6:DI9)</f>
        <v>263255</v>
      </c>
      <c r="DJ10" s="9">
        <f t="shared" ref="DJ10" si="104">SUM(DJ6:DJ9)</f>
        <v>1280401</v>
      </c>
      <c r="DK10" s="9">
        <f t="shared" ref="DK10" si="105">SUM(DK6:DK9)</f>
        <v>4100</v>
      </c>
      <c r="DL10" s="9">
        <f t="shared" ref="DL10" si="106">SUM(DL6:DL9)</f>
        <v>239237</v>
      </c>
      <c r="DM10" s="9">
        <f t="shared" ref="DM10" si="107">SUM(DM6:DM9)</f>
        <v>0</v>
      </c>
      <c r="DN10" s="9">
        <f t="shared" ref="DN10" si="108">SUM(DN6:DN9)</f>
        <v>0</v>
      </c>
      <c r="DO10" s="9">
        <f t="shared" ref="DO10" si="109">SUM(DO6:DO9)</f>
        <v>0</v>
      </c>
      <c r="DP10" s="9">
        <f t="shared" ref="DP10" si="110">SUM(DP6:DP9)</f>
        <v>0</v>
      </c>
      <c r="DQ10" s="9">
        <f t="shared" ref="DQ10" si="111">SUM(DQ6:DQ9)</f>
        <v>0</v>
      </c>
      <c r="DR10" s="9">
        <f t="shared" ref="DR10" si="112">SUM(DR6:DR9)</f>
        <v>2998093</v>
      </c>
      <c r="DT10" s="9">
        <f>SUM(DT6:DT9)</f>
        <v>717040.00000000012</v>
      </c>
      <c r="DU10" s="9">
        <f t="shared" ref="DU10" si="113">SUM(DU6:DU9)</f>
        <v>469700</v>
      </c>
      <c r="DV10" s="9">
        <f t="shared" ref="DV10" si="114">SUM(DV6:DV9)</f>
        <v>1282310</v>
      </c>
      <c r="DW10" s="9">
        <f t="shared" ref="DW10" si="115">SUM(DW6:DW9)</f>
        <v>53900</v>
      </c>
      <c r="DX10" s="9">
        <f t="shared" ref="DX10" si="116">SUM(DX6:DX9)</f>
        <v>837822.5</v>
      </c>
      <c r="DY10" s="9">
        <f t="shared" ref="DY10" si="117">SUM(DY6:DY9)</f>
        <v>0</v>
      </c>
      <c r="DZ10" s="9">
        <f t="shared" ref="DZ10" si="118">SUM(DZ6:DZ9)</f>
        <v>0</v>
      </c>
      <c r="EA10" s="9">
        <f t="shared" ref="EA10" si="119">SUM(EA6:EA9)</f>
        <v>0</v>
      </c>
      <c r="EB10" s="9">
        <f t="shared" ref="EB10" si="120">SUM(EB6:EB9)</f>
        <v>0</v>
      </c>
      <c r="EC10" s="9">
        <f t="shared" ref="EC10" si="121">SUM(EC6:EC9)</f>
        <v>0</v>
      </c>
      <c r="ED10" s="9">
        <f t="shared" ref="ED10" si="122">SUM(ED6:ED9)</f>
        <v>3360772.5</v>
      </c>
      <c r="EF10" s="9">
        <f>SUM(EF6:EF9)</f>
        <v>909699.99999999988</v>
      </c>
      <c r="EG10" s="9">
        <f t="shared" ref="EG10" si="123">SUM(EG6:EG9)</f>
        <v>1438701.0000000002</v>
      </c>
      <c r="EH10" s="9">
        <f t="shared" ref="EH10" si="124">SUM(EH6:EH9)</f>
        <v>1574100</v>
      </c>
      <c r="EI10" s="9">
        <f t="shared" ref="EI10" si="125">SUM(EI6:EI9)</f>
        <v>6600</v>
      </c>
      <c r="EJ10" s="9">
        <f t="shared" ref="EJ10" si="126">SUM(EJ6:EJ9)</f>
        <v>222235</v>
      </c>
      <c r="EK10" s="9">
        <f t="shared" ref="EK10" si="127">SUM(EK6:EK9)</f>
        <v>0</v>
      </c>
      <c r="EL10" s="9">
        <f t="shared" ref="EL10" si="128">SUM(EL6:EL9)</f>
        <v>0</v>
      </c>
      <c r="EM10" s="9">
        <f t="shared" ref="EM10" si="129">SUM(EM6:EM9)</f>
        <v>0</v>
      </c>
      <c r="EN10" s="9">
        <f t="shared" ref="EN10" si="130">SUM(EN6:EN9)</f>
        <v>0</v>
      </c>
      <c r="EO10" s="9">
        <f t="shared" ref="EO10" si="131">SUM(EO6:EO9)</f>
        <v>0</v>
      </c>
      <c r="EP10" s="9">
        <f t="shared" ref="EP10" si="132">SUM(EP6:EP9)</f>
        <v>4151336</v>
      </c>
      <c r="ER10" s="9">
        <f>SUM(ER6:ER9)</f>
        <v>969100</v>
      </c>
      <c r="ES10" s="9">
        <f t="shared" ref="ES10" si="133">SUM(ES6:ES9)</f>
        <v>237600</v>
      </c>
      <c r="ET10" s="9">
        <f t="shared" ref="ET10" si="134">SUM(ET6:ET9)</f>
        <v>1753400</v>
      </c>
      <c r="EU10" s="9">
        <f t="shared" ref="EU10" si="135">SUM(EU6:EU9)</f>
        <v>3300</v>
      </c>
      <c r="EV10" s="9">
        <f t="shared" ref="EV10" si="136">SUM(EV6:EV9)</f>
        <v>59400</v>
      </c>
      <c r="EW10" s="9">
        <f t="shared" ref="EW10" si="137">SUM(EW6:EW9)</f>
        <v>16500</v>
      </c>
      <c r="EX10" s="9">
        <f t="shared" ref="EX10" si="138">SUM(EX6:EX9)</f>
        <v>0</v>
      </c>
      <c r="EY10" s="9">
        <f t="shared" ref="EY10" si="139">SUM(EY6:EY9)</f>
        <v>13200</v>
      </c>
      <c r="EZ10" s="9">
        <f t="shared" ref="EZ10" si="140">SUM(EZ6:EZ9)</f>
        <v>6600</v>
      </c>
      <c r="FA10" s="9">
        <f t="shared" ref="FA10" si="141">SUM(FA6:FA9)</f>
        <v>0</v>
      </c>
      <c r="FB10" s="9">
        <f t="shared" ref="FB10" si="142">SUM(FB6:FB9)</f>
        <v>3059100</v>
      </c>
    </row>
    <row r="11" spans="1:158" x14ac:dyDescent="0.35">
      <c r="N11" s="34">
        <f>'[1]Tóm tắt'!$R$13</f>
        <v>35471668.200000003</v>
      </c>
    </row>
    <row r="12" spans="1:158" x14ac:dyDescent="0.35">
      <c r="N12" s="35">
        <f>N10-N11</f>
        <v>2240768.299999997</v>
      </c>
    </row>
    <row r="13" spans="1:158" s="14" customFormat="1" ht="15" thickBot="1" x14ac:dyDescent="0.4">
      <c r="B13" s="15" t="s">
        <v>94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</row>
    <row r="14" spans="1:158" s="14" customFormat="1" x14ac:dyDescent="0.35">
      <c r="B14" s="14" t="s">
        <v>68</v>
      </c>
      <c r="D14" s="19">
        <f>IFERROR(D6/N6,0)</f>
        <v>0.87820381857051089</v>
      </c>
      <c r="E14" s="17">
        <f>IFERROR(E6/N6,0)</f>
        <v>5.1922137076470087E-2</v>
      </c>
      <c r="F14" s="17">
        <f>IFERROR(F6/N6,0)</f>
        <v>2.0533270614886503E-3</v>
      </c>
      <c r="G14" s="17">
        <f>IFERROR(G6/N6,0)</f>
        <v>2.7458822492363992E-3</v>
      </c>
      <c r="H14" s="17">
        <f>IFERROR(H6/N6,0)</f>
        <v>6.2500570433634869E-2</v>
      </c>
      <c r="I14" s="17">
        <f>IFERROR(I6/N6,0)</f>
        <v>2.0594116869272995E-3</v>
      </c>
      <c r="J14" s="17">
        <f>IFERROR(J6/N6,0)</f>
        <v>0</v>
      </c>
      <c r="K14" s="17">
        <f>IFERROR(K6/N6,0)</f>
        <v>0</v>
      </c>
      <c r="L14" s="17">
        <f>IFERROR(L6/N6,0)</f>
        <v>5.1485292173182487E-4</v>
      </c>
      <c r="M14" s="17">
        <f>IFERROR(M6/N6,0)</f>
        <v>0</v>
      </c>
      <c r="N14" s="18">
        <f>IFERROR(N6/N6,0)</f>
        <v>1</v>
      </c>
      <c r="P14" s="19">
        <f>IFERROR(P6/Z6,0)</f>
        <v>0.92122666517844687</v>
      </c>
      <c r="Q14" s="17">
        <f>IFERROR(Q6/Z6,0)</f>
        <v>4.8234267058387389E-2</v>
      </c>
      <c r="R14" s="17">
        <f>IFERROR(R6/Z6,0)</f>
        <v>8.6144009184442264E-3</v>
      </c>
      <c r="S14" s="17">
        <f>IFERROR(S6/Z6,0)</f>
        <v>2.1924666844721538E-2</v>
      </c>
      <c r="T14" s="17">
        <f>IFERROR(T6/Z6,0)</f>
        <v>0</v>
      </c>
      <c r="U14" s="17">
        <f>IFERROR(U6/Z6,0)</f>
        <v>0</v>
      </c>
      <c r="V14" s="17">
        <f>IFERROR(V6/Z6,0)</f>
        <v>0</v>
      </c>
      <c r="W14" s="17">
        <f>IFERROR(W6/Z6,0)</f>
        <v>0</v>
      </c>
      <c r="X14" s="17">
        <f>IFERROR(X6/Z6,0)</f>
        <v>0</v>
      </c>
      <c r="Y14" s="17">
        <f>IFERROR(Y6/Z6,0)</f>
        <v>0</v>
      </c>
      <c r="Z14" s="18">
        <f>IFERROR(Z6/Z6,0)</f>
        <v>1</v>
      </c>
      <c r="AB14" s="19">
        <f>IFERROR(AB6/AL6,0)</f>
        <v>0.82430173249140148</v>
      </c>
      <c r="AC14" s="17">
        <f>IFERROR(AC6/AL6,0)</f>
        <v>0.13665420806224332</v>
      </c>
      <c r="AD14" s="17">
        <f>IFERROR(AD6/AL6,0)</f>
        <v>7.8088118892710471E-3</v>
      </c>
      <c r="AE14" s="17">
        <f>IFERROR(AE6/AL6,0)</f>
        <v>2.3426435667813141E-2</v>
      </c>
      <c r="AF14" s="17">
        <f>IFERROR(AF6/AL6,0)</f>
        <v>7.8088118892710471E-3</v>
      </c>
      <c r="AG14" s="17">
        <f>IFERROR(AG6/AL6,0)</f>
        <v>0</v>
      </c>
      <c r="AH14" s="17">
        <f>IFERROR(AH6/AL6,0)</f>
        <v>0</v>
      </c>
      <c r="AI14" s="17">
        <f>IFERROR(AI6/AL6,0)</f>
        <v>0</v>
      </c>
      <c r="AJ14" s="17">
        <f>IFERROR(AJ6/AL6,0)</f>
        <v>0</v>
      </c>
      <c r="AK14" s="17">
        <f>IFERROR(AK6/AL6,0)</f>
        <v>0</v>
      </c>
      <c r="AL14" s="18">
        <f>IFERROR(AL6/AL6,0)</f>
        <v>1</v>
      </c>
      <c r="AN14" s="19">
        <f t="shared" ref="AN14:AN17" si="143">IFERROR(AN6/AX6,0)</f>
        <v>0.68421052631578949</v>
      </c>
      <c r="AO14" s="17">
        <f t="shared" ref="AO14:AO17" si="144">IFERROR(AO6/AX6,0)</f>
        <v>0.23684210526315788</v>
      </c>
      <c r="AP14" s="17">
        <f t="shared" ref="AP14:AP17" si="145">IFERROR(AP6/AX6,0)</f>
        <v>2.6315789473684209E-2</v>
      </c>
      <c r="AQ14" s="17">
        <f t="shared" ref="AQ14:AQ17" si="146">IFERROR(AQ6/AX6,0)</f>
        <v>0</v>
      </c>
      <c r="AR14" s="17">
        <f t="shared" ref="AR14:AR17" si="147">IFERROR(AR6/AX6,0)</f>
        <v>5.2631578947368418E-2</v>
      </c>
      <c r="AS14" s="17">
        <f t="shared" ref="AS14:AS17" si="148">IFERROR(AS6/AX6,0)</f>
        <v>0</v>
      </c>
      <c r="AT14" s="17">
        <f t="shared" ref="AT14:AT17" si="149">IFERROR(AT6/AX6,0)</f>
        <v>0</v>
      </c>
      <c r="AU14" s="17">
        <f t="shared" ref="AU14:AU17" si="150">IFERROR(AU6/AX6,0)</f>
        <v>0</v>
      </c>
      <c r="AV14" s="17">
        <f t="shared" ref="AV14:AV17" si="151">IFERROR(AV6/AX6,0)</f>
        <v>0</v>
      </c>
      <c r="AW14" s="17">
        <f t="shared" ref="AW14" si="152">IFERROR(AW6/AX6,0)</f>
        <v>0</v>
      </c>
      <c r="AX14" s="18">
        <f t="shared" ref="AX14" si="153">IFERROR(AX6/AX6,0)</f>
        <v>1</v>
      </c>
      <c r="AZ14" s="19">
        <f t="shared" ref="AZ14:AZ17" si="154">IFERROR(AZ6/BJ6,0)</f>
        <v>0.94262295081967229</v>
      </c>
      <c r="BA14" s="17">
        <f t="shared" ref="BA14:BA17" si="155">IFERROR(BA6/BJ6,0)</f>
        <v>5.737704918032787E-2</v>
      </c>
      <c r="BB14" s="17">
        <f t="shared" ref="BB14:BB17" si="156">IFERROR(BB6/BJ6,0)</f>
        <v>0</v>
      </c>
      <c r="BC14" s="17">
        <f t="shared" ref="BC14:BC17" si="157">IFERROR(BC6/BJ6,0)</f>
        <v>0</v>
      </c>
      <c r="BD14" s="17">
        <f t="shared" ref="BD14:BD17" si="158">IFERROR(BD6/BJ6,0)</f>
        <v>0</v>
      </c>
      <c r="BE14" s="17">
        <f t="shared" ref="BE14:BE17" si="159">IFERROR(BE6/BJ6,0)</f>
        <v>0</v>
      </c>
      <c r="BF14" s="17">
        <f t="shared" ref="BF14:BF17" si="160">IFERROR(BF6/BJ6,0)</f>
        <v>0</v>
      </c>
      <c r="BG14" s="17">
        <f t="shared" ref="BG14:BG17" si="161">IFERROR(BG6/BJ6,0)</f>
        <v>0</v>
      </c>
      <c r="BH14" s="17">
        <f t="shared" ref="BH14:BH17" si="162">IFERROR(BH6/BJ6,0)</f>
        <v>0</v>
      </c>
      <c r="BI14" s="17">
        <f t="shared" ref="BI14" si="163">IFERROR(BI6/BJ6,0)</f>
        <v>0</v>
      </c>
      <c r="BJ14" s="18">
        <f t="shared" ref="BJ14" si="164">IFERROR(BJ6/BJ6,0)</f>
        <v>1</v>
      </c>
      <c r="BL14" s="19">
        <f t="shared" ref="BL14:BL18" si="165">IFERROR(BL6/BV6,0)</f>
        <v>0.78854625550660795</v>
      </c>
      <c r="BM14" s="17">
        <f t="shared" ref="BM14:BM18" si="166">IFERROR(BM6/BV6,0)</f>
        <v>0.17180616740088106</v>
      </c>
      <c r="BN14" s="17">
        <f t="shared" ref="BN14:BN18" si="167">IFERROR(BN6/BV6,0)</f>
        <v>0</v>
      </c>
      <c r="BO14" s="17">
        <f t="shared" ref="BO14:BO18" si="168">IFERROR(BO6/BV6,0)</f>
        <v>1.7621145374449341E-2</v>
      </c>
      <c r="BP14" s="17">
        <f t="shared" ref="BP14:BP18" si="169">IFERROR(BP6/BV6,0)</f>
        <v>2.2026431718061675E-2</v>
      </c>
      <c r="BQ14" s="17">
        <f t="shared" ref="BQ14:BQ18" si="170">IFERROR(BQ6/BV6,0)</f>
        <v>0</v>
      </c>
      <c r="BR14" s="17">
        <f t="shared" ref="BR14:BR18" si="171">IFERROR(BR6/BV6,0)</f>
        <v>0</v>
      </c>
      <c r="BS14" s="17">
        <f t="shared" ref="BS14:BS18" si="172">IFERROR(BS6/BV6,0)</f>
        <v>0</v>
      </c>
      <c r="BT14" s="17">
        <f t="shared" ref="BT14:BT18" si="173">IFERROR(BT6/BV6,0)</f>
        <v>0</v>
      </c>
      <c r="BU14" s="17">
        <f t="shared" ref="BU14" si="174">IFERROR(BU6/BV6,0)</f>
        <v>0</v>
      </c>
      <c r="BV14" s="18">
        <f t="shared" ref="BV14" si="175">IFERROR(BV6/BV6,0)</f>
        <v>1</v>
      </c>
      <c r="BX14" s="19">
        <f t="shared" ref="BX14:BX18" si="176">IFERROR(BX6/CH6,0)</f>
        <v>0.9</v>
      </c>
      <c r="BY14" s="17">
        <f t="shared" ref="BY14:BY18" si="177">IFERROR(BY6/CH6,0)</f>
        <v>9.5238095238095233E-2</v>
      </c>
      <c r="BZ14" s="17">
        <f t="shared" ref="BZ14:BZ18" si="178">IFERROR(BZ6/CH6,0)</f>
        <v>0</v>
      </c>
      <c r="CA14" s="17">
        <f t="shared" ref="CA14:CA18" si="179">IFERROR(CA6/CH6,0)</f>
        <v>0</v>
      </c>
      <c r="CB14" s="17">
        <f t="shared" ref="CB14:CB18" si="180">IFERROR(CB6/CH6,0)</f>
        <v>4.7619047619047623E-3</v>
      </c>
      <c r="CC14" s="17">
        <f t="shared" ref="CC14:CC18" si="181">IFERROR(CC6/CH6,0)</f>
        <v>0</v>
      </c>
      <c r="CD14" s="17">
        <f t="shared" ref="CD14:CD18" si="182">IFERROR(CD6/CH6,0)</f>
        <v>0</v>
      </c>
      <c r="CE14" s="17">
        <f t="shared" ref="CE14:CE18" si="183">IFERROR(CE6/CH6,0)</f>
        <v>0</v>
      </c>
      <c r="CF14" s="17">
        <f t="shared" ref="CF14:CF18" si="184">IFERROR(CF6/CH6,0)</f>
        <v>0</v>
      </c>
      <c r="CG14" s="17">
        <f t="shared" ref="CG14" si="185">IFERROR(CG6/CH6,0)</f>
        <v>0</v>
      </c>
      <c r="CH14" s="18">
        <f t="shared" ref="CH14" si="186">IFERROR(CH6/CH6,0)</f>
        <v>1</v>
      </c>
      <c r="CJ14" s="19">
        <f t="shared" ref="CJ14:CJ18" si="187">IFERROR(CJ6/CT6,0)</f>
        <v>0.80211081794195249</v>
      </c>
      <c r="CK14" s="17">
        <f t="shared" ref="CK14:CK18" si="188">IFERROR(CK6/CT6,0)</f>
        <v>0.16886543535620055</v>
      </c>
      <c r="CL14" s="17">
        <f t="shared" ref="CL14:CL18" si="189">IFERROR(CL6/CT6,0)</f>
        <v>1.8469656992084436E-2</v>
      </c>
      <c r="CM14" s="17">
        <f t="shared" ref="CM14:CM18" si="190">IFERROR(CM6/CT6,0)</f>
        <v>0</v>
      </c>
      <c r="CN14" s="17">
        <f t="shared" ref="CN14:CN18" si="191">IFERROR(CN6/CT6,0)</f>
        <v>1.0554089709762534E-2</v>
      </c>
      <c r="CO14" s="17">
        <f t="shared" ref="CO14:CO18" si="192">IFERROR(CO6/CT6,0)</f>
        <v>0</v>
      </c>
      <c r="CP14" s="17">
        <f t="shared" ref="CP14:CP18" si="193">IFERROR(CP6/CT6,0)</f>
        <v>0</v>
      </c>
      <c r="CQ14" s="17">
        <f t="shared" ref="CQ14:CQ18" si="194">IFERROR(CQ6/CT6,0)</f>
        <v>0</v>
      </c>
      <c r="CR14" s="17">
        <f t="shared" ref="CR14:CR18" si="195">IFERROR(CR6/CT6,0)</f>
        <v>0</v>
      </c>
      <c r="CS14" s="17">
        <f t="shared" ref="CS14" si="196">IFERROR(CS6/CT6,0)</f>
        <v>0</v>
      </c>
      <c r="CT14" s="18">
        <f t="shared" ref="CT14" si="197">IFERROR(CT6/CT6,0)</f>
        <v>1</v>
      </c>
      <c r="CV14" s="19">
        <f t="shared" ref="CV14:CV18" si="198">IFERROR(CV6/DF6,0)</f>
        <v>0.93706696147992219</v>
      </c>
      <c r="CW14" s="17">
        <f t="shared" ref="CW14:CW18" si="199">IFERROR(CW6/DF6,0)</f>
        <v>2.753462415096054E-2</v>
      </c>
      <c r="CX14" s="17">
        <f t="shared" ref="CX14:CX18" si="200">IFERROR(CX6/DF6,0)</f>
        <v>0</v>
      </c>
      <c r="CY14" s="17">
        <f t="shared" ref="CY14:CY18" si="201">IFERROR(CY6/DF6,0)</f>
        <v>0</v>
      </c>
      <c r="CZ14" s="17">
        <f t="shared" ref="CZ14:CZ18" si="202">IFERROR(CZ6/DF6,0)</f>
        <v>3.5398414369117302E-2</v>
      </c>
      <c r="DA14" s="17">
        <f t="shared" ref="DA14:DA18" si="203">IFERROR(DA6/DF6,0)</f>
        <v>0</v>
      </c>
      <c r="DB14" s="17">
        <f t="shared" ref="DB14:DB18" si="204">IFERROR(DB6/DF6,0)</f>
        <v>0</v>
      </c>
      <c r="DC14" s="17">
        <f t="shared" ref="DC14:DC18" si="205">IFERROR(DC6/DF6,0)</f>
        <v>0</v>
      </c>
      <c r="DD14" s="17">
        <f t="shared" ref="DD14:DD18" si="206">IFERROR(DD6/DF6,0)</f>
        <v>0</v>
      </c>
      <c r="DE14" s="17">
        <f t="shared" ref="DE14" si="207">IFERROR(DE6/DF6,0)</f>
        <v>0</v>
      </c>
      <c r="DF14" s="18">
        <f t="shared" ref="DF14" si="208">IFERROR(DF6/DF6,0)</f>
        <v>1</v>
      </c>
      <c r="DH14" s="19">
        <f t="shared" ref="DH14:DH18" si="209">IFERROR(DH6/DR6,0)</f>
        <v>0.84000973300533621</v>
      </c>
      <c r="DI14" s="17">
        <f t="shared" ref="DI14:DI18" si="210">IFERROR(DI6/DR6,0)</f>
        <v>6.2865356506031575E-2</v>
      </c>
      <c r="DJ14" s="17">
        <f t="shared" ref="DJ14:DJ18" si="211">IFERROR(DJ6/DR6,0)</f>
        <v>0</v>
      </c>
      <c r="DK14" s="17">
        <f t="shared" ref="DK14:DK18" si="212">IFERROR(DK6/DR6,0)</f>
        <v>0</v>
      </c>
      <c r="DL14" s="17">
        <f t="shared" ref="DL14:DL18" si="213">IFERROR(DL6/DR6,0)</f>
        <v>9.7124910488632255E-2</v>
      </c>
      <c r="DM14" s="17">
        <f t="shared" ref="DM14:DM18" si="214">IFERROR(DM6/DR6,0)</f>
        <v>0</v>
      </c>
      <c r="DN14" s="17">
        <f t="shared" ref="DN14:DN18" si="215">IFERROR(DN6/DR6,0)</f>
        <v>0</v>
      </c>
      <c r="DO14" s="17">
        <f t="shared" ref="DO14:DO18" si="216">IFERROR(DO6/DR6,0)</f>
        <v>0</v>
      </c>
      <c r="DP14" s="17">
        <f t="shared" ref="DP14:DP18" si="217">IFERROR(DP6/DR6,0)</f>
        <v>0</v>
      </c>
      <c r="DQ14" s="17">
        <f t="shared" ref="DQ14" si="218">IFERROR(DQ6/DR6,0)</f>
        <v>0</v>
      </c>
      <c r="DR14" s="18">
        <f t="shared" ref="DR14" si="219">IFERROR(DR6/DR6,0)</f>
        <v>1</v>
      </c>
      <c r="DT14" s="19">
        <f t="shared" ref="DT14:DT18" si="220">IFERROR(DT6/ED6,0)</f>
        <v>0.82406250955542859</v>
      </c>
      <c r="DU14" s="17">
        <f t="shared" ref="DU14:DU18" si="221">IFERROR(DU6/ED6,0)</f>
        <v>1.940487026962185E-2</v>
      </c>
      <c r="DV14" s="17">
        <f t="shared" ref="DV14:DV18" si="222">IFERROR(DV6/ED6,0)</f>
        <v>0</v>
      </c>
      <c r="DW14" s="17">
        <f t="shared" ref="DW14:DW18" si="223">IFERROR(DW6/ED6,0)</f>
        <v>1.2936580179747899E-3</v>
      </c>
      <c r="DX14" s="17">
        <f t="shared" ref="DX14:DX18" si="224">IFERROR(DX6/ED6,0)</f>
        <v>0.1552389621569748</v>
      </c>
      <c r="DY14" s="17">
        <f t="shared" ref="DY14:DY18" si="225">IFERROR(DY6/ED6,0)</f>
        <v>0</v>
      </c>
      <c r="DZ14" s="17">
        <f t="shared" ref="DZ14:DZ18" si="226">IFERROR(DZ6/ED6,0)</f>
        <v>0</v>
      </c>
      <c r="EA14" s="17">
        <f t="shared" ref="EA14:EA18" si="227">IFERROR(EA6/ED6,0)</f>
        <v>0</v>
      </c>
      <c r="EB14" s="17">
        <f t="shared" ref="EB14:EB18" si="228">IFERROR(EB6/ED6,0)</f>
        <v>0</v>
      </c>
      <c r="EC14" s="17">
        <f t="shared" ref="EC14" si="229">IFERROR(EC6/ED6,0)</f>
        <v>0</v>
      </c>
      <c r="ED14" s="18">
        <f t="shared" ref="ED14" si="230">IFERROR(ED6/ED6,0)</f>
        <v>1</v>
      </c>
      <c r="EF14" s="19">
        <f t="shared" ref="EF14:EF18" si="231">IFERROR(EF6/EP6,0)</f>
        <v>0.92298980747451864</v>
      </c>
      <c r="EG14" s="17">
        <f t="shared" ref="EG14:EG18" si="232">IFERROR(EG6/EP6,0)</f>
        <v>6.7950169875424698E-3</v>
      </c>
      <c r="EH14" s="17">
        <f t="shared" ref="EH14:EH18" si="233">IFERROR(EH6/EP6,0)</f>
        <v>0</v>
      </c>
      <c r="EI14" s="17">
        <f t="shared" ref="EI14:EI18" si="234">IFERROR(EI6/EP6,0)</f>
        <v>0</v>
      </c>
      <c r="EJ14" s="17">
        <f t="shared" ref="EJ14:EJ18" si="235">IFERROR(EJ6/EP6,0)</f>
        <v>7.0215175537938865E-2</v>
      </c>
      <c r="EK14" s="17">
        <f t="shared" ref="EK14:EK18" si="236">IFERROR(EK6/EP6,0)</f>
        <v>0</v>
      </c>
      <c r="EL14" s="17">
        <f t="shared" ref="EL14:EL18" si="237">IFERROR(EL6/EP6,0)</f>
        <v>0</v>
      </c>
      <c r="EM14" s="17">
        <f t="shared" ref="EM14:EM18" si="238">IFERROR(EM6/EP6,0)</f>
        <v>0</v>
      </c>
      <c r="EN14" s="17">
        <f t="shared" ref="EN14:EN18" si="239">IFERROR(EN6/EP6,0)</f>
        <v>0</v>
      </c>
      <c r="EO14" s="17">
        <f t="shared" ref="EO14" si="240">IFERROR(EO6/EP6,0)</f>
        <v>0</v>
      </c>
      <c r="EP14" s="18">
        <f t="shared" ref="EP14" si="241">IFERROR(EP6/EP6,0)</f>
        <v>1</v>
      </c>
      <c r="ER14" s="19">
        <f t="shared" ref="ER14:ER18" si="242">IFERROR(ER6/FB6,0)</f>
        <v>0.95656894679695981</v>
      </c>
      <c r="ES14" s="17">
        <f t="shared" ref="ES14:ES18" si="243">IFERROR(ES6/FB6,0)</f>
        <v>1.0857763300760044E-3</v>
      </c>
      <c r="ET14" s="17">
        <f t="shared" ref="ET14:ET18" si="244">IFERROR(ET6/FB6,0)</f>
        <v>0</v>
      </c>
      <c r="EU14" s="17">
        <f t="shared" ref="EU14:EU18" si="245">IFERROR(EU6/FB6,0)</f>
        <v>0</v>
      </c>
      <c r="EV14" s="17">
        <f t="shared" ref="EV14:EV18" si="246">IFERROR(EV6/FB6,0)</f>
        <v>2.6058631921824102E-2</v>
      </c>
      <c r="EW14" s="17">
        <f t="shared" ref="EW14:EW18" si="247">IFERROR(EW6/FB6,0)</f>
        <v>1.3029315960912053E-2</v>
      </c>
      <c r="EX14" s="17">
        <f t="shared" ref="EX14:EX18" si="248">IFERROR(EX6/FB6,0)</f>
        <v>0</v>
      </c>
      <c r="EY14" s="17">
        <f t="shared" ref="EY14:EY18" si="249">IFERROR(EY6/FB6,0)</f>
        <v>0</v>
      </c>
      <c r="EZ14" s="17">
        <f t="shared" ref="EZ14:EZ18" si="250">IFERROR(EZ6/FB6,0)</f>
        <v>3.2573289902280132E-3</v>
      </c>
      <c r="FA14" s="17">
        <f t="shared" ref="FA14" si="251">IFERROR(FA6/FB6,0)</f>
        <v>0</v>
      </c>
      <c r="FB14" s="18">
        <f t="shared" ref="FB14" si="252">IFERROR(FB6/FB6,0)</f>
        <v>1</v>
      </c>
    </row>
    <row r="15" spans="1:158" s="14" customFormat="1" x14ac:dyDescent="0.35">
      <c r="B15" s="14" t="s">
        <v>69</v>
      </c>
      <c r="D15" s="17">
        <f>IFERROR(D7/N7,0)</f>
        <v>8.4628596423917221E-2</v>
      </c>
      <c r="E15" s="19">
        <f>IFERROR(E7/N7,0)</f>
        <v>0.84324309994478253</v>
      </c>
      <c r="F15" s="17">
        <f>IFERROR(F7/N7,0)</f>
        <v>4.2743182653022502E-2</v>
      </c>
      <c r="G15" s="17">
        <f>IFERROR(G7/N7,0)</f>
        <v>0</v>
      </c>
      <c r="H15" s="17">
        <f>IFERROR(H7/N7,0)</f>
        <v>2.8186713988006123E-2</v>
      </c>
      <c r="I15" s="17">
        <f>IFERROR(I7/N7,0)</f>
        <v>1.1984069902716589E-3</v>
      </c>
      <c r="J15" s="17">
        <f>IFERROR(J7/N7,0)</f>
        <v>0</v>
      </c>
      <c r="K15" s="17">
        <f>IFERROR(K7/N7,0)</f>
        <v>0</v>
      </c>
      <c r="L15" s="17">
        <f>IFERROR(L7/N7,0)</f>
        <v>0</v>
      </c>
      <c r="M15" s="17">
        <f>IFERROR(M7/N7,0)</f>
        <v>0</v>
      </c>
      <c r="N15" s="18">
        <f>IFERROR(N7/N7,0)</f>
        <v>1</v>
      </c>
      <c r="P15" s="17">
        <f>IFERROR(P7/Z7,0)</f>
        <v>0</v>
      </c>
      <c r="Q15" s="19">
        <f>IFERROR(Q7/Z7,0)</f>
        <v>0.98455598455598459</v>
      </c>
      <c r="R15" s="17">
        <f>IFERROR(R7/Z7,0)</f>
        <v>7.7220077220077222E-3</v>
      </c>
      <c r="S15" s="17">
        <f>IFERROR(S7/Z7,0)</f>
        <v>0</v>
      </c>
      <c r="T15" s="17">
        <f>IFERROR(T7/Z7,0)</f>
        <v>7.7220077220077222E-3</v>
      </c>
      <c r="U15" s="17">
        <f>IFERROR(U7/Z7,0)</f>
        <v>0</v>
      </c>
      <c r="V15" s="17">
        <f>IFERROR(V7/Z7,0)</f>
        <v>0</v>
      </c>
      <c r="W15" s="17">
        <f>IFERROR(W7/Z7,0)</f>
        <v>0</v>
      </c>
      <c r="X15" s="17">
        <f>IFERROR(X7/Z7,0)</f>
        <v>0</v>
      </c>
      <c r="Y15" s="17">
        <f>IFERROR(Y7/Z7,0)</f>
        <v>0</v>
      </c>
      <c r="Z15" s="18">
        <f>IFERROR(Z7/Z7,0)</f>
        <v>1</v>
      </c>
      <c r="AB15" s="17">
        <f>IFERROR(AB7/AL7,0)</f>
        <v>0</v>
      </c>
      <c r="AC15" s="19">
        <f>IFERROR(AC7/AL7,0)</f>
        <v>0</v>
      </c>
      <c r="AD15" s="17">
        <f>IFERROR(AD7/AL7,0)</f>
        <v>0</v>
      </c>
      <c r="AE15" s="17">
        <f>IFERROR(AE7/AL7,0)</f>
        <v>0</v>
      </c>
      <c r="AF15" s="17">
        <f>IFERROR(AF7/AL7,0)</f>
        <v>0</v>
      </c>
      <c r="AG15" s="17">
        <f>IFERROR(AG7/AL7,0)</f>
        <v>0</v>
      </c>
      <c r="AH15" s="17">
        <f>IFERROR(AH7/AL7,0)</f>
        <v>0</v>
      </c>
      <c r="AI15" s="17">
        <f>IFERROR(AI7/AL7,0)</f>
        <v>0</v>
      </c>
      <c r="AJ15" s="17">
        <f>IFERROR(AJ7/AL7,0)</f>
        <v>0</v>
      </c>
      <c r="AK15" s="17">
        <f>IFERROR(AK7/AL7,0)</f>
        <v>0</v>
      </c>
      <c r="AL15" s="18">
        <f>IFERROR(AL7/AL7,0)</f>
        <v>0</v>
      </c>
      <c r="AN15" s="17">
        <f t="shared" si="143"/>
        <v>0</v>
      </c>
      <c r="AO15" s="19">
        <f t="shared" si="144"/>
        <v>0</v>
      </c>
      <c r="AP15" s="17">
        <f t="shared" si="145"/>
        <v>0</v>
      </c>
      <c r="AQ15" s="17">
        <f t="shared" si="146"/>
        <v>0</v>
      </c>
      <c r="AR15" s="17">
        <f t="shared" si="147"/>
        <v>0</v>
      </c>
      <c r="AS15" s="17">
        <f t="shared" si="148"/>
        <v>0</v>
      </c>
      <c r="AT15" s="17">
        <f t="shared" si="149"/>
        <v>0</v>
      </c>
      <c r="AU15" s="17">
        <f t="shared" si="150"/>
        <v>0</v>
      </c>
      <c r="AV15" s="17">
        <f t="shared" si="151"/>
        <v>0</v>
      </c>
      <c r="AW15" s="17">
        <f t="shared" ref="AW15" si="253">IFERROR(AW7/AX7,0)</f>
        <v>0</v>
      </c>
      <c r="AX15" s="18">
        <f t="shared" ref="AX15" si="254">IFERROR(AX7/AX7,0)</f>
        <v>0</v>
      </c>
      <c r="AZ15" s="17">
        <f t="shared" si="154"/>
        <v>0</v>
      </c>
      <c r="BA15" s="19">
        <f t="shared" si="155"/>
        <v>0</v>
      </c>
      <c r="BB15" s="17">
        <f t="shared" si="156"/>
        <v>0</v>
      </c>
      <c r="BC15" s="17">
        <f t="shared" si="157"/>
        <v>0</v>
      </c>
      <c r="BD15" s="17">
        <f t="shared" si="158"/>
        <v>0</v>
      </c>
      <c r="BE15" s="17">
        <f t="shared" si="159"/>
        <v>0</v>
      </c>
      <c r="BF15" s="17">
        <f t="shared" si="160"/>
        <v>0</v>
      </c>
      <c r="BG15" s="17">
        <f t="shared" si="161"/>
        <v>0</v>
      </c>
      <c r="BH15" s="17">
        <f t="shared" si="162"/>
        <v>0</v>
      </c>
      <c r="BI15" s="17">
        <f t="shared" ref="BI15" si="255">IFERROR(BI7/BJ7,0)</f>
        <v>0</v>
      </c>
      <c r="BJ15" s="18">
        <f t="shared" ref="BJ15" si="256">IFERROR(BJ7/BJ7,0)</f>
        <v>0</v>
      </c>
      <c r="BL15" s="17">
        <f t="shared" si="165"/>
        <v>0</v>
      </c>
      <c r="BM15" s="19">
        <f t="shared" si="166"/>
        <v>0</v>
      </c>
      <c r="BN15" s="17">
        <f t="shared" si="167"/>
        <v>0</v>
      </c>
      <c r="BO15" s="17">
        <f t="shared" si="168"/>
        <v>0</v>
      </c>
      <c r="BP15" s="17">
        <f t="shared" si="169"/>
        <v>0</v>
      </c>
      <c r="BQ15" s="17">
        <f t="shared" si="170"/>
        <v>0</v>
      </c>
      <c r="BR15" s="17">
        <f t="shared" si="171"/>
        <v>0</v>
      </c>
      <c r="BS15" s="17">
        <f t="shared" si="172"/>
        <v>0</v>
      </c>
      <c r="BT15" s="17">
        <f t="shared" si="173"/>
        <v>0</v>
      </c>
      <c r="BU15" s="17">
        <f t="shared" ref="BU15" si="257">IFERROR(BU7/BV7,0)</f>
        <v>0</v>
      </c>
      <c r="BV15" s="18">
        <f t="shared" ref="BV15" si="258">IFERROR(BV7/BV7,0)</f>
        <v>0</v>
      </c>
      <c r="BX15" s="17">
        <f t="shared" si="176"/>
        <v>0</v>
      </c>
      <c r="BY15" s="19">
        <f t="shared" si="177"/>
        <v>0</v>
      </c>
      <c r="BZ15" s="17">
        <f t="shared" si="178"/>
        <v>0</v>
      </c>
      <c r="CA15" s="17">
        <f t="shared" si="179"/>
        <v>0</v>
      </c>
      <c r="CB15" s="17">
        <f t="shared" si="180"/>
        <v>0</v>
      </c>
      <c r="CC15" s="17">
        <f t="shared" si="181"/>
        <v>0</v>
      </c>
      <c r="CD15" s="17">
        <f t="shared" si="182"/>
        <v>0</v>
      </c>
      <c r="CE15" s="17">
        <f t="shared" si="183"/>
        <v>0</v>
      </c>
      <c r="CF15" s="17">
        <f t="shared" si="184"/>
        <v>0</v>
      </c>
      <c r="CG15" s="17">
        <f t="shared" ref="CG15" si="259">IFERROR(CG7/CH7,0)</f>
        <v>0</v>
      </c>
      <c r="CH15" s="18">
        <f t="shared" ref="CH15" si="260">IFERROR(CH7/CH7,0)</f>
        <v>0</v>
      </c>
      <c r="CJ15" s="17">
        <f t="shared" si="187"/>
        <v>0.34113712374581939</v>
      </c>
      <c r="CK15" s="19">
        <f t="shared" si="188"/>
        <v>0.65217391304347816</v>
      </c>
      <c r="CL15" s="17">
        <f t="shared" si="189"/>
        <v>0</v>
      </c>
      <c r="CM15" s="17">
        <f t="shared" si="190"/>
        <v>0</v>
      </c>
      <c r="CN15" s="17">
        <f t="shared" si="191"/>
        <v>6.688963210702341E-3</v>
      </c>
      <c r="CO15" s="17">
        <f t="shared" si="192"/>
        <v>0</v>
      </c>
      <c r="CP15" s="17">
        <f t="shared" si="193"/>
        <v>0</v>
      </c>
      <c r="CQ15" s="17">
        <f t="shared" si="194"/>
        <v>0</v>
      </c>
      <c r="CR15" s="17">
        <f t="shared" si="195"/>
        <v>0</v>
      </c>
      <c r="CS15" s="17">
        <f t="shared" ref="CS15" si="261">IFERROR(CS7/CT7,0)</f>
        <v>0</v>
      </c>
      <c r="CT15" s="18">
        <f t="shared" ref="CT15" si="262">IFERROR(CT7/CT7,0)</f>
        <v>1</v>
      </c>
      <c r="CV15" s="17">
        <f t="shared" si="198"/>
        <v>0.47976878612716756</v>
      </c>
      <c r="CW15" s="19">
        <f t="shared" si="199"/>
        <v>0.48554913294797686</v>
      </c>
      <c r="CX15" s="17">
        <f t="shared" si="200"/>
        <v>0</v>
      </c>
      <c r="CY15" s="17">
        <f t="shared" si="201"/>
        <v>0</v>
      </c>
      <c r="CZ15" s="17">
        <f t="shared" si="202"/>
        <v>3.4682080924855488E-2</v>
      </c>
      <c r="DA15" s="17">
        <f t="shared" si="203"/>
        <v>0</v>
      </c>
      <c r="DB15" s="17">
        <f t="shared" si="204"/>
        <v>0</v>
      </c>
      <c r="DC15" s="17">
        <f t="shared" si="205"/>
        <v>0</v>
      </c>
      <c r="DD15" s="17">
        <f t="shared" si="206"/>
        <v>0</v>
      </c>
      <c r="DE15" s="17">
        <f t="shared" ref="DE15" si="263">IFERROR(DE7/DF7,0)</f>
        <v>0</v>
      </c>
      <c r="DF15" s="18">
        <f t="shared" ref="DF15" si="264">IFERROR(DF7/DF7,0)</f>
        <v>1</v>
      </c>
      <c r="DH15" s="17">
        <f t="shared" si="209"/>
        <v>0</v>
      </c>
      <c r="DI15" s="19">
        <f t="shared" si="210"/>
        <v>0.69811320754716977</v>
      </c>
      <c r="DJ15" s="17">
        <f t="shared" si="211"/>
        <v>9.4339622641509441E-2</v>
      </c>
      <c r="DK15" s="17">
        <f t="shared" si="212"/>
        <v>0</v>
      </c>
      <c r="DL15" s="17">
        <f t="shared" si="213"/>
        <v>0.20754716981132076</v>
      </c>
      <c r="DM15" s="17">
        <f t="shared" si="214"/>
        <v>0</v>
      </c>
      <c r="DN15" s="17">
        <f t="shared" si="215"/>
        <v>0</v>
      </c>
      <c r="DO15" s="17">
        <f t="shared" si="216"/>
        <v>0</v>
      </c>
      <c r="DP15" s="17">
        <f t="shared" si="217"/>
        <v>0</v>
      </c>
      <c r="DQ15" s="17">
        <f t="shared" ref="DQ15" si="265">IFERROR(DQ7/DR7,0)</f>
        <v>0</v>
      </c>
      <c r="DR15" s="18">
        <f t="shared" ref="DR15" si="266">IFERROR(DR7/DR7,0)</f>
        <v>1</v>
      </c>
      <c r="DT15" s="17">
        <f t="shared" si="220"/>
        <v>3.9563680744488801E-2</v>
      </c>
      <c r="DU15" s="19">
        <f t="shared" si="221"/>
        <v>0.90034132089612773</v>
      </c>
      <c r="DV15" s="17">
        <f t="shared" si="222"/>
        <v>2.6637317186275971E-2</v>
      </c>
      <c r="DW15" s="17">
        <f t="shared" si="223"/>
        <v>0</v>
      </c>
      <c r="DX15" s="17">
        <f t="shared" si="224"/>
        <v>3.3457681173107448E-2</v>
      </c>
      <c r="DY15" s="17">
        <f t="shared" si="225"/>
        <v>0</v>
      </c>
      <c r="DZ15" s="17">
        <f t="shared" si="226"/>
        <v>0</v>
      </c>
      <c r="EA15" s="17">
        <f t="shared" si="227"/>
        <v>0</v>
      </c>
      <c r="EB15" s="17">
        <f t="shared" si="228"/>
        <v>0</v>
      </c>
      <c r="EC15" s="17">
        <f t="shared" ref="EC15" si="267">IFERROR(EC7/ED7,0)</f>
        <v>0</v>
      </c>
      <c r="ED15" s="18">
        <f t="shared" ref="ED15" si="268">IFERROR(ED7/ED7,0)</f>
        <v>1</v>
      </c>
      <c r="EF15" s="17">
        <f t="shared" si="231"/>
        <v>9.984108627101862E-3</v>
      </c>
      <c r="EG15" s="19">
        <f t="shared" si="232"/>
        <v>0.89849489562446438</v>
      </c>
      <c r="EH15" s="17">
        <f t="shared" si="233"/>
        <v>6.0736660814869656E-2</v>
      </c>
      <c r="EI15" s="17">
        <f t="shared" si="234"/>
        <v>0</v>
      </c>
      <c r="EJ15" s="17">
        <f t="shared" si="235"/>
        <v>3.0784334933564073E-2</v>
      </c>
      <c r="EK15" s="17">
        <f t="shared" si="236"/>
        <v>0</v>
      </c>
      <c r="EL15" s="17">
        <f t="shared" si="237"/>
        <v>0</v>
      </c>
      <c r="EM15" s="17">
        <f t="shared" si="238"/>
        <v>0</v>
      </c>
      <c r="EN15" s="17">
        <f t="shared" si="239"/>
        <v>0</v>
      </c>
      <c r="EO15" s="17">
        <f t="shared" ref="EO15" si="269">IFERROR(EO7/EP7,0)</f>
        <v>0</v>
      </c>
      <c r="EP15" s="18">
        <f t="shared" ref="EP15" si="270">IFERROR(EP7/EP7,0)</f>
        <v>1</v>
      </c>
      <c r="ER15" s="17">
        <f t="shared" si="242"/>
        <v>0</v>
      </c>
      <c r="ES15" s="19">
        <f t="shared" si="243"/>
        <v>0.85915492957746475</v>
      </c>
      <c r="ET15" s="17">
        <f t="shared" si="244"/>
        <v>0.11971830985915492</v>
      </c>
      <c r="EU15" s="17">
        <f t="shared" si="245"/>
        <v>0</v>
      </c>
      <c r="EV15" s="17">
        <f t="shared" si="246"/>
        <v>0</v>
      </c>
      <c r="EW15" s="17">
        <f t="shared" si="247"/>
        <v>2.1126760563380281E-2</v>
      </c>
      <c r="EX15" s="17">
        <f t="shared" si="248"/>
        <v>0</v>
      </c>
      <c r="EY15" s="17">
        <f t="shared" si="249"/>
        <v>0</v>
      </c>
      <c r="EZ15" s="17">
        <f t="shared" si="250"/>
        <v>0</v>
      </c>
      <c r="FA15" s="17">
        <f t="shared" ref="FA15" si="271">IFERROR(FA7/FB7,0)</f>
        <v>0</v>
      </c>
      <c r="FB15" s="18">
        <f t="shared" ref="FB15" si="272">IFERROR(FB7/FB7,0)</f>
        <v>1</v>
      </c>
    </row>
    <row r="16" spans="1:158" s="14" customFormat="1" x14ac:dyDescent="0.35">
      <c r="B16" s="14" t="s">
        <v>70</v>
      </c>
      <c r="D16" s="17">
        <f>IFERROR(D8/N8,0)</f>
        <v>1.1650574487180105E-4</v>
      </c>
      <c r="E16" s="17">
        <f>IFERROR(E8/N8,0)</f>
        <v>9.7872592741971007E-2</v>
      </c>
      <c r="F16" s="19">
        <f>IFERROR(F8/N8,0)</f>
        <v>0.81623631827583076</v>
      </c>
      <c r="G16" s="17">
        <f>IFERROR(G8/N8,0)</f>
        <v>3.1616975995597638E-2</v>
      </c>
      <c r="H16" s="17">
        <f>IFERROR(H8/N8,0)</f>
        <v>5.3575078517369777E-2</v>
      </c>
      <c r="I16" s="17">
        <f>IFERROR(I8/N8,0)</f>
        <v>0</v>
      </c>
      <c r="J16" s="17">
        <f>IFERROR(J8/N8,0)</f>
        <v>0</v>
      </c>
      <c r="K16" s="17">
        <f>IFERROR(K8/N8,0)</f>
        <v>4.660229794872042E-4</v>
      </c>
      <c r="L16" s="17">
        <f>IFERROR(L8/N8,0)</f>
        <v>1.1650574487180105E-4</v>
      </c>
      <c r="M16" s="17">
        <f>IFERROR(M8/N8,0)</f>
        <v>0</v>
      </c>
      <c r="N16" s="18">
        <f>IFERROR(N8/N8,0)</f>
        <v>1</v>
      </c>
      <c r="P16" s="17">
        <f>IFERROR(P8/Z8,0)</f>
        <v>2.8093761652526144E-4</v>
      </c>
      <c r="Q16" s="17">
        <f>IFERROR(Q8/Z8,0)</f>
        <v>0.11827473655713507</v>
      </c>
      <c r="R16" s="19">
        <f>IFERROR(R8/Z8,0)</f>
        <v>0.83413340961215288</v>
      </c>
      <c r="S16" s="17">
        <f>IFERROR(S8/Z8,0)</f>
        <v>4.1973101500206875E-2</v>
      </c>
      <c r="T16" s="17">
        <f>IFERROR(T8/Z8,0)</f>
        <v>5.3378147139799669E-3</v>
      </c>
      <c r="U16" s="17">
        <f>IFERROR(U8/Z8,0)</f>
        <v>0</v>
      </c>
      <c r="V16" s="17">
        <f>IFERROR(V8/Z8,0)</f>
        <v>0</v>
      </c>
      <c r="W16" s="17">
        <f>IFERROR(W8/Z8,0)</f>
        <v>0</v>
      </c>
      <c r="X16" s="17">
        <f>IFERROR(X8/Z8,0)</f>
        <v>0</v>
      </c>
      <c r="Y16" s="17">
        <f>IFERROR(Y8/Z8,0)</f>
        <v>0</v>
      </c>
      <c r="Z16" s="18">
        <f>IFERROR(Z8/Z8,0)</f>
        <v>1</v>
      </c>
      <c r="AB16" s="17">
        <f>IFERROR(AB8/AL8,0)</f>
        <v>0</v>
      </c>
      <c r="AC16" s="17">
        <f>IFERROR(AC8/AL8,0)</f>
        <v>5.9046843224465413E-2</v>
      </c>
      <c r="AD16" s="19">
        <f>IFERROR(AD8/AL8,0)</f>
        <v>0.88432513048880845</v>
      </c>
      <c r="AE16" s="17">
        <f>IFERROR(AE8/AL8,0)</f>
        <v>5.4658226498322714E-2</v>
      </c>
      <c r="AF16" s="17">
        <f>IFERROR(AF8/AL8,0)</f>
        <v>1.9697997884033885E-3</v>
      </c>
      <c r="AG16" s="17">
        <f>IFERROR(AG8/AL8,0)</f>
        <v>0</v>
      </c>
      <c r="AH16" s="17">
        <f>IFERROR(AH8/AL8,0)</f>
        <v>0</v>
      </c>
      <c r="AI16" s="17">
        <f>IFERROR(AI8/AL8,0)</f>
        <v>0</v>
      </c>
      <c r="AJ16" s="17">
        <f>IFERROR(AJ8/AL8,0)</f>
        <v>0</v>
      </c>
      <c r="AK16" s="17">
        <f>IFERROR(AK8/AL8,0)</f>
        <v>0</v>
      </c>
      <c r="AL16" s="18">
        <f>IFERROR(AL8/AL8,0)</f>
        <v>1</v>
      </c>
      <c r="AN16" s="17">
        <f t="shared" si="143"/>
        <v>0</v>
      </c>
      <c r="AO16" s="17">
        <f t="shared" si="144"/>
        <v>0.11033130351368869</v>
      </c>
      <c r="AP16" s="19">
        <f t="shared" si="145"/>
        <v>0.85533089284174491</v>
      </c>
      <c r="AQ16" s="17">
        <f t="shared" si="146"/>
        <v>3.0397399947648927E-2</v>
      </c>
      <c r="AR16" s="17">
        <f t="shared" si="147"/>
        <v>3.9404036969174537E-3</v>
      </c>
      <c r="AS16" s="17">
        <f t="shared" si="148"/>
        <v>0</v>
      </c>
      <c r="AT16" s="17">
        <f t="shared" si="149"/>
        <v>0</v>
      </c>
      <c r="AU16" s="17">
        <f t="shared" si="150"/>
        <v>0</v>
      </c>
      <c r="AV16" s="17">
        <f t="shared" si="151"/>
        <v>0</v>
      </c>
      <c r="AW16" s="17">
        <f t="shared" ref="AW16" si="273">IFERROR(AW8/AX8,0)</f>
        <v>0</v>
      </c>
      <c r="AX16" s="18">
        <f t="shared" ref="AX16" si="274">IFERROR(AX8/AX8,0)</f>
        <v>1</v>
      </c>
      <c r="AZ16" s="17">
        <f t="shared" si="154"/>
        <v>8.1967152036399376E-4</v>
      </c>
      <c r="BA16" s="17">
        <f t="shared" si="155"/>
        <v>0.17377110747309429</v>
      </c>
      <c r="BB16" s="19">
        <f t="shared" si="156"/>
        <v>0.77868794434579403</v>
      </c>
      <c r="BC16" s="17">
        <f t="shared" si="157"/>
        <v>3.5245875375651735E-2</v>
      </c>
      <c r="BD16" s="17">
        <f t="shared" si="158"/>
        <v>1.1475401285095914E-2</v>
      </c>
      <c r="BE16" s="17">
        <f t="shared" si="159"/>
        <v>0</v>
      </c>
      <c r="BF16" s="17">
        <f t="shared" si="160"/>
        <v>0</v>
      </c>
      <c r="BG16" s="17">
        <f t="shared" si="161"/>
        <v>0</v>
      </c>
      <c r="BH16" s="17">
        <f t="shared" si="162"/>
        <v>0</v>
      </c>
      <c r="BI16" s="17">
        <f t="shared" ref="BI16" si="275">IFERROR(BI8/BJ8,0)</f>
        <v>0</v>
      </c>
      <c r="BJ16" s="18">
        <f t="shared" ref="BJ16" si="276">IFERROR(BJ8/BJ8,0)</f>
        <v>1</v>
      </c>
      <c r="BL16" s="17">
        <f t="shared" si="165"/>
        <v>0</v>
      </c>
      <c r="BM16" s="17">
        <f t="shared" si="166"/>
        <v>0.10399576607568138</v>
      </c>
      <c r="BN16" s="19">
        <f t="shared" si="167"/>
        <v>0.77242656787509922</v>
      </c>
      <c r="BO16" s="17">
        <f t="shared" si="168"/>
        <v>5.7422598571050538E-2</v>
      </c>
      <c r="BP16" s="17">
        <f t="shared" si="169"/>
        <v>6.6155067478168808E-2</v>
      </c>
      <c r="BQ16" s="17">
        <f t="shared" si="170"/>
        <v>0</v>
      </c>
      <c r="BR16" s="17">
        <f t="shared" si="171"/>
        <v>0</v>
      </c>
      <c r="BS16" s="17">
        <f t="shared" si="172"/>
        <v>0</v>
      </c>
      <c r="BT16" s="17">
        <f t="shared" si="173"/>
        <v>0</v>
      </c>
      <c r="BU16" s="17">
        <f t="shared" ref="BU16" si="277">IFERROR(BU8/BV8,0)</f>
        <v>0</v>
      </c>
      <c r="BV16" s="18">
        <f t="shared" ref="BV16" si="278">IFERROR(BV8/BV8,0)</f>
        <v>1</v>
      </c>
      <c r="BX16" s="17">
        <f t="shared" si="176"/>
        <v>0</v>
      </c>
      <c r="BY16" s="17">
        <f t="shared" si="177"/>
        <v>0.1218050597952112</v>
      </c>
      <c r="BZ16" s="19">
        <f t="shared" si="178"/>
        <v>0.75203876918266843</v>
      </c>
      <c r="CA16" s="17">
        <f t="shared" si="179"/>
        <v>2.7513613506683E-2</v>
      </c>
      <c r="CB16" s="17">
        <f t="shared" si="180"/>
        <v>9.8642557515437337E-2</v>
      </c>
      <c r="CC16" s="17">
        <f t="shared" si="181"/>
        <v>0</v>
      </c>
      <c r="CD16" s="17">
        <f t="shared" si="182"/>
        <v>0</v>
      </c>
      <c r="CE16" s="17">
        <f t="shared" si="183"/>
        <v>0</v>
      </c>
      <c r="CF16" s="17">
        <f t="shared" si="184"/>
        <v>0</v>
      </c>
      <c r="CG16" s="17">
        <f t="shared" ref="CG16" si="279">IFERROR(CG8/CH8,0)</f>
        <v>0</v>
      </c>
      <c r="CH16" s="18">
        <f t="shared" ref="CH16" si="280">IFERROR(CH8/CH8,0)</f>
        <v>1</v>
      </c>
      <c r="CJ16" s="17">
        <f t="shared" si="187"/>
        <v>0</v>
      </c>
      <c r="CK16" s="17">
        <f t="shared" si="188"/>
        <v>0</v>
      </c>
      <c r="CL16" s="19">
        <f t="shared" si="189"/>
        <v>0.73375870069605564</v>
      </c>
      <c r="CM16" s="17">
        <f t="shared" si="190"/>
        <v>1.91415313225058E-2</v>
      </c>
      <c r="CN16" s="17">
        <f t="shared" si="191"/>
        <v>0.24709976798143851</v>
      </c>
      <c r="CO16" s="17">
        <f t="shared" si="192"/>
        <v>0</v>
      </c>
      <c r="CP16" s="17">
        <f t="shared" si="193"/>
        <v>0</v>
      </c>
      <c r="CQ16" s="17">
        <f t="shared" si="194"/>
        <v>0</v>
      </c>
      <c r="CR16" s="17">
        <f t="shared" si="195"/>
        <v>0</v>
      </c>
      <c r="CS16" s="17">
        <f t="shared" ref="CS16" si="281">IFERROR(CS8/CT8,0)</f>
        <v>0</v>
      </c>
      <c r="CT16" s="18">
        <f t="shared" ref="CT16" si="282">IFERROR(CT8/CT8,0)</f>
        <v>1</v>
      </c>
      <c r="CV16" s="17">
        <f t="shared" si="198"/>
        <v>0</v>
      </c>
      <c r="CW16" s="17">
        <f t="shared" si="199"/>
        <v>1.9938512674357669E-2</v>
      </c>
      <c r="CX16" s="19">
        <f t="shared" si="200"/>
        <v>0.92352940120749194</v>
      </c>
      <c r="CY16" s="17">
        <f t="shared" si="201"/>
        <v>1.9741990136183836E-3</v>
      </c>
      <c r="CZ16" s="17">
        <f t="shared" si="202"/>
        <v>5.4557887104532042E-2</v>
      </c>
      <c r="DA16" s="17">
        <f t="shared" si="203"/>
        <v>0</v>
      </c>
      <c r="DB16" s="17">
        <f t="shared" si="204"/>
        <v>0</v>
      </c>
      <c r="DC16" s="17">
        <f t="shared" si="205"/>
        <v>0</v>
      </c>
      <c r="DD16" s="17">
        <f t="shared" si="206"/>
        <v>0</v>
      </c>
      <c r="DE16" s="17">
        <f t="shared" ref="DE16" si="283">IFERROR(DE8/DF8,0)</f>
        <v>0</v>
      </c>
      <c r="DF16" s="18">
        <f t="shared" ref="DF16" si="284">IFERROR(DF8/DF8,0)</f>
        <v>1</v>
      </c>
      <c r="DH16" s="17">
        <f t="shared" si="209"/>
        <v>7.336593226256867E-4</v>
      </c>
      <c r="DI16" s="17">
        <f t="shared" si="210"/>
        <v>8.8039118715082396E-2</v>
      </c>
      <c r="DJ16" s="19">
        <f t="shared" si="211"/>
        <v>0.85031182188619148</v>
      </c>
      <c r="DK16" s="17">
        <f t="shared" si="212"/>
        <v>2.734548384332105E-3</v>
      </c>
      <c r="DL16" s="17">
        <f t="shared" si="213"/>
        <v>5.8180851691768377E-2</v>
      </c>
      <c r="DM16" s="17">
        <f t="shared" si="214"/>
        <v>0</v>
      </c>
      <c r="DN16" s="17">
        <f t="shared" si="215"/>
        <v>0</v>
      </c>
      <c r="DO16" s="17">
        <f t="shared" si="216"/>
        <v>0</v>
      </c>
      <c r="DP16" s="17">
        <f t="shared" si="217"/>
        <v>0</v>
      </c>
      <c r="DQ16" s="17">
        <f t="shared" ref="DQ16" si="285">IFERROR(DQ8/DR8,0)</f>
        <v>0</v>
      </c>
      <c r="DR16" s="18">
        <f t="shared" ref="DR16" si="286">IFERROR(DR8/DR8,0)</f>
        <v>1</v>
      </c>
      <c r="DT16" s="17">
        <f t="shared" si="220"/>
        <v>0</v>
      </c>
      <c r="DU16" s="17">
        <f t="shared" si="221"/>
        <v>4.0932990582394989E-2</v>
      </c>
      <c r="DV16" s="19">
        <f t="shared" si="222"/>
        <v>0.63929386065484739</v>
      </c>
      <c r="DW16" s="17">
        <f t="shared" si="223"/>
        <v>2.6551129026418374E-2</v>
      </c>
      <c r="DX16" s="17">
        <f t="shared" si="224"/>
        <v>0.29322201973633927</v>
      </c>
      <c r="DY16" s="17">
        <f t="shared" si="225"/>
        <v>0</v>
      </c>
      <c r="DZ16" s="17">
        <f t="shared" si="226"/>
        <v>0</v>
      </c>
      <c r="EA16" s="17">
        <f t="shared" si="227"/>
        <v>0</v>
      </c>
      <c r="EB16" s="17">
        <f t="shared" si="228"/>
        <v>0</v>
      </c>
      <c r="EC16" s="17">
        <f t="shared" ref="EC16" si="287">IFERROR(EC8/ED8,0)</f>
        <v>0</v>
      </c>
      <c r="ED16" s="18">
        <f t="shared" ref="ED16" si="288">IFERROR(ED8/ED8,0)</f>
        <v>1</v>
      </c>
      <c r="EF16" s="17">
        <f t="shared" si="231"/>
        <v>0</v>
      </c>
      <c r="EG16" s="17">
        <f t="shared" si="232"/>
        <v>0.1384875817697715</v>
      </c>
      <c r="EH16" s="19">
        <f t="shared" si="233"/>
        <v>0.84714475695202551</v>
      </c>
      <c r="EI16" s="17">
        <f t="shared" si="234"/>
        <v>3.1190896794993576E-3</v>
      </c>
      <c r="EJ16" s="17">
        <f t="shared" si="235"/>
        <v>1.1248571598703593E-2</v>
      </c>
      <c r="EK16" s="17">
        <f t="shared" si="236"/>
        <v>0</v>
      </c>
      <c r="EL16" s="17">
        <f t="shared" si="237"/>
        <v>0</v>
      </c>
      <c r="EM16" s="17">
        <f t="shared" si="238"/>
        <v>0</v>
      </c>
      <c r="EN16" s="17">
        <f t="shared" si="239"/>
        <v>0</v>
      </c>
      <c r="EO16" s="17">
        <f t="shared" ref="EO16" si="289">IFERROR(EO8/EP8,0)</f>
        <v>0</v>
      </c>
      <c r="EP16" s="18">
        <f t="shared" ref="EP16" si="290">IFERROR(EP8/EP8,0)</f>
        <v>1</v>
      </c>
      <c r="ER16" s="17">
        <f t="shared" si="242"/>
        <v>0</v>
      </c>
      <c r="ES16" s="17">
        <f t="shared" si="243"/>
        <v>5.4738081224249564E-2</v>
      </c>
      <c r="ET16" s="19">
        <f t="shared" si="244"/>
        <v>0.92819305473808122</v>
      </c>
      <c r="EU16" s="17">
        <f t="shared" si="245"/>
        <v>1.1771630370806356E-3</v>
      </c>
      <c r="EV16" s="17">
        <f t="shared" si="246"/>
        <v>7.0629782224838136E-3</v>
      </c>
      <c r="EW16" s="17">
        <f t="shared" si="247"/>
        <v>0</v>
      </c>
      <c r="EX16" s="17">
        <f t="shared" si="248"/>
        <v>0</v>
      </c>
      <c r="EY16" s="17">
        <f t="shared" si="249"/>
        <v>7.0629782224838136E-3</v>
      </c>
      <c r="EZ16" s="17">
        <f t="shared" si="250"/>
        <v>1.7657445556209534E-3</v>
      </c>
      <c r="FA16" s="17">
        <f t="shared" ref="FA16" si="291">IFERROR(FA8/FB8,0)</f>
        <v>0</v>
      </c>
      <c r="FB16" s="18">
        <f t="shared" ref="FB16" si="292">IFERROR(FB8/FB8,0)</f>
        <v>1</v>
      </c>
    </row>
    <row r="17" spans="2:158" s="14" customFormat="1" x14ac:dyDescent="0.35">
      <c r="B17" s="14" t="s">
        <v>71</v>
      </c>
      <c r="D17" s="17">
        <f>IFERROR(D9/N9,0)</f>
        <v>0</v>
      </c>
      <c r="E17" s="17">
        <f>IFERROR(E9/N9,0)</f>
        <v>0</v>
      </c>
      <c r="F17" s="17">
        <f>IFERROR(F9/N9,0)</f>
        <v>0</v>
      </c>
      <c r="G17" s="17">
        <f>IFERROR(G9/N9,0)</f>
        <v>9.8039215686274508E-3</v>
      </c>
      <c r="H17" s="19">
        <f>IFERROR(H9/N9,0)</f>
        <v>0.99019607843137258</v>
      </c>
      <c r="I17" s="17">
        <f>IFERROR(I9/N9,0)</f>
        <v>0</v>
      </c>
      <c r="J17" s="17">
        <f>IFERROR(J9/N9,0)</f>
        <v>0</v>
      </c>
      <c r="K17" s="17">
        <f>IFERROR(K9/N9,0)</f>
        <v>0</v>
      </c>
      <c r="L17" s="17">
        <f>IFERROR(L9/N9,0)</f>
        <v>0</v>
      </c>
      <c r="M17" s="17">
        <f>IFERROR(M9/N9,0)</f>
        <v>0</v>
      </c>
      <c r="N17" s="18">
        <f>IFERROR(N9/N9,0)</f>
        <v>1</v>
      </c>
      <c r="P17" s="17">
        <f>IFERROR(P9/Z9,0)</f>
        <v>0</v>
      </c>
      <c r="Q17" s="17">
        <f>IFERROR(Q9/Z9,0)</f>
        <v>0</v>
      </c>
      <c r="R17" s="17">
        <f>IFERROR(R9/Z9,0)</f>
        <v>0</v>
      </c>
      <c r="S17" s="17">
        <f>IFERROR(S9/Z9,0)</f>
        <v>0</v>
      </c>
      <c r="T17" s="19">
        <f>IFERROR(T9/Z9,0)</f>
        <v>0</v>
      </c>
      <c r="U17" s="17">
        <f>IFERROR(U9/Z9,0)</f>
        <v>0</v>
      </c>
      <c r="V17" s="17">
        <f>IFERROR(V9/Z9,0)</f>
        <v>0</v>
      </c>
      <c r="W17" s="17">
        <f>IFERROR(W9/Z9,0)</f>
        <v>0</v>
      </c>
      <c r="X17" s="17">
        <f>IFERROR(X9/Z9,0)</f>
        <v>0</v>
      </c>
      <c r="Y17" s="17">
        <f>IFERROR(Y9/Z9,0)</f>
        <v>0</v>
      </c>
      <c r="Z17" s="18">
        <f>IFERROR(Z9/Z9,0)</f>
        <v>0</v>
      </c>
      <c r="AB17" s="17">
        <f>IFERROR(AB9/AL9,0)</f>
        <v>0</v>
      </c>
      <c r="AC17" s="17">
        <f>IFERROR(AC9/AL9,0)</f>
        <v>0</v>
      </c>
      <c r="AD17" s="17">
        <f>IFERROR(AD9/AL9,0)</f>
        <v>0</v>
      </c>
      <c r="AE17" s="17">
        <f>IFERROR(AE9/AL9,0)</f>
        <v>0</v>
      </c>
      <c r="AF17" s="19">
        <f>IFERROR(AF9/AL9,0)</f>
        <v>0</v>
      </c>
      <c r="AG17" s="17">
        <f>IFERROR(AG9/AL9,0)</f>
        <v>0</v>
      </c>
      <c r="AH17" s="17">
        <f>IFERROR(AH9/AL9,0)</f>
        <v>0</v>
      </c>
      <c r="AI17" s="17">
        <f>IFERROR(AI9/AL9,0)</f>
        <v>0</v>
      </c>
      <c r="AJ17" s="17">
        <f>IFERROR(AJ9/AL9,0)</f>
        <v>0</v>
      </c>
      <c r="AK17" s="17">
        <f>IFERROR(AK9/AL9,0)</f>
        <v>0</v>
      </c>
      <c r="AL17" s="18">
        <f>IFERROR(AL9/AL9,0)</f>
        <v>0</v>
      </c>
      <c r="AN17" s="17">
        <f t="shared" si="143"/>
        <v>0</v>
      </c>
      <c r="AO17" s="17">
        <f t="shared" si="144"/>
        <v>0</v>
      </c>
      <c r="AP17" s="17">
        <f t="shared" si="145"/>
        <v>0</v>
      </c>
      <c r="AQ17" s="17">
        <f t="shared" si="146"/>
        <v>0</v>
      </c>
      <c r="AR17" s="19">
        <f t="shared" si="147"/>
        <v>0</v>
      </c>
      <c r="AS17" s="17">
        <f t="shared" si="148"/>
        <v>0</v>
      </c>
      <c r="AT17" s="17">
        <f t="shared" si="149"/>
        <v>0</v>
      </c>
      <c r="AU17" s="17">
        <f t="shared" si="150"/>
        <v>0</v>
      </c>
      <c r="AV17" s="17">
        <f t="shared" si="151"/>
        <v>0</v>
      </c>
      <c r="AW17" s="17">
        <f t="shared" ref="AW17" si="293">IFERROR(AW9/AX9,0)</f>
        <v>0</v>
      </c>
      <c r="AX17" s="18">
        <f t="shared" ref="AX17" si="294">IFERROR(AX9/AX9,0)</f>
        <v>0</v>
      </c>
      <c r="AZ17" s="17">
        <f t="shared" si="154"/>
        <v>0</v>
      </c>
      <c r="BA17" s="17">
        <f t="shared" si="155"/>
        <v>0</v>
      </c>
      <c r="BB17" s="17">
        <f t="shared" si="156"/>
        <v>0</v>
      </c>
      <c r="BC17" s="17">
        <f t="shared" si="157"/>
        <v>0</v>
      </c>
      <c r="BD17" s="19">
        <f t="shared" si="158"/>
        <v>0</v>
      </c>
      <c r="BE17" s="17">
        <f t="shared" si="159"/>
        <v>0</v>
      </c>
      <c r="BF17" s="17">
        <f t="shared" si="160"/>
        <v>0</v>
      </c>
      <c r="BG17" s="17">
        <f t="shared" si="161"/>
        <v>0</v>
      </c>
      <c r="BH17" s="17">
        <f t="shared" si="162"/>
        <v>0</v>
      </c>
      <c r="BI17" s="17">
        <f t="shared" ref="BI17" si="295">IFERROR(BI9/BJ9,0)</f>
        <v>0</v>
      </c>
      <c r="BJ17" s="18">
        <f t="shared" ref="BJ17" si="296">IFERROR(BJ9/BJ9,0)</f>
        <v>0</v>
      </c>
      <c r="BL17" s="17">
        <f t="shared" si="165"/>
        <v>0</v>
      </c>
      <c r="BM17" s="17">
        <f t="shared" si="166"/>
        <v>0</v>
      </c>
      <c r="BN17" s="17">
        <f t="shared" si="167"/>
        <v>0</v>
      </c>
      <c r="BO17" s="17">
        <f t="shared" si="168"/>
        <v>0</v>
      </c>
      <c r="BP17" s="19">
        <f t="shared" si="169"/>
        <v>0</v>
      </c>
      <c r="BQ17" s="17">
        <f t="shared" si="170"/>
        <v>0</v>
      </c>
      <c r="BR17" s="17">
        <f t="shared" si="171"/>
        <v>0</v>
      </c>
      <c r="BS17" s="17">
        <f t="shared" si="172"/>
        <v>0</v>
      </c>
      <c r="BT17" s="17">
        <f t="shared" si="173"/>
        <v>0</v>
      </c>
      <c r="BU17" s="17">
        <f t="shared" ref="BU17:BU18" si="297">IFERROR(BU9/BV9,0)</f>
        <v>0</v>
      </c>
      <c r="BV17" s="18">
        <f t="shared" ref="BV17:BV18" si="298">IFERROR(BV9/BV9,0)</f>
        <v>0</v>
      </c>
      <c r="BX17" s="17">
        <f t="shared" si="176"/>
        <v>0</v>
      </c>
      <c r="BY17" s="17">
        <f t="shared" si="177"/>
        <v>0</v>
      </c>
      <c r="BZ17" s="17">
        <f t="shared" si="178"/>
        <v>0</v>
      </c>
      <c r="CA17" s="17">
        <f t="shared" si="179"/>
        <v>0</v>
      </c>
      <c r="CB17" s="19">
        <f t="shared" si="180"/>
        <v>0</v>
      </c>
      <c r="CC17" s="17">
        <f t="shared" si="181"/>
        <v>0</v>
      </c>
      <c r="CD17" s="17">
        <f t="shared" si="182"/>
        <v>0</v>
      </c>
      <c r="CE17" s="17">
        <f t="shared" si="183"/>
        <v>0</v>
      </c>
      <c r="CF17" s="17">
        <f t="shared" si="184"/>
        <v>0</v>
      </c>
      <c r="CG17" s="17">
        <f t="shared" ref="CG17:CG18" si="299">IFERROR(CG9/CH9,0)</f>
        <v>0</v>
      </c>
      <c r="CH17" s="18">
        <f t="shared" ref="CH17:CH18" si="300">IFERROR(CH9/CH9,0)</f>
        <v>0</v>
      </c>
      <c r="CJ17" s="17">
        <f t="shared" si="187"/>
        <v>0</v>
      </c>
      <c r="CK17" s="17">
        <f t="shared" si="188"/>
        <v>0</v>
      </c>
      <c r="CL17" s="17">
        <f t="shared" si="189"/>
        <v>0</v>
      </c>
      <c r="CM17" s="17">
        <f t="shared" si="190"/>
        <v>0</v>
      </c>
      <c r="CN17" s="19">
        <f t="shared" si="191"/>
        <v>0</v>
      </c>
      <c r="CO17" s="17">
        <f t="shared" si="192"/>
        <v>0</v>
      </c>
      <c r="CP17" s="17">
        <f t="shared" si="193"/>
        <v>0</v>
      </c>
      <c r="CQ17" s="17">
        <f t="shared" si="194"/>
        <v>0</v>
      </c>
      <c r="CR17" s="17">
        <f t="shared" si="195"/>
        <v>0</v>
      </c>
      <c r="CS17" s="17">
        <f t="shared" ref="CS17:CS18" si="301">IFERROR(CS9/CT9,0)</f>
        <v>0</v>
      </c>
      <c r="CT17" s="18">
        <f t="shared" ref="CT17:CT18" si="302">IFERROR(CT9/CT9,0)</f>
        <v>0</v>
      </c>
      <c r="CV17" s="17">
        <f t="shared" si="198"/>
        <v>0</v>
      </c>
      <c r="CW17" s="17">
        <f t="shared" si="199"/>
        <v>0</v>
      </c>
      <c r="CX17" s="17">
        <f t="shared" si="200"/>
        <v>0</v>
      </c>
      <c r="CY17" s="17">
        <f t="shared" si="201"/>
        <v>0</v>
      </c>
      <c r="CZ17" s="19">
        <f t="shared" si="202"/>
        <v>0</v>
      </c>
      <c r="DA17" s="17">
        <f t="shared" si="203"/>
        <v>0</v>
      </c>
      <c r="DB17" s="17">
        <f t="shared" si="204"/>
        <v>0</v>
      </c>
      <c r="DC17" s="17">
        <f t="shared" si="205"/>
        <v>0</v>
      </c>
      <c r="DD17" s="17">
        <f t="shared" si="206"/>
        <v>0</v>
      </c>
      <c r="DE17" s="17">
        <f t="shared" ref="DE17:DE18" si="303">IFERROR(DE9/DF9,0)</f>
        <v>0</v>
      </c>
      <c r="DF17" s="18">
        <f t="shared" ref="DF17:DF18" si="304">IFERROR(DF9/DF9,0)</f>
        <v>0</v>
      </c>
      <c r="DH17" s="17">
        <f t="shared" si="209"/>
        <v>0</v>
      </c>
      <c r="DI17" s="17">
        <f t="shared" si="210"/>
        <v>0</v>
      </c>
      <c r="DJ17" s="17">
        <f t="shared" si="211"/>
        <v>0</v>
      </c>
      <c r="DK17" s="17">
        <f t="shared" si="212"/>
        <v>0</v>
      </c>
      <c r="DL17" s="19">
        <f t="shared" si="213"/>
        <v>0</v>
      </c>
      <c r="DM17" s="17">
        <f t="shared" si="214"/>
        <v>0</v>
      </c>
      <c r="DN17" s="17">
        <f t="shared" si="215"/>
        <v>0</v>
      </c>
      <c r="DO17" s="17">
        <f t="shared" si="216"/>
        <v>0</v>
      </c>
      <c r="DP17" s="17">
        <f t="shared" si="217"/>
        <v>0</v>
      </c>
      <c r="DQ17" s="17">
        <f t="shared" ref="DQ17:DQ18" si="305">IFERROR(DQ9/DR9,0)</f>
        <v>0</v>
      </c>
      <c r="DR17" s="18">
        <f t="shared" ref="DR17:DR18" si="306">IFERROR(DR9/DR9,0)</f>
        <v>0</v>
      </c>
      <c r="DT17" s="17">
        <f t="shared" si="220"/>
        <v>0</v>
      </c>
      <c r="DU17" s="17">
        <f t="shared" si="221"/>
        <v>0</v>
      </c>
      <c r="DV17" s="17">
        <f t="shared" si="222"/>
        <v>0</v>
      </c>
      <c r="DW17" s="17">
        <f t="shared" si="223"/>
        <v>0</v>
      </c>
      <c r="DX17" s="19">
        <f t="shared" si="224"/>
        <v>1</v>
      </c>
      <c r="DY17" s="17">
        <f t="shared" si="225"/>
        <v>0</v>
      </c>
      <c r="DZ17" s="17">
        <f t="shared" si="226"/>
        <v>0</v>
      </c>
      <c r="EA17" s="17">
        <f t="shared" si="227"/>
        <v>0</v>
      </c>
      <c r="EB17" s="17">
        <f t="shared" si="228"/>
        <v>0</v>
      </c>
      <c r="EC17" s="17">
        <f t="shared" ref="EC17:EC18" si="307">IFERROR(EC9/ED9,0)</f>
        <v>0</v>
      </c>
      <c r="ED17" s="18">
        <f t="shared" ref="ED17:ED18" si="308">IFERROR(ED9/ED9,0)</f>
        <v>1</v>
      </c>
      <c r="EF17" s="17">
        <f t="shared" si="231"/>
        <v>0</v>
      </c>
      <c r="EG17" s="17">
        <f t="shared" si="232"/>
        <v>0</v>
      </c>
      <c r="EH17" s="17">
        <f t="shared" si="233"/>
        <v>0</v>
      </c>
      <c r="EI17" s="17">
        <f t="shared" si="234"/>
        <v>1.1627906976744186E-2</v>
      </c>
      <c r="EJ17" s="19">
        <f t="shared" si="235"/>
        <v>0.98837209302325579</v>
      </c>
      <c r="EK17" s="17">
        <f t="shared" si="236"/>
        <v>0</v>
      </c>
      <c r="EL17" s="17">
        <f t="shared" si="237"/>
        <v>0</v>
      </c>
      <c r="EM17" s="17">
        <f t="shared" si="238"/>
        <v>0</v>
      </c>
      <c r="EN17" s="17">
        <f t="shared" si="239"/>
        <v>0</v>
      </c>
      <c r="EO17" s="17">
        <f t="shared" ref="EO17:EO18" si="309">IFERROR(EO9/EP9,0)</f>
        <v>0</v>
      </c>
      <c r="EP17" s="18">
        <f t="shared" ref="EP17:EP18" si="310">IFERROR(EP9/EP9,0)</f>
        <v>1</v>
      </c>
      <c r="ER17" s="17">
        <f t="shared" si="242"/>
        <v>0</v>
      </c>
      <c r="ES17" s="17">
        <f t="shared" si="243"/>
        <v>0</v>
      </c>
      <c r="ET17" s="17">
        <f t="shared" si="244"/>
        <v>0</v>
      </c>
      <c r="EU17" s="17">
        <f t="shared" si="245"/>
        <v>5.2631578947368418E-2</v>
      </c>
      <c r="EV17" s="19">
        <f t="shared" si="246"/>
        <v>0.94736842105263153</v>
      </c>
      <c r="EW17" s="17">
        <f t="shared" si="247"/>
        <v>0</v>
      </c>
      <c r="EX17" s="17">
        <f t="shared" si="248"/>
        <v>0</v>
      </c>
      <c r="EY17" s="17">
        <f t="shared" si="249"/>
        <v>0</v>
      </c>
      <c r="EZ17" s="17">
        <f t="shared" si="250"/>
        <v>0</v>
      </c>
      <c r="FA17" s="17">
        <f t="shared" ref="FA17:FA18" si="311">IFERROR(FA9/FB9,0)</f>
        <v>0</v>
      </c>
      <c r="FB17" s="18">
        <f t="shared" ref="FB17:FB18" si="312">IFERROR(FB9/FB9,0)</f>
        <v>1</v>
      </c>
    </row>
    <row r="18" spans="2:158" x14ac:dyDescent="0.35">
      <c r="B18" s="30" t="s">
        <v>98</v>
      </c>
      <c r="C18" s="31"/>
      <c r="D18" s="32">
        <f>IFERROR(D10/N10,0)</f>
        <v>0.15552617503247237</v>
      </c>
      <c r="E18" s="32">
        <f>IFERROR(E10/N10,0)</f>
        <v>0.14390534008588918</v>
      </c>
      <c r="F18" s="32">
        <f>IFERROR(F10/N10,0)</f>
        <v>0.61652282795358504</v>
      </c>
      <c r="G18" s="32">
        <f>IFERROR(G10/N10,0)</f>
        <v>2.427167494203139E-2</v>
      </c>
      <c r="H18" s="32">
        <f>IFERROR(H10/N10,0)</f>
        <v>5.8811434790218338E-2</v>
      </c>
      <c r="I18" s="32">
        <f>IFERROR(I10/N10,0)</f>
        <v>4.3752145263804419E-4</v>
      </c>
      <c r="J18" s="32">
        <f>IFERROR(J10/N10,0)</f>
        <v>0</v>
      </c>
      <c r="K18" s="32">
        <f>IFERROR(K10/N10,0)</f>
        <v>3.5001716211043537E-4</v>
      </c>
      <c r="L18" s="32">
        <f>IFERROR(L10/N10,0)</f>
        <v>1.7500858105521768E-4</v>
      </c>
      <c r="M18" s="32">
        <f>IFERROR(M10/N10,0)</f>
        <v>0</v>
      </c>
      <c r="N18" s="33">
        <f>IFERROR(N10/N10,0)</f>
        <v>1</v>
      </c>
      <c r="P18" s="32">
        <f>IFERROR(P10/Z10,0)</f>
        <v>5.2165036139538407E-2</v>
      </c>
      <c r="Q18" s="32">
        <f>IFERROR(Q10/Z10,0)</f>
        <v>0.16977371816574291</v>
      </c>
      <c r="R18" s="32">
        <f>IFERROR(R10/Z10,0)</f>
        <v>0.73471491741925066</v>
      </c>
      <c r="S18" s="32">
        <f>IFERROR(S10/Z10,0)</f>
        <v>3.8156738637213763E-2</v>
      </c>
      <c r="T18" s="32">
        <f>IFERROR(T10/Z10,0)</f>
        <v>5.1895896382541506E-3</v>
      </c>
      <c r="U18" s="32">
        <f>IFERROR(U10/Z10,0)</f>
        <v>0</v>
      </c>
      <c r="V18" s="32">
        <f>IFERROR(V10/Z10,0)</f>
        <v>0</v>
      </c>
      <c r="W18" s="32">
        <f>IFERROR(W10/Z10,0)</f>
        <v>0</v>
      </c>
      <c r="X18" s="32">
        <f>IFERROR(X10/Z10,0)</f>
        <v>0</v>
      </c>
      <c r="Y18" s="32">
        <f>IFERROR(Y10/Z10,0)</f>
        <v>0</v>
      </c>
      <c r="Z18" s="33">
        <f>IFERROR(Z10/Z10,0)</f>
        <v>1</v>
      </c>
      <c r="AB18" s="32">
        <f>IFERROR(AB10/AL10,0)</f>
        <v>7.6420941232683504E-2</v>
      </c>
      <c r="AC18" s="32">
        <f>IFERROR(AC10/AL10,0)</f>
        <v>6.6241815203434445E-2</v>
      </c>
      <c r="AD18" s="32">
        <f>IFERROR(AD10/AL10,0)</f>
        <v>0.80306337956329765</v>
      </c>
      <c r="AE18" s="32">
        <f>IFERROR(AE10/AL10,0)</f>
        <v>5.1762729913066255E-2</v>
      </c>
      <c r="AF18" s="32">
        <f>IFERROR(AF10/AL10,0)</f>
        <v>2.5111340875181728E-3</v>
      </c>
      <c r="AG18" s="32">
        <f>IFERROR(AG10/AL10,0)</f>
        <v>0</v>
      </c>
      <c r="AH18" s="32">
        <f>IFERROR(AH10/AL10,0)</f>
        <v>0</v>
      </c>
      <c r="AI18" s="32">
        <f>IFERROR(AI10/AL10,0)</f>
        <v>0</v>
      </c>
      <c r="AJ18" s="32">
        <f>IFERROR(AJ10/AL10,0)</f>
        <v>0</v>
      </c>
      <c r="AK18" s="32">
        <f>IFERROR(AK10/AL10,0)</f>
        <v>0</v>
      </c>
      <c r="AL18" s="33">
        <f>IFERROR(AL10/AL10,0)</f>
        <v>1</v>
      </c>
      <c r="AN18" s="32">
        <f>IFERROR(AN10/AX10,0)</f>
        <v>7.2404531713564646E-3</v>
      </c>
      <c r="AO18" s="32">
        <f>IFERROR(AO10/AX10,0)</f>
        <v>0.11167006621976701</v>
      </c>
      <c r="AP18" s="32">
        <f>IFERROR(AP10/AX10,0)</f>
        <v>0.84655808856086878</v>
      </c>
      <c r="AQ18" s="32">
        <f>IFERROR(AQ10/AX10,0)</f>
        <v>3.0075728557942237E-2</v>
      </c>
      <c r="AR18" s="32">
        <f>IFERROR(AR10/AX10,0)</f>
        <v>4.4556634900655163E-3</v>
      </c>
      <c r="AS18" s="32">
        <f>IFERROR(AS10/AX10,0)</f>
        <v>0</v>
      </c>
      <c r="AT18" s="32">
        <f>IFERROR(AT10/AX10,0)</f>
        <v>0</v>
      </c>
      <c r="AU18" s="32">
        <f>IFERROR(AU10/AX10,0)</f>
        <v>0</v>
      </c>
      <c r="AV18" s="32">
        <f>IFERROR(AV10/AX10,0)</f>
        <v>0</v>
      </c>
      <c r="AW18" s="32">
        <f>IFERROR(AW10/AX10,0)</f>
        <v>0</v>
      </c>
      <c r="AX18" s="33">
        <f>IFERROR(AX10/AX10,0)</f>
        <v>1</v>
      </c>
      <c r="AZ18" s="32">
        <f>IFERROR(AZ10/BJ10,0)</f>
        <v>8.6438093457462783E-2</v>
      </c>
      <c r="BA18" s="32">
        <f>IFERROR(BA10/BJ10,0)</f>
        <v>0.1631898366143906</v>
      </c>
      <c r="BB18" s="32">
        <f>IFERROR(BB10/BJ10,0)</f>
        <v>0.70789817917749687</v>
      </c>
      <c r="BC18" s="32">
        <f>IFERROR(BC10/BJ10,0)</f>
        <v>3.2041707057507751E-2</v>
      </c>
      <c r="BD18" s="32">
        <f>IFERROR(BD10/BJ10,0)</f>
        <v>1.0432183693142059E-2</v>
      </c>
      <c r="BE18" s="32">
        <f>IFERROR(BE10/BJ10,0)</f>
        <v>0</v>
      </c>
      <c r="BF18" s="32">
        <f>IFERROR(BF10/BJ10,0)</f>
        <v>0</v>
      </c>
      <c r="BG18" s="32">
        <f>IFERROR(BG10/BJ10,0)</f>
        <v>0</v>
      </c>
      <c r="BH18" s="32">
        <f>IFERROR(BH10/BJ10,0)</f>
        <v>0</v>
      </c>
      <c r="BI18" s="32">
        <f>IFERROR(BI10/BJ10,0)</f>
        <v>0</v>
      </c>
      <c r="BJ18" s="33">
        <f>IFERROR(BJ10/BJ10,0)</f>
        <v>1</v>
      </c>
      <c r="BL18" s="32">
        <f t="shared" si="165"/>
        <v>4.4682975536694959E-2</v>
      </c>
      <c r="BM18" s="32">
        <f t="shared" si="166"/>
        <v>0.10783824263604593</v>
      </c>
      <c r="BN18" s="32">
        <f t="shared" si="167"/>
        <v>0.72865701447828268</v>
      </c>
      <c r="BO18" s="32">
        <f t="shared" si="168"/>
        <v>5.5167249126310533E-2</v>
      </c>
      <c r="BP18" s="32">
        <f t="shared" si="169"/>
        <v>6.365451822266599E-2</v>
      </c>
      <c r="BQ18" s="32">
        <f t="shared" si="170"/>
        <v>0</v>
      </c>
      <c r="BR18" s="32">
        <f t="shared" si="171"/>
        <v>0</v>
      </c>
      <c r="BS18" s="32">
        <f t="shared" si="172"/>
        <v>0</v>
      </c>
      <c r="BT18" s="32">
        <f t="shared" si="173"/>
        <v>0</v>
      </c>
      <c r="BU18" s="32">
        <f t="shared" si="297"/>
        <v>0</v>
      </c>
      <c r="BV18" s="33">
        <f t="shared" si="298"/>
        <v>1</v>
      </c>
      <c r="BX18" s="32">
        <f t="shared" si="176"/>
        <v>5.1092379150180632E-2</v>
      </c>
      <c r="BY18" s="32">
        <f t="shared" si="177"/>
        <v>0.12029687154407612</v>
      </c>
      <c r="BZ18" s="32">
        <f t="shared" si="178"/>
        <v>0.70934604703742843</v>
      </c>
      <c r="CA18" s="32">
        <f t="shared" si="179"/>
        <v>2.5951684647710801E-2</v>
      </c>
      <c r="CB18" s="32">
        <f t="shared" si="180"/>
        <v>9.331301762060408E-2</v>
      </c>
      <c r="CC18" s="32">
        <f t="shared" si="181"/>
        <v>0</v>
      </c>
      <c r="CD18" s="32">
        <f t="shared" si="182"/>
        <v>0</v>
      </c>
      <c r="CE18" s="32">
        <f t="shared" si="183"/>
        <v>0</v>
      </c>
      <c r="CF18" s="32">
        <f t="shared" si="184"/>
        <v>0</v>
      </c>
      <c r="CG18" s="32">
        <f t="shared" si="299"/>
        <v>0</v>
      </c>
      <c r="CH18" s="33">
        <f t="shared" si="300"/>
        <v>1</v>
      </c>
      <c r="CJ18" s="32">
        <f t="shared" si="187"/>
        <v>0.48638640818993678</v>
      </c>
      <c r="CK18" s="32">
        <f t="shared" si="188"/>
        <v>0.31028098453495973</v>
      </c>
      <c r="CL18" s="32">
        <f t="shared" si="189"/>
        <v>0.14615552167283816</v>
      </c>
      <c r="CM18" s="32">
        <f t="shared" si="190"/>
        <v>3.593988237856676E-3</v>
      </c>
      <c r="CN18" s="32">
        <f t="shared" si="191"/>
        <v>5.3583097364408624E-2</v>
      </c>
      <c r="CO18" s="32">
        <f t="shared" si="192"/>
        <v>0</v>
      </c>
      <c r="CP18" s="32">
        <f t="shared" si="193"/>
        <v>0</v>
      </c>
      <c r="CQ18" s="32">
        <f t="shared" si="194"/>
        <v>0</v>
      </c>
      <c r="CR18" s="32">
        <f t="shared" si="195"/>
        <v>0</v>
      </c>
      <c r="CS18" s="32">
        <f t="shared" si="301"/>
        <v>0</v>
      </c>
      <c r="CT18" s="33">
        <f t="shared" si="302"/>
        <v>1</v>
      </c>
      <c r="CV18" s="32">
        <f t="shared" si="198"/>
        <v>0.31987211662265674</v>
      </c>
      <c r="CW18" s="32">
        <f t="shared" si="199"/>
        <v>7.0468978460598394E-2</v>
      </c>
      <c r="CX18" s="32">
        <f t="shared" si="200"/>
        <v>0.56148604412631209</v>
      </c>
      <c r="CY18" s="32">
        <f t="shared" si="201"/>
        <v>1.2002706064640027E-3</v>
      </c>
      <c r="CZ18" s="32">
        <f t="shared" si="202"/>
        <v>4.6972590183968752E-2</v>
      </c>
      <c r="DA18" s="32">
        <f t="shared" si="203"/>
        <v>0</v>
      </c>
      <c r="DB18" s="32">
        <f t="shared" si="204"/>
        <v>0</v>
      </c>
      <c r="DC18" s="32">
        <f t="shared" si="205"/>
        <v>0</v>
      </c>
      <c r="DD18" s="32">
        <f t="shared" si="206"/>
        <v>0</v>
      </c>
      <c r="DE18" s="32">
        <f t="shared" si="303"/>
        <v>0</v>
      </c>
      <c r="DF18" s="33">
        <f t="shared" si="304"/>
        <v>1</v>
      </c>
      <c r="DH18" s="32">
        <f t="shared" si="209"/>
        <v>0.40395678186100303</v>
      </c>
      <c r="DI18" s="32">
        <f t="shared" si="210"/>
        <v>8.7807482956666127E-2</v>
      </c>
      <c r="DJ18" s="32">
        <f t="shared" si="211"/>
        <v>0.42707180864636285</v>
      </c>
      <c r="DK18" s="32">
        <f t="shared" si="212"/>
        <v>1.3675359636942551E-3</v>
      </c>
      <c r="DL18" s="32">
        <f t="shared" si="213"/>
        <v>7.9796390572273779E-2</v>
      </c>
      <c r="DM18" s="32">
        <f t="shared" si="214"/>
        <v>0</v>
      </c>
      <c r="DN18" s="32">
        <f t="shared" si="215"/>
        <v>0</v>
      </c>
      <c r="DO18" s="32">
        <f t="shared" si="216"/>
        <v>0</v>
      </c>
      <c r="DP18" s="32">
        <f t="shared" si="217"/>
        <v>0</v>
      </c>
      <c r="DQ18" s="32">
        <f t="shared" si="305"/>
        <v>0</v>
      </c>
      <c r="DR18" s="33">
        <f t="shared" si="306"/>
        <v>1</v>
      </c>
      <c r="DT18" s="32">
        <f t="shared" si="220"/>
        <v>0.21335570914127633</v>
      </c>
      <c r="DU18" s="32">
        <f t="shared" si="221"/>
        <v>0.13975953445227252</v>
      </c>
      <c r="DV18" s="32">
        <f t="shared" si="222"/>
        <v>0.38155215802319259</v>
      </c>
      <c r="DW18" s="32">
        <f t="shared" si="223"/>
        <v>1.6037979363375532E-2</v>
      </c>
      <c r="DX18" s="32">
        <f t="shared" si="224"/>
        <v>0.24929461901988309</v>
      </c>
      <c r="DY18" s="32">
        <f t="shared" si="225"/>
        <v>0</v>
      </c>
      <c r="DZ18" s="32">
        <f t="shared" si="226"/>
        <v>0</v>
      </c>
      <c r="EA18" s="32">
        <f t="shared" si="227"/>
        <v>0</v>
      </c>
      <c r="EB18" s="32">
        <f t="shared" si="228"/>
        <v>0</v>
      </c>
      <c r="EC18" s="32">
        <f t="shared" si="307"/>
        <v>0</v>
      </c>
      <c r="ED18" s="33">
        <f t="shared" si="308"/>
        <v>1</v>
      </c>
      <c r="EF18" s="32">
        <f t="shared" si="231"/>
        <v>0.21913427388195025</v>
      </c>
      <c r="EG18" s="32">
        <f t="shared" si="232"/>
        <v>0.34656337140621724</v>
      </c>
      <c r="EH18" s="32">
        <f t="shared" si="233"/>
        <v>0.37917913654784868</v>
      </c>
      <c r="EI18" s="32">
        <f t="shared" si="234"/>
        <v>1.5898496291314411E-3</v>
      </c>
      <c r="EJ18" s="32">
        <f t="shared" si="235"/>
        <v>5.3533368534852396E-2</v>
      </c>
      <c r="EK18" s="32">
        <f t="shared" si="236"/>
        <v>0</v>
      </c>
      <c r="EL18" s="32">
        <f t="shared" si="237"/>
        <v>0</v>
      </c>
      <c r="EM18" s="32">
        <f t="shared" si="238"/>
        <v>0</v>
      </c>
      <c r="EN18" s="32">
        <f t="shared" si="239"/>
        <v>0</v>
      </c>
      <c r="EO18" s="32">
        <f t="shared" si="309"/>
        <v>0</v>
      </c>
      <c r="EP18" s="33">
        <f t="shared" si="310"/>
        <v>1</v>
      </c>
      <c r="ER18" s="32">
        <f t="shared" si="242"/>
        <v>0.31679252067601582</v>
      </c>
      <c r="ES18" s="32">
        <f t="shared" si="243"/>
        <v>7.7669902912621352E-2</v>
      </c>
      <c r="ET18" s="32">
        <f t="shared" si="244"/>
        <v>0.57317511686443723</v>
      </c>
      <c r="EU18" s="32">
        <f t="shared" si="245"/>
        <v>1.0787486515641855E-3</v>
      </c>
      <c r="EV18" s="32">
        <f t="shared" si="246"/>
        <v>1.9417475728155338E-2</v>
      </c>
      <c r="EW18" s="32">
        <f t="shared" si="247"/>
        <v>5.3937432578209281E-3</v>
      </c>
      <c r="EX18" s="32">
        <f t="shared" si="248"/>
        <v>0</v>
      </c>
      <c r="EY18" s="32">
        <f t="shared" si="249"/>
        <v>4.3149946062567418E-3</v>
      </c>
      <c r="EZ18" s="32">
        <f t="shared" si="250"/>
        <v>2.1574973031283709E-3</v>
      </c>
      <c r="FA18" s="32">
        <f t="shared" si="311"/>
        <v>0</v>
      </c>
      <c r="FB18" s="33">
        <f t="shared" si="312"/>
        <v>1</v>
      </c>
    </row>
    <row r="19" spans="2:158" x14ac:dyDescent="0.35">
      <c r="L19" s="2"/>
    </row>
    <row r="20" spans="2:158" ht="15" thickBot="1" x14ac:dyDescent="0.4">
      <c r="B20" s="15" t="s">
        <v>97</v>
      </c>
      <c r="L20" s="2"/>
    </row>
    <row r="21" spans="2:158" x14ac:dyDescent="0.35">
      <c r="B21" s="14" t="s">
        <v>68</v>
      </c>
      <c r="D21" s="26">
        <f>D6/D$10</f>
        <v>0.95970552767297534</v>
      </c>
      <c r="E21" s="23">
        <f t="shared" ref="E21:BP25" si="313">E6/E$10</f>
        <v>6.1322777265833316E-2</v>
      </c>
      <c r="F21" s="23">
        <f t="shared" si="313"/>
        <v>5.6605044399326329E-4</v>
      </c>
      <c r="G21" s="23">
        <f t="shared" si="313"/>
        <v>1.9227743886451432E-2</v>
      </c>
      <c r="H21" s="23">
        <f t="shared" si="313"/>
        <v>0.18062105416217203</v>
      </c>
      <c r="I21" s="27">
        <f t="shared" si="313"/>
        <v>0.8</v>
      </c>
      <c r="J21" s="23" t="e">
        <f t="shared" si="313"/>
        <v>#DIV/0!</v>
      </c>
      <c r="K21" s="23">
        <f t="shared" si="313"/>
        <v>0</v>
      </c>
      <c r="L21" s="23">
        <f t="shared" si="313"/>
        <v>0.5</v>
      </c>
      <c r="M21" s="23" t="e">
        <f t="shared" si="313"/>
        <v>#DIV/0!</v>
      </c>
      <c r="N21" s="28">
        <f t="shared" si="313"/>
        <v>0.16995978236516221</v>
      </c>
      <c r="O21" s="23" t="e">
        <f t="shared" si="313"/>
        <v>#DIV/0!</v>
      </c>
      <c r="P21" s="26">
        <f t="shared" si="313"/>
        <v>0.9952626637611004</v>
      </c>
      <c r="Q21" s="23">
        <f t="shared" si="313"/>
        <v>1.6011644832605535E-2</v>
      </c>
      <c r="R21" s="23">
        <f t="shared" si="313"/>
        <v>6.6078008743334499E-4</v>
      </c>
      <c r="S21" s="23">
        <f t="shared" si="313"/>
        <v>3.2382657026447798E-2</v>
      </c>
      <c r="T21" s="23">
        <f t="shared" si="313"/>
        <v>0</v>
      </c>
      <c r="U21" s="27" t="e">
        <f>U6/U$10</f>
        <v>#DIV/0!</v>
      </c>
      <c r="V21" s="23" t="e">
        <f t="shared" si="313"/>
        <v>#DIV/0!</v>
      </c>
      <c r="W21" s="23" t="e">
        <f t="shared" si="313"/>
        <v>#DIV/0!</v>
      </c>
      <c r="X21" s="23" t="e">
        <f t="shared" si="313"/>
        <v>#DIV/0!</v>
      </c>
      <c r="Y21" s="23" t="e">
        <f t="shared" si="313"/>
        <v>#DIV/0!</v>
      </c>
      <c r="Z21" s="28">
        <f t="shared" si="313"/>
        <v>5.6357370868519385E-2</v>
      </c>
      <c r="AA21" s="23" t="e">
        <f t="shared" si="313"/>
        <v>#DIV/0!</v>
      </c>
      <c r="AB21" s="26">
        <f t="shared" si="313"/>
        <v>1</v>
      </c>
      <c r="AC21" s="23">
        <f t="shared" si="313"/>
        <v>0.19125683060109289</v>
      </c>
      <c r="AD21" s="23">
        <f t="shared" si="313"/>
        <v>9.0149081995507293E-4</v>
      </c>
      <c r="AE21" s="23">
        <f t="shared" si="313"/>
        <v>4.195804195804196E-2</v>
      </c>
      <c r="AF21" s="23">
        <f t="shared" si="313"/>
        <v>0.28829773293146377</v>
      </c>
      <c r="AG21" s="27" t="e">
        <f t="shared" si="313"/>
        <v>#DIV/0!</v>
      </c>
      <c r="AH21" s="23" t="e">
        <f t="shared" si="313"/>
        <v>#DIV/0!</v>
      </c>
      <c r="AI21" s="23" t="e">
        <f t="shared" si="313"/>
        <v>#DIV/0!</v>
      </c>
      <c r="AJ21" s="23" t="e">
        <f t="shared" si="313"/>
        <v>#DIV/0!</v>
      </c>
      <c r="AK21" s="23" t="e">
        <f t="shared" si="313"/>
        <v>#DIV/0!</v>
      </c>
      <c r="AL21" s="28">
        <f t="shared" si="313"/>
        <v>9.2709912184347709E-2</v>
      </c>
      <c r="AM21" s="23" t="e">
        <f t="shared" si="313"/>
        <v>#DIV/0!</v>
      </c>
      <c r="AN21" s="26">
        <f t="shared" si="313"/>
        <v>1</v>
      </c>
      <c r="AO21" s="23">
        <f t="shared" si="313"/>
        <v>2.2443890274314215E-2</v>
      </c>
      <c r="AP21" s="23">
        <f t="shared" si="313"/>
        <v>3.2895435279875864E-4</v>
      </c>
      <c r="AQ21" s="23">
        <f t="shared" si="313"/>
        <v>0</v>
      </c>
      <c r="AR21" s="23">
        <f t="shared" si="313"/>
        <v>0.125</v>
      </c>
      <c r="AS21" s="27" t="e">
        <f t="shared" si="313"/>
        <v>#DIV/0!</v>
      </c>
      <c r="AT21" s="23" t="e">
        <f t="shared" si="313"/>
        <v>#DIV/0!</v>
      </c>
      <c r="AU21" s="23" t="e">
        <f t="shared" si="313"/>
        <v>#DIV/0!</v>
      </c>
      <c r="AV21" s="23" t="e">
        <f t="shared" si="313"/>
        <v>#DIV/0!</v>
      </c>
      <c r="AW21" s="23" t="e">
        <f t="shared" si="313"/>
        <v>#DIV/0!</v>
      </c>
      <c r="AX21" s="28">
        <f t="shared" si="313"/>
        <v>1.0582200788905602E-2</v>
      </c>
      <c r="AY21" s="23" t="e">
        <f t="shared" si="313"/>
        <v>#DIV/0!</v>
      </c>
      <c r="AZ21" s="26">
        <f t="shared" si="313"/>
        <v>0.99137931034482762</v>
      </c>
      <c r="BA21" s="23">
        <f t="shared" si="313"/>
        <v>3.1963337636622506E-2</v>
      </c>
      <c r="BB21" s="23">
        <f t="shared" si="313"/>
        <v>0</v>
      </c>
      <c r="BC21" s="23">
        <f t="shared" si="313"/>
        <v>0</v>
      </c>
      <c r="BD21" s="23">
        <f t="shared" si="313"/>
        <v>0</v>
      </c>
      <c r="BE21" s="27" t="e">
        <f t="shared" si="313"/>
        <v>#DIV/0!</v>
      </c>
      <c r="BF21" s="23" t="e">
        <f t="shared" si="313"/>
        <v>#DIV/0!</v>
      </c>
      <c r="BG21" s="23" t="e">
        <f t="shared" si="313"/>
        <v>#DIV/0!</v>
      </c>
      <c r="BH21" s="23" t="e">
        <f t="shared" si="313"/>
        <v>#DIV/0!</v>
      </c>
      <c r="BI21" s="23" t="e">
        <f t="shared" si="313"/>
        <v>#DIV/0!</v>
      </c>
      <c r="BJ21" s="28">
        <f t="shared" si="313"/>
        <v>9.0909029325952226E-2</v>
      </c>
      <c r="BK21" s="23" t="e">
        <f t="shared" si="313"/>
        <v>#DIV/0!</v>
      </c>
      <c r="BL21" s="26">
        <f t="shared" si="313"/>
        <v>1</v>
      </c>
      <c r="BM21" s="23">
        <f t="shared" si="313"/>
        <v>9.0277777777777776E-2</v>
      </c>
      <c r="BN21" s="23">
        <f t="shared" si="313"/>
        <v>0</v>
      </c>
      <c r="BO21" s="23">
        <f t="shared" si="313"/>
        <v>1.8099547511312219E-2</v>
      </c>
      <c r="BP21" s="23">
        <f t="shared" si="313"/>
        <v>1.9607843137254905E-2</v>
      </c>
      <c r="BQ21" s="27" t="e">
        <f t="shared" ref="BQ21:CA24" si="314">BQ6/BQ$10</f>
        <v>#DIV/0!</v>
      </c>
      <c r="BR21" s="23" t="e">
        <f t="shared" si="314"/>
        <v>#DIV/0!</v>
      </c>
      <c r="BS21" s="23" t="e">
        <f t="shared" si="314"/>
        <v>#DIV/0!</v>
      </c>
      <c r="BT21" s="23" t="e">
        <f t="shared" si="314"/>
        <v>#DIV/0!</v>
      </c>
      <c r="BU21" s="23" t="e">
        <f t="shared" si="314"/>
        <v>#DIV/0!</v>
      </c>
      <c r="BV21" s="28">
        <f t="shared" si="314"/>
        <v>5.6665002496255619E-2</v>
      </c>
      <c r="BX21" s="26">
        <f t="shared" ref="BX21:CH25" si="315">BX6/BX$10</f>
        <v>1</v>
      </c>
      <c r="BY21" s="23">
        <f t="shared" si="315"/>
        <v>4.4943820224719093E-2</v>
      </c>
      <c r="BZ21" s="23">
        <f t="shared" si="315"/>
        <v>0</v>
      </c>
      <c r="CA21" s="23">
        <f t="shared" si="315"/>
        <v>0</v>
      </c>
      <c r="CB21" s="23">
        <f t="shared" si="315"/>
        <v>2.8970239662891757E-3</v>
      </c>
      <c r="CC21" s="27" t="e">
        <f t="shared" si="315"/>
        <v>#DIV/0!</v>
      </c>
      <c r="CD21" s="23" t="e">
        <f t="shared" si="315"/>
        <v>#DIV/0!</v>
      </c>
      <c r="CE21" s="23" t="e">
        <f t="shared" si="315"/>
        <v>#DIV/0!</v>
      </c>
      <c r="CF21" s="23" t="e">
        <f t="shared" si="315"/>
        <v>#DIV/0!</v>
      </c>
      <c r="CG21" s="23" t="e">
        <f t="shared" si="315"/>
        <v>#DIV/0!</v>
      </c>
      <c r="CH21" s="28">
        <f t="shared" si="315"/>
        <v>5.6769310166867371E-2</v>
      </c>
      <c r="CJ21" s="26">
        <f t="shared" ref="CJ21:CT25" si="316">CJ6/CJ$10</f>
        <v>0.74876847290640391</v>
      </c>
      <c r="CK21" s="23">
        <f t="shared" si="316"/>
        <v>0.24710424710424711</v>
      </c>
      <c r="CL21" s="23">
        <f t="shared" si="316"/>
        <v>5.737704918032787E-2</v>
      </c>
      <c r="CM21" s="23">
        <f t="shared" si="316"/>
        <v>0</v>
      </c>
      <c r="CN21" s="23">
        <f t="shared" si="316"/>
        <v>8.943089430894309E-2</v>
      </c>
      <c r="CO21" s="27" t="e">
        <f t="shared" si="316"/>
        <v>#DIV/0!</v>
      </c>
      <c r="CP21" s="23" t="e">
        <f t="shared" si="316"/>
        <v>#DIV/0!</v>
      </c>
      <c r="CQ21" s="23" t="e">
        <f t="shared" si="316"/>
        <v>#DIV/0!</v>
      </c>
      <c r="CR21" s="23" t="e">
        <f t="shared" si="316"/>
        <v>#DIV/0!</v>
      </c>
      <c r="CS21" s="23" t="e">
        <f t="shared" si="316"/>
        <v>#DIV/0!</v>
      </c>
      <c r="CT21" s="28">
        <f t="shared" si="316"/>
        <v>0.45404051404922668</v>
      </c>
      <c r="CV21" s="26">
        <f t="shared" ref="CV21:DF25" si="317">CV6/CV$10</f>
        <v>0.84427767354596628</v>
      </c>
      <c r="CW21" s="23">
        <f t="shared" si="317"/>
        <v>0.11260877643925551</v>
      </c>
      <c r="CX21" s="23">
        <f t="shared" si="317"/>
        <v>0</v>
      </c>
      <c r="CY21" s="23">
        <f t="shared" si="317"/>
        <v>0</v>
      </c>
      <c r="CZ21" s="23">
        <f t="shared" si="317"/>
        <v>0.21718526777936514</v>
      </c>
      <c r="DA21" s="27" t="e">
        <f t="shared" si="317"/>
        <v>#DIV/0!</v>
      </c>
      <c r="DB21" s="23" t="e">
        <f t="shared" si="317"/>
        <v>#DIV/0!</v>
      </c>
      <c r="DC21" s="23" t="e">
        <f t="shared" si="317"/>
        <v>#DIV/0!</v>
      </c>
      <c r="DD21" s="23" t="e">
        <f t="shared" si="317"/>
        <v>#DIV/0!</v>
      </c>
      <c r="DE21" s="23" t="e">
        <f t="shared" si="317"/>
        <v>#DIV/0!</v>
      </c>
      <c r="DF21" s="28">
        <f t="shared" si="317"/>
        <v>0.28819806647316848</v>
      </c>
      <c r="DH21" s="26">
        <f t="shared" ref="DH21:DR25" si="318">DH6/DH$10</f>
        <v>0.99909173478655766</v>
      </c>
      <c r="DI21" s="23">
        <f t="shared" si="318"/>
        <v>0.34398207061594271</v>
      </c>
      <c r="DJ21" s="23">
        <f t="shared" si="318"/>
        <v>0</v>
      </c>
      <c r="DK21" s="23">
        <f t="shared" si="318"/>
        <v>0</v>
      </c>
      <c r="DL21" s="23">
        <f t="shared" si="318"/>
        <v>0.58479457608981888</v>
      </c>
      <c r="DM21" s="27" t="e">
        <f t="shared" si="318"/>
        <v>#DIV/0!</v>
      </c>
      <c r="DN21" s="23" t="e">
        <f t="shared" si="318"/>
        <v>#DIV/0!</v>
      </c>
      <c r="DO21" s="23" t="e">
        <f t="shared" si="318"/>
        <v>#DIV/0!</v>
      </c>
      <c r="DP21" s="23" t="e">
        <f t="shared" si="318"/>
        <v>#DIV/0!</v>
      </c>
      <c r="DQ21" s="23" t="e">
        <f t="shared" si="318"/>
        <v>#DIV/0!</v>
      </c>
      <c r="DR21" s="28">
        <f t="shared" si="318"/>
        <v>0.4804585781695232</v>
      </c>
      <c r="DT21" s="26">
        <f t="shared" ref="DT21:ED25" si="319">DT6/DT$10</f>
        <v>0.97721466026999892</v>
      </c>
      <c r="DU21" s="23">
        <f t="shared" si="319"/>
        <v>3.5128805620608897E-2</v>
      </c>
      <c r="DV21" s="23">
        <f t="shared" si="319"/>
        <v>0</v>
      </c>
      <c r="DW21" s="23">
        <f t="shared" si="319"/>
        <v>2.0408163265306121E-2</v>
      </c>
      <c r="DX21" s="23">
        <f t="shared" si="319"/>
        <v>0.15755127130149882</v>
      </c>
      <c r="DY21" s="27" t="e">
        <f t="shared" si="319"/>
        <v>#DIV/0!</v>
      </c>
      <c r="DZ21" s="23" t="e">
        <f t="shared" si="319"/>
        <v>#DIV/0!</v>
      </c>
      <c r="EA21" s="23" t="e">
        <f t="shared" si="319"/>
        <v>#DIV/0!</v>
      </c>
      <c r="EB21" s="23" t="e">
        <f t="shared" si="319"/>
        <v>#DIV/0!</v>
      </c>
      <c r="EC21" s="23" t="e">
        <f t="shared" si="319"/>
        <v>#DIV/0!</v>
      </c>
      <c r="ED21" s="28">
        <f t="shared" si="319"/>
        <v>0.25300790220105651</v>
      </c>
      <c r="EF21" s="26">
        <f t="shared" ref="EF21:EP25" si="320">EF6/EF$10</f>
        <v>0.9854897218863361</v>
      </c>
      <c r="EG21" s="23">
        <f t="shared" si="320"/>
        <v>4.587471615019381E-3</v>
      </c>
      <c r="EH21" s="23">
        <f t="shared" si="320"/>
        <v>0</v>
      </c>
      <c r="EI21" s="23">
        <f t="shared" si="320"/>
        <v>0</v>
      </c>
      <c r="EJ21" s="23">
        <f t="shared" si="320"/>
        <v>0.30688235426462984</v>
      </c>
      <c r="EK21" s="27" t="e">
        <f t="shared" si="320"/>
        <v>#DIV/0!</v>
      </c>
      <c r="EL21" s="23" t="e">
        <f t="shared" si="320"/>
        <v>#DIV/0!</v>
      </c>
      <c r="EM21" s="23" t="e">
        <f t="shared" si="320"/>
        <v>#DIV/0!</v>
      </c>
      <c r="EN21" s="23" t="e">
        <f t="shared" si="320"/>
        <v>#DIV/0!</v>
      </c>
      <c r="EO21" s="23" t="e">
        <f t="shared" si="320"/>
        <v>#DIV/0!</v>
      </c>
      <c r="EP21" s="28">
        <f t="shared" si="320"/>
        <v>0.23397287042051038</v>
      </c>
      <c r="ER21" s="26">
        <f t="shared" ref="ER21:FB25" si="321">ER6/ER$10</f>
        <v>1</v>
      </c>
      <c r="ES21" s="23">
        <f t="shared" si="321"/>
        <v>4.6296296296296294E-3</v>
      </c>
      <c r="ET21" s="23">
        <f t="shared" si="321"/>
        <v>0</v>
      </c>
      <c r="EU21" s="23">
        <f t="shared" si="321"/>
        <v>0</v>
      </c>
      <c r="EV21" s="23">
        <f t="shared" si="321"/>
        <v>0.44444444444444436</v>
      </c>
      <c r="EW21" s="27">
        <f t="shared" si="321"/>
        <v>0.8</v>
      </c>
      <c r="EX21" s="23" t="e">
        <f t="shared" si="321"/>
        <v>#DIV/0!</v>
      </c>
      <c r="EY21" s="23">
        <f t="shared" si="321"/>
        <v>0</v>
      </c>
      <c r="EZ21" s="23">
        <f t="shared" si="321"/>
        <v>0.5</v>
      </c>
      <c r="FA21" s="23" t="e">
        <f t="shared" si="321"/>
        <v>#DIV/0!</v>
      </c>
      <c r="FB21" s="28">
        <f t="shared" si="321"/>
        <v>0.33117583603020495</v>
      </c>
    </row>
    <row r="22" spans="2:158" x14ac:dyDescent="0.35">
      <c r="B22" s="14" t="s">
        <v>69</v>
      </c>
      <c r="D22" s="23">
        <f t="shared" ref="D22:O25" si="322">D7/D$10</f>
        <v>3.9731838477710578E-2</v>
      </c>
      <c r="E22" s="26">
        <f t="shared" si="322"/>
        <v>0.4278592251623865</v>
      </c>
      <c r="F22" s="23">
        <f t="shared" si="322"/>
        <v>5.0622397430291838E-3</v>
      </c>
      <c r="G22" s="23">
        <f t="shared" si="322"/>
        <v>0</v>
      </c>
      <c r="H22" s="23">
        <f t="shared" si="322"/>
        <v>3.4995136214182418E-2</v>
      </c>
      <c r="I22" s="23">
        <f t="shared" si="322"/>
        <v>0.2</v>
      </c>
      <c r="J22" s="27" t="e">
        <f t="shared" si="322"/>
        <v>#DIV/0!</v>
      </c>
      <c r="K22" s="23">
        <f t="shared" si="322"/>
        <v>0</v>
      </c>
      <c r="L22" s="23">
        <f t="shared" si="322"/>
        <v>0</v>
      </c>
      <c r="M22" s="23" t="e">
        <f t="shared" si="322"/>
        <v>#DIV/0!</v>
      </c>
      <c r="N22" s="28">
        <f t="shared" si="322"/>
        <v>7.3017172995438792E-2</v>
      </c>
      <c r="O22" s="23" t="e">
        <f t="shared" si="322"/>
        <v>#DIV/0!</v>
      </c>
      <c r="P22" s="23">
        <f t="shared" si="313"/>
        <v>0</v>
      </c>
      <c r="Q22" s="26">
        <f t="shared" si="313"/>
        <v>0.37117903930131002</v>
      </c>
      <c r="R22" s="23">
        <f t="shared" si="313"/>
        <v>6.7270531807189207E-4</v>
      </c>
      <c r="S22" s="23">
        <f t="shared" si="313"/>
        <v>0</v>
      </c>
      <c r="T22" s="23">
        <f t="shared" si="313"/>
        <v>9.5238095238095233E-2</v>
      </c>
      <c r="U22" s="23" t="e">
        <f t="shared" si="313"/>
        <v>#DIV/0!</v>
      </c>
      <c r="V22" s="27" t="e">
        <f t="shared" si="313"/>
        <v>#DIV/0!</v>
      </c>
      <c r="W22" s="23" t="e">
        <f t="shared" si="313"/>
        <v>#DIV/0!</v>
      </c>
      <c r="X22" s="23" t="e">
        <f t="shared" si="313"/>
        <v>#DIV/0!</v>
      </c>
      <c r="Y22" s="23" t="e">
        <f t="shared" si="313"/>
        <v>#DIV/0!</v>
      </c>
      <c r="Z22" s="28">
        <f t="shared" si="313"/>
        <v>6.4004938871801184E-2</v>
      </c>
      <c r="AA22" s="23" t="e">
        <f t="shared" si="313"/>
        <v>#DIV/0!</v>
      </c>
      <c r="AB22" s="23">
        <f t="shared" si="313"/>
        <v>0</v>
      </c>
      <c r="AC22" s="26">
        <f t="shared" si="313"/>
        <v>0</v>
      </c>
      <c r="AD22" s="23">
        <f t="shared" si="313"/>
        <v>0</v>
      </c>
      <c r="AE22" s="23">
        <f t="shared" si="313"/>
        <v>0</v>
      </c>
      <c r="AF22" s="23">
        <f t="shared" si="313"/>
        <v>0</v>
      </c>
      <c r="AG22" s="23" t="e">
        <f t="shared" si="313"/>
        <v>#DIV/0!</v>
      </c>
      <c r="AH22" s="27" t="e">
        <f t="shared" si="313"/>
        <v>#DIV/0!</v>
      </c>
      <c r="AI22" s="23" t="e">
        <f t="shared" si="313"/>
        <v>#DIV/0!</v>
      </c>
      <c r="AJ22" s="23" t="e">
        <f t="shared" si="313"/>
        <v>#DIV/0!</v>
      </c>
      <c r="AK22" s="23" t="e">
        <f t="shared" si="313"/>
        <v>#DIV/0!</v>
      </c>
      <c r="AL22" s="28">
        <f t="shared" si="313"/>
        <v>0</v>
      </c>
      <c r="AM22" s="23" t="e">
        <f t="shared" si="313"/>
        <v>#DIV/0!</v>
      </c>
      <c r="AN22" s="23">
        <f t="shared" si="313"/>
        <v>0</v>
      </c>
      <c r="AO22" s="26">
        <f t="shared" si="313"/>
        <v>0</v>
      </c>
      <c r="AP22" s="23">
        <f t="shared" si="313"/>
        <v>0</v>
      </c>
      <c r="AQ22" s="23">
        <f t="shared" si="313"/>
        <v>0</v>
      </c>
      <c r="AR22" s="23">
        <f t="shared" si="313"/>
        <v>0</v>
      </c>
      <c r="AS22" s="23" t="e">
        <f t="shared" si="313"/>
        <v>#DIV/0!</v>
      </c>
      <c r="AT22" s="27" t="e">
        <f t="shared" si="313"/>
        <v>#DIV/0!</v>
      </c>
      <c r="AU22" s="23" t="e">
        <f t="shared" si="313"/>
        <v>#DIV/0!</v>
      </c>
      <c r="AV22" s="23" t="e">
        <f t="shared" si="313"/>
        <v>#DIV/0!</v>
      </c>
      <c r="AW22" s="23" t="e">
        <f t="shared" si="313"/>
        <v>#DIV/0!</v>
      </c>
      <c r="AX22" s="28">
        <f t="shared" si="313"/>
        <v>0</v>
      </c>
      <c r="AY22" s="23" t="e">
        <f t="shared" si="313"/>
        <v>#DIV/0!</v>
      </c>
      <c r="AZ22" s="23">
        <f t="shared" si="313"/>
        <v>0</v>
      </c>
      <c r="BA22" s="26">
        <f t="shared" si="313"/>
        <v>0</v>
      </c>
      <c r="BB22" s="23">
        <f t="shared" si="313"/>
        <v>0</v>
      </c>
      <c r="BC22" s="23">
        <f t="shared" si="313"/>
        <v>0</v>
      </c>
      <c r="BD22" s="23">
        <f t="shared" si="313"/>
        <v>0</v>
      </c>
      <c r="BE22" s="23" t="e">
        <f t="shared" si="313"/>
        <v>#DIV/0!</v>
      </c>
      <c r="BF22" s="27" t="e">
        <f t="shared" si="313"/>
        <v>#DIV/0!</v>
      </c>
      <c r="BG22" s="23" t="e">
        <f t="shared" si="313"/>
        <v>#DIV/0!</v>
      </c>
      <c r="BH22" s="23" t="e">
        <f t="shared" si="313"/>
        <v>#DIV/0!</v>
      </c>
      <c r="BI22" s="23" t="e">
        <f t="shared" si="313"/>
        <v>#DIV/0!</v>
      </c>
      <c r="BJ22" s="28">
        <f t="shared" si="313"/>
        <v>0</v>
      </c>
      <c r="BK22" s="23" t="e">
        <f t="shared" si="313"/>
        <v>#DIV/0!</v>
      </c>
      <c r="BL22" s="23">
        <f t="shared" si="313"/>
        <v>0</v>
      </c>
      <c r="BM22" s="26">
        <f t="shared" si="313"/>
        <v>0</v>
      </c>
      <c r="BN22" s="23">
        <f t="shared" si="313"/>
        <v>0</v>
      </c>
      <c r="BO22" s="23">
        <f t="shared" si="313"/>
        <v>0</v>
      </c>
      <c r="BP22" s="23">
        <f t="shared" si="313"/>
        <v>0</v>
      </c>
      <c r="BQ22" s="23" t="e">
        <f t="shared" si="314"/>
        <v>#DIV/0!</v>
      </c>
      <c r="BR22" s="27" t="e">
        <f t="shared" si="314"/>
        <v>#DIV/0!</v>
      </c>
      <c r="BS22" s="23" t="e">
        <f t="shared" si="314"/>
        <v>#DIV/0!</v>
      </c>
      <c r="BT22" s="23" t="e">
        <f t="shared" si="314"/>
        <v>#DIV/0!</v>
      </c>
      <c r="BU22" s="23" t="e">
        <f t="shared" si="314"/>
        <v>#DIV/0!</v>
      </c>
      <c r="BV22" s="28">
        <f t="shared" si="314"/>
        <v>0</v>
      </c>
      <c r="BX22" s="23">
        <f t="shared" si="315"/>
        <v>0</v>
      </c>
      <c r="BY22" s="26">
        <f t="shared" si="315"/>
        <v>0</v>
      </c>
      <c r="BZ22" s="23">
        <f t="shared" si="315"/>
        <v>0</v>
      </c>
      <c r="CA22" s="23">
        <f t="shared" si="315"/>
        <v>0</v>
      </c>
      <c r="CB22" s="23">
        <f t="shared" si="315"/>
        <v>0</v>
      </c>
      <c r="CC22" s="23" t="e">
        <f t="shared" si="315"/>
        <v>#DIV/0!</v>
      </c>
      <c r="CD22" s="27" t="e">
        <f t="shared" si="315"/>
        <v>#DIV/0!</v>
      </c>
      <c r="CE22" s="23" t="e">
        <f t="shared" si="315"/>
        <v>#DIV/0!</v>
      </c>
      <c r="CF22" s="23" t="e">
        <f t="shared" si="315"/>
        <v>#DIV/0!</v>
      </c>
      <c r="CG22" s="23" t="e">
        <f t="shared" si="315"/>
        <v>#DIV/0!</v>
      </c>
      <c r="CH22" s="28">
        <f t="shared" si="315"/>
        <v>0</v>
      </c>
      <c r="CJ22" s="23">
        <f t="shared" si="316"/>
        <v>0.25123152709359609</v>
      </c>
      <c r="CK22" s="26">
        <f t="shared" si="316"/>
        <v>0.75289575289575283</v>
      </c>
      <c r="CL22" s="23">
        <f t="shared" si="316"/>
        <v>0</v>
      </c>
      <c r="CM22" s="23">
        <f t="shared" si="316"/>
        <v>0</v>
      </c>
      <c r="CN22" s="23">
        <f t="shared" si="316"/>
        <v>4.4715447154471545E-2</v>
      </c>
      <c r="CO22" s="23" t="e">
        <f t="shared" si="316"/>
        <v>#DIV/0!</v>
      </c>
      <c r="CP22" s="27" t="e">
        <f t="shared" si="316"/>
        <v>#DIV/0!</v>
      </c>
      <c r="CQ22" s="23" t="e">
        <f t="shared" si="316"/>
        <v>#DIV/0!</v>
      </c>
      <c r="CR22" s="23" t="e">
        <f t="shared" si="316"/>
        <v>#DIV/0!</v>
      </c>
      <c r="CS22" s="23" t="e">
        <f t="shared" si="316"/>
        <v>#DIV/0!</v>
      </c>
      <c r="CT22" s="28">
        <f t="shared" si="316"/>
        <v>0.35820082770638206</v>
      </c>
      <c r="CV22" s="23">
        <f t="shared" si="317"/>
        <v>0.15572232645403375</v>
      </c>
      <c r="CW22" s="26">
        <f t="shared" si="317"/>
        <v>0.71536960763060919</v>
      </c>
      <c r="CX22" s="23">
        <f t="shared" si="317"/>
        <v>0</v>
      </c>
      <c r="CY22" s="23">
        <f t="shared" si="317"/>
        <v>0</v>
      </c>
      <c r="CZ22" s="23">
        <f t="shared" si="317"/>
        <v>7.6657723265618996E-2</v>
      </c>
      <c r="DA22" s="23" t="e">
        <f t="shared" si="317"/>
        <v>#DIV/0!</v>
      </c>
      <c r="DB22" s="27" t="e">
        <f t="shared" si="317"/>
        <v>#DIV/0!</v>
      </c>
      <c r="DC22" s="23" t="e">
        <f t="shared" si="317"/>
        <v>#DIV/0!</v>
      </c>
      <c r="DD22" s="23" t="e">
        <f t="shared" si="317"/>
        <v>#DIV/0!</v>
      </c>
      <c r="DE22" s="23" t="e">
        <f t="shared" si="317"/>
        <v>#DIV/0!</v>
      </c>
      <c r="DF22" s="28">
        <f t="shared" si="317"/>
        <v>0.10382340745913624</v>
      </c>
      <c r="DH22" s="23">
        <f t="shared" si="318"/>
        <v>0</v>
      </c>
      <c r="DI22" s="26">
        <f t="shared" si="318"/>
        <v>0.15460295151089248</v>
      </c>
      <c r="DJ22" s="23">
        <f t="shared" si="318"/>
        <v>4.2955292912142369E-3</v>
      </c>
      <c r="DK22" s="23">
        <f t="shared" si="318"/>
        <v>0</v>
      </c>
      <c r="DL22" s="23">
        <f t="shared" si="318"/>
        <v>5.0577460844267397E-2</v>
      </c>
      <c r="DM22" s="23" t="e">
        <f t="shared" si="318"/>
        <v>#DIV/0!</v>
      </c>
      <c r="DN22" s="27" t="e">
        <f t="shared" si="318"/>
        <v>#DIV/0!</v>
      </c>
      <c r="DO22" s="23" t="e">
        <f t="shared" si="318"/>
        <v>#DIV/0!</v>
      </c>
      <c r="DP22" s="23" t="e">
        <f t="shared" si="318"/>
        <v>#DIV/0!</v>
      </c>
      <c r="DQ22" s="23" t="e">
        <f t="shared" si="318"/>
        <v>#DIV/0!</v>
      </c>
      <c r="DR22" s="28">
        <f t="shared" si="318"/>
        <v>1.9445694313018309E-2</v>
      </c>
      <c r="DT22" s="23">
        <f t="shared" si="319"/>
        <v>2.2785339730001113E-2</v>
      </c>
      <c r="DU22" s="26">
        <f t="shared" si="319"/>
        <v>0.79156908665105385</v>
      </c>
      <c r="DV22" s="23">
        <f t="shared" si="319"/>
        <v>8.5782689053349043E-3</v>
      </c>
      <c r="DW22" s="23">
        <f t="shared" si="319"/>
        <v>0</v>
      </c>
      <c r="DX22" s="23">
        <f t="shared" si="319"/>
        <v>1.6490963181342109E-2</v>
      </c>
      <c r="DY22" s="23" t="e">
        <f t="shared" si="319"/>
        <v>#DIV/0!</v>
      </c>
      <c r="DZ22" s="27" t="e">
        <f t="shared" si="319"/>
        <v>#DIV/0!</v>
      </c>
      <c r="EA22" s="23" t="e">
        <f t="shared" si="319"/>
        <v>#DIV/0!</v>
      </c>
      <c r="EB22" s="23" t="e">
        <f t="shared" si="319"/>
        <v>#DIV/0!</v>
      </c>
      <c r="EC22" s="23" t="e">
        <f t="shared" si="319"/>
        <v>#DIV/0!</v>
      </c>
      <c r="ED22" s="28">
        <f t="shared" si="319"/>
        <v>0.12287487474977851</v>
      </c>
      <c r="EF22" s="23">
        <f t="shared" si="320"/>
        <v>1.4510278113663847E-2</v>
      </c>
      <c r="EG22" s="26">
        <f t="shared" si="320"/>
        <v>0.82567607862926351</v>
      </c>
      <c r="EH22" s="23">
        <f t="shared" si="320"/>
        <v>5.1013277428371771E-2</v>
      </c>
      <c r="EI22" s="23">
        <f t="shared" si="320"/>
        <v>0</v>
      </c>
      <c r="EJ22" s="23">
        <f t="shared" si="320"/>
        <v>0.18313946948050486</v>
      </c>
      <c r="EK22" s="23" t="e">
        <f t="shared" si="320"/>
        <v>#DIV/0!</v>
      </c>
      <c r="EL22" s="27" t="e">
        <f t="shared" si="320"/>
        <v>#DIV/0!</v>
      </c>
      <c r="EM22" s="23" t="e">
        <f t="shared" si="320"/>
        <v>#DIV/0!</v>
      </c>
      <c r="EN22" s="23" t="e">
        <f t="shared" si="320"/>
        <v>#DIV/0!</v>
      </c>
      <c r="EO22" s="23" t="e">
        <f t="shared" si="320"/>
        <v>#DIV/0!</v>
      </c>
      <c r="EP22" s="28">
        <f t="shared" si="320"/>
        <v>0.31847602795822844</v>
      </c>
      <c r="ER22" s="23">
        <f t="shared" si="321"/>
        <v>0</v>
      </c>
      <c r="ES22" s="26">
        <f t="shared" si="321"/>
        <v>0.56481481481481477</v>
      </c>
      <c r="ET22" s="23">
        <f t="shared" si="321"/>
        <v>1.0664993726474279E-2</v>
      </c>
      <c r="EU22" s="23">
        <f t="shared" si="321"/>
        <v>0</v>
      </c>
      <c r="EV22" s="23">
        <f t="shared" si="321"/>
        <v>0</v>
      </c>
      <c r="EW22" s="23">
        <f t="shared" si="321"/>
        <v>0.2</v>
      </c>
      <c r="EX22" s="27" t="e">
        <f t="shared" si="321"/>
        <v>#DIV/0!</v>
      </c>
      <c r="EY22" s="23">
        <f t="shared" si="321"/>
        <v>0</v>
      </c>
      <c r="EZ22" s="23">
        <f t="shared" si="321"/>
        <v>0</v>
      </c>
      <c r="FA22" s="23" t="e">
        <f t="shared" si="321"/>
        <v>#DIV/0!</v>
      </c>
      <c r="FB22" s="28">
        <f t="shared" si="321"/>
        <v>5.1060769507371449E-2</v>
      </c>
    </row>
    <row r="23" spans="2:158" x14ac:dyDescent="0.35">
      <c r="B23" s="14" t="s">
        <v>70</v>
      </c>
      <c r="D23" s="23">
        <f t="shared" si="322"/>
        <v>5.6263384931403847E-4</v>
      </c>
      <c r="E23" s="23">
        <f t="shared" si="322"/>
        <v>0.51081799757178015</v>
      </c>
      <c r="F23" s="26">
        <f t="shared" si="322"/>
        <v>0.99437170981297751</v>
      </c>
      <c r="G23" s="23">
        <f t="shared" si="322"/>
        <v>0.97836878812774208</v>
      </c>
      <c r="H23" s="23">
        <f t="shared" si="322"/>
        <v>0.68419996641000758</v>
      </c>
      <c r="I23" s="23">
        <f t="shared" si="322"/>
        <v>0</v>
      </c>
      <c r="J23" s="23" t="e">
        <f t="shared" si="322"/>
        <v>#DIV/0!</v>
      </c>
      <c r="K23" s="27">
        <f t="shared" si="322"/>
        <v>1</v>
      </c>
      <c r="L23" s="23">
        <f t="shared" si="322"/>
        <v>0.5</v>
      </c>
      <c r="M23" s="23" t="e">
        <f t="shared" si="322"/>
        <v>#DIV/0!</v>
      </c>
      <c r="N23" s="28">
        <f t="shared" si="322"/>
        <v>0.7510727528835216</v>
      </c>
      <c r="O23" s="23" t="e">
        <f t="shared" si="322"/>
        <v>#DIV/0!</v>
      </c>
      <c r="P23" s="23">
        <f t="shared" si="313"/>
        <v>4.7373362388995598E-3</v>
      </c>
      <c r="Q23" s="23">
        <f t="shared" si="313"/>
        <v>0.61280931586608445</v>
      </c>
      <c r="R23" s="26">
        <f t="shared" si="313"/>
        <v>0.99866651459449474</v>
      </c>
      <c r="S23" s="23">
        <f t="shared" si="313"/>
        <v>0.96761734297355217</v>
      </c>
      <c r="T23" s="23">
        <f t="shared" si="313"/>
        <v>0.90476190476190477</v>
      </c>
      <c r="U23" s="23" t="e">
        <f t="shared" si="313"/>
        <v>#DIV/0!</v>
      </c>
      <c r="V23" s="23" t="e">
        <f t="shared" si="313"/>
        <v>#DIV/0!</v>
      </c>
      <c r="W23" s="27" t="e">
        <f t="shared" si="313"/>
        <v>#DIV/0!</v>
      </c>
      <c r="X23" s="23" t="e">
        <f t="shared" si="313"/>
        <v>#DIV/0!</v>
      </c>
      <c r="Y23" s="23" t="e">
        <f t="shared" si="313"/>
        <v>#DIV/0!</v>
      </c>
      <c r="Z23" s="28">
        <f t="shared" si="313"/>
        <v>0.87963769025967931</v>
      </c>
      <c r="AA23" s="23" t="e">
        <f t="shared" si="313"/>
        <v>#DIV/0!</v>
      </c>
      <c r="AB23" s="23">
        <f t="shared" si="313"/>
        <v>0</v>
      </c>
      <c r="AC23" s="23">
        <f t="shared" si="313"/>
        <v>0.80874316939890711</v>
      </c>
      <c r="AD23" s="26">
        <f t="shared" si="313"/>
        <v>0.99909850918004495</v>
      </c>
      <c r="AE23" s="23">
        <f t="shared" si="313"/>
        <v>0.95804195804195802</v>
      </c>
      <c r="AF23" s="23">
        <f t="shared" si="313"/>
        <v>0.71170226706853623</v>
      </c>
      <c r="AG23" s="23" t="e">
        <f t="shared" si="313"/>
        <v>#DIV/0!</v>
      </c>
      <c r="AH23" s="23" t="e">
        <f t="shared" si="313"/>
        <v>#DIV/0!</v>
      </c>
      <c r="AI23" s="27" t="e">
        <f t="shared" si="313"/>
        <v>#DIV/0!</v>
      </c>
      <c r="AJ23" s="23" t="e">
        <f t="shared" si="313"/>
        <v>#DIV/0!</v>
      </c>
      <c r="AK23" s="23" t="e">
        <f t="shared" si="313"/>
        <v>#DIV/0!</v>
      </c>
      <c r="AL23" s="28">
        <f t="shared" si="313"/>
        <v>0.90729008781565224</v>
      </c>
      <c r="AM23" s="23" t="e">
        <f t="shared" si="313"/>
        <v>#DIV/0!</v>
      </c>
      <c r="AN23" s="23">
        <f t="shared" si="313"/>
        <v>0</v>
      </c>
      <c r="AO23" s="23">
        <f t="shared" si="313"/>
        <v>0.97755610972568574</v>
      </c>
      <c r="AP23" s="26">
        <f t="shared" si="313"/>
        <v>0.99967104564720122</v>
      </c>
      <c r="AQ23" s="23">
        <f t="shared" si="313"/>
        <v>1</v>
      </c>
      <c r="AR23" s="23">
        <f t="shared" si="313"/>
        <v>0.875</v>
      </c>
      <c r="AS23" s="23" t="e">
        <f t="shared" si="313"/>
        <v>#DIV/0!</v>
      </c>
      <c r="AT23" s="23" t="e">
        <f t="shared" si="313"/>
        <v>#DIV/0!</v>
      </c>
      <c r="AU23" s="27" t="e">
        <f t="shared" si="313"/>
        <v>#DIV/0!</v>
      </c>
      <c r="AV23" s="23" t="e">
        <f t="shared" si="313"/>
        <v>#DIV/0!</v>
      </c>
      <c r="AW23" s="23" t="e">
        <f t="shared" si="313"/>
        <v>#DIV/0!</v>
      </c>
      <c r="AX23" s="28">
        <f t="shared" si="313"/>
        <v>0.98941779921109441</v>
      </c>
      <c r="AY23" s="23" t="e">
        <f t="shared" si="313"/>
        <v>#DIV/0!</v>
      </c>
      <c r="AZ23" s="23">
        <f t="shared" si="313"/>
        <v>8.6206896551724137E-3</v>
      </c>
      <c r="BA23" s="23">
        <f t="shared" si="313"/>
        <v>0.96803666236337749</v>
      </c>
      <c r="BB23" s="26">
        <f t="shared" si="313"/>
        <v>1</v>
      </c>
      <c r="BC23" s="23">
        <f t="shared" si="313"/>
        <v>1</v>
      </c>
      <c r="BD23" s="23">
        <f t="shared" si="313"/>
        <v>1</v>
      </c>
      <c r="BE23" s="23" t="e">
        <f t="shared" si="313"/>
        <v>#DIV/0!</v>
      </c>
      <c r="BF23" s="23" t="e">
        <f t="shared" si="313"/>
        <v>#DIV/0!</v>
      </c>
      <c r="BG23" s="27" t="e">
        <f t="shared" si="313"/>
        <v>#DIV/0!</v>
      </c>
      <c r="BH23" s="23" t="e">
        <f t="shared" si="313"/>
        <v>#DIV/0!</v>
      </c>
      <c r="BI23" s="23" t="e">
        <f t="shared" si="313"/>
        <v>#DIV/0!</v>
      </c>
      <c r="BJ23" s="28">
        <f t="shared" si="313"/>
        <v>0.90909097067404776</v>
      </c>
      <c r="BK23" s="23" t="e">
        <f t="shared" si="313"/>
        <v>#DIV/0!</v>
      </c>
      <c r="BL23" s="23">
        <f t="shared" si="313"/>
        <v>0</v>
      </c>
      <c r="BM23" s="23">
        <f t="shared" si="313"/>
        <v>0.90972222222222221</v>
      </c>
      <c r="BN23" s="26">
        <f t="shared" si="313"/>
        <v>1</v>
      </c>
      <c r="BO23" s="23">
        <f t="shared" si="313"/>
        <v>0.98190045248868774</v>
      </c>
      <c r="BP23" s="23">
        <f t="shared" si="313"/>
        <v>0.98039215686274506</v>
      </c>
      <c r="BQ23" s="23" t="e">
        <f t="shared" si="314"/>
        <v>#DIV/0!</v>
      </c>
      <c r="BR23" s="23" t="e">
        <f t="shared" si="314"/>
        <v>#DIV/0!</v>
      </c>
      <c r="BS23" s="27" t="e">
        <f t="shared" si="314"/>
        <v>#DIV/0!</v>
      </c>
      <c r="BT23" s="23" t="e">
        <f t="shared" si="314"/>
        <v>#DIV/0!</v>
      </c>
      <c r="BU23" s="23" t="e">
        <f t="shared" si="314"/>
        <v>#DIV/0!</v>
      </c>
      <c r="BV23" s="28">
        <f t="shared" si="314"/>
        <v>0.9433349975037445</v>
      </c>
      <c r="BX23" s="23">
        <f t="shared" si="315"/>
        <v>0</v>
      </c>
      <c r="BY23" s="23">
        <f t="shared" si="315"/>
        <v>0.9550561797752809</v>
      </c>
      <c r="BZ23" s="26">
        <f t="shared" si="315"/>
        <v>1</v>
      </c>
      <c r="CA23" s="23">
        <f t="shared" si="315"/>
        <v>1</v>
      </c>
      <c r="CB23" s="23">
        <f t="shared" si="315"/>
        <v>0.99710297603371079</v>
      </c>
      <c r="CC23" s="23" t="e">
        <f t="shared" si="315"/>
        <v>#DIV/0!</v>
      </c>
      <c r="CD23" s="23" t="e">
        <f t="shared" si="315"/>
        <v>#DIV/0!</v>
      </c>
      <c r="CE23" s="27" t="e">
        <f t="shared" si="315"/>
        <v>#DIV/0!</v>
      </c>
      <c r="CF23" s="23" t="e">
        <f t="shared" si="315"/>
        <v>#DIV/0!</v>
      </c>
      <c r="CG23" s="23" t="e">
        <f t="shared" si="315"/>
        <v>#DIV/0!</v>
      </c>
      <c r="CH23" s="28">
        <f t="shared" si="315"/>
        <v>0.94323068983313263</v>
      </c>
      <c r="CJ23" s="23">
        <f t="shared" si="316"/>
        <v>0</v>
      </c>
      <c r="CK23" s="23">
        <f t="shared" si="316"/>
        <v>0</v>
      </c>
      <c r="CL23" s="26">
        <f t="shared" si="316"/>
        <v>0.94262295081967218</v>
      </c>
      <c r="CM23" s="23">
        <f t="shared" si="316"/>
        <v>1</v>
      </c>
      <c r="CN23" s="23">
        <f t="shared" si="316"/>
        <v>0.86585365853658536</v>
      </c>
      <c r="CO23" s="23" t="e">
        <f t="shared" si="316"/>
        <v>#DIV/0!</v>
      </c>
      <c r="CP23" s="23" t="e">
        <f t="shared" si="316"/>
        <v>#DIV/0!</v>
      </c>
      <c r="CQ23" s="27" t="e">
        <f t="shared" si="316"/>
        <v>#DIV/0!</v>
      </c>
      <c r="CR23" s="23" t="e">
        <f t="shared" si="316"/>
        <v>#DIV/0!</v>
      </c>
      <c r="CS23" s="23" t="e">
        <f t="shared" si="316"/>
        <v>#DIV/0!</v>
      </c>
      <c r="CT23" s="28">
        <f t="shared" si="316"/>
        <v>0.1877586582443912</v>
      </c>
      <c r="CV23" s="23">
        <f t="shared" si="317"/>
        <v>0</v>
      </c>
      <c r="CW23" s="23">
        <f t="shared" si="317"/>
        <v>0.17202161593013532</v>
      </c>
      <c r="CX23" s="26">
        <f t="shared" si="317"/>
        <v>1</v>
      </c>
      <c r="CY23" s="23">
        <f t="shared" si="317"/>
        <v>1</v>
      </c>
      <c r="CZ23" s="23">
        <f t="shared" si="317"/>
        <v>0.70615700895501587</v>
      </c>
      <c r="DA23" s="23" t="e">
        <f t="shared" si="317"/>
        <v>#DIV/0!</v>
      </c>
      <c r="DB23" s="23" t="e">
        <f t="shared" si="317"/>
        <v>#DIV/0!</v>
      </c>
      <c r="DC23" s="27" t="e">
        <f t="shared" si="317"/>
        <v>#DIV/0!</v>
      </c>
      <c r="DD23" s="23" t="e">
        <f t="shared" si="317"/>
        <v>#DIV/0!</v>
      </c>
      <c r="DE23" s="23" t="e">
        <f t="shared" si="317"/>
        <v>#DIV/0!</v>
      </c>
      <c r="DF23" s="28">
        <f t="shared" si="317"/>
        <v>0.60797852606769531</v>
      </c>
      <c r="DH23" s="23">
        <f t="shared" si="318"/>
        <v>9.0826521344232502E-4</v>
      </c>
      <c r="DI23" s="23">
        <f t="shared" si="318"/>
        <v>0.5014149778731648</v>
      </c>
      <c r="DJ23" s="26">
        <f t="shared" si="318"/>
        <v>0.99570447070878576</v>
      </c>
      <c r="DK23" s="23">
        <f t="shared" si="318"/>
        <v>1</v>
      </c>
      <c r="DL23" s="23">
        <f t="shared" si="318"/>
        <v>0.36462796306591372</v>
      </c>
      <c r="DM23" s="23" t="e">
        <f t="shared" si="318"/>
        <v>#DIV/0!</v>
      </c>
      <c r="DN23" s="23" t="e">
        <f t="shared" si="318"/>
        <v>#DIV/0!</v>
      </c>
      <c r="DO23" s="27" t="e">
        <f t="shared" si="318"/>
        <v>#DIV/0!</v>
      </c>
      <c r="DP23" s="23" t="e">
        <f t="shared" si="318"/>
        <v>#DIV/0!</v>
      </c>
      <c r="DQ23" s="23" t="e">
        <f t="shared" si="318"/>
        <v>#DIV/0!</v>
      </c>
      <c r="DR23" s="28">
        <f t="shared" si="318"/>
        <v>0.50009572751745857</v>
      </c>
      <c r="DT23" s="23">
        <f t="shared" si="319"/>
        <v>0</v>
      </c>
      <c r="DU23" s="23">
        <f t="shared" si="319"/>
        <v>0.17330210772833723</v>
      </c>
      <c r="DV23" s="26">
        <f t="shared" si="319"/>
        <v>0.99142173109466514</v>
      </c>
      <c r="DW23" s="23">
        <f t="shared" si="319"/>
        <v>0.97959183673469385</v>
      </c>
      <c r="DX23" s="23">
        <f t="shared" si="319"/>
        <v>0.69597796669342249</v>
      </c>
      <c r="DY23" s="23" t="e">
        <f t="shared" si="319"/>
        <v>#DIV/0!</v>
      </c>
      <c r="DZ23" s="23" t="e">
        <f t="shared" si="319"/>
        <v>#DIV/0!</v>
      </c>
      <c r="EA23" s="27" t="e">
        <f t="shared" si="319"/>
        <v>#DIV/0!</v>
      </c>
      <c r="EB23" s="23" t="e">
        <f t="shared" si="319"/>
        <v>#DIV/0!</v>
      </c>
      <c r="EC23" s="23" t="e">
        <f t="shared" si="319"/>
        <v>#DIV/0!</v>
      </c>
      <c r="ED23" s="28">
        <f t="shared" si="319"/>
        <v>0.59171395862112064</v>
      </c>
      <c r="EF23" s="23">
        <f t="shared" si="320"/>
        <v>0</v>
      </c>
      <c r="EG23" s="23">
        <f t="shared" si="320"/>
        <v>0.16973644975571711</v>
      </c>
      <c r="EH23" s="26">
        <f t="shared" si="320"/>
        <v>0.94898672257162819</v>
      </c>
      <c r="EI23" s="23">
        <f t="shared" si="320"/>
        <v>0.83333333333333337</v>
      </c>
      <c r="EJ23" s="23">
        <f t="shared" si="320"/>
        <v>8.9252367988840647E-2</v>
      </c>
      <c r="EK23" s="23" t="e">
        <f t="shared" si="320"/>
        <v>#DIV/0!</v>
      </c>
      <c r="EL23" s="23" t="e">
        <f t="shared" si="320"/>
        <v>#DIV/0!</v>
      </c>
      <c r="EM23" s="27" t="e">
        <f t="shared" si="320"/>
        <v>#DIV/0!</v>
      </c>
      <c r="EN23" s="23" t="e">
        <f t="shared" si="320"/>
        <v>#DIV/0!</v>
      </c>
      <c r="EO23" s="23" t="e">
        <f t="shared" si="320"/>
        <v>#DIV/0!</v>
      </c>
      <c r="EP23" s="28">
        <f t="shared" si="320"/>
        <v>0.42476325693704386</v>
      </c>
      <c r="ER23" s="23">
        <f t="shared" si="321"/>
        <v>0</v>
      </c>
      <c r="ES23" s="23">
        <f t="shared" si="321"/>
        <v>0.43055555555555564</v>
      </c>
      <c r="ET23" s="26">
        <f t="shared" si="321"/>
        <v>0.98933500627352577</v>
      </c>
      <c r="EU23" s="23">
        <f t="shared" si="321"/>
        <v>0.66666666666666663</v>
      </c>
      <c r="EV23" s="23">
        <f t="shared" si="321"/>
        <v>0.22222222222222221</v>
      </c>
      <c r="EW23" s="23">
        <f t="shared" si="321"/>
        <v>0</v>
      </c>
      <c r="EX23" s="23" t="e">
        <f t="shared" si="321"/>
        <v>#DIV/0!</v>
      </c>
      <c r="EY23" s="27">
        <f t="shared" si="321"/>
        <v>1</v>
      </c>
      <c r="EZ23" s="23">
        <f t="shared" si="321"/>
        <v>0.5</v>
      </c>
      <c r="FA23" s="23" t="e">
        <f t="shared" si="321"/>
        <v>#DIV/0!</v>
      </c>
      <c r="FB23" s="28">
        <f t="shared" si="321"/>
        <v>0.61093131966918379</v>
      </c>
    </row>
    <row r="24" spans="2:158" x14ac:dyDescent="0.35">
      <c r="B24" s="14" t="s">
        <v>71</v>
      </c>
      <c r="D24" s="23">
        <f t="shared" si="322"/>
        <v>0</v>
      </c>
      <c r="E24" s="23">
        <f t="shared" si="322"/>
        <v>0</v>
      </c>
      <c r="F24" s="23">
        <f t="shared" si="322"/>
        <v>0</v>
      </c>
      <c r="G24" s="23">
        <f t="shared" si="322"/>
        <v>2.403467985806429E-3</v>
      </c>
      <c r="H24" s="26">
        <f>H9/H$10</f>
        <v>0.10018384321363799</v>
      </c>
      <c r="I24" s="23">
        <f t="shared" si="322"/>
        <v>0</v>
      </c>
      <c r="J24" s="23" t="e">
        <f t="shared" si="322"/>
        <v>#DIV/0!</v>
      </c>
      <c r="K24" s="23">
        <f t="shared" si="322"/>
        <v>0</v>
      </c>
      <c r="L24" s="27">
        <f t="shared" si="322"/>
        <v>0</v>
      </c>
      <c r="M24" s="23" t="e">
        <f t="shared" si="322"/>
        <v>#DIV/0!</v>
      </c>
      <c r="N24" s="28">
        <f t="shared" si="322"/>
        <v>5.9502917558774014E-3</v>
      </c>
      <c r="O24" s="23" t="e">
        <f t="shared" si="322"/>
        <v>#DIV/0!</v>
      </c>
      <c r="P24" s="23">
        <f t="shared" si="313"/>
        <v>0</v>
      </c>
      <c r="Q24" s="23">
        <f t="shared" si="313"/>
        <v>0</v>
      </c>
      <c r="R24" s="23">
        <f t="shared" si="313"/>
        <v>0</v>
      </c>
      <c r="S24" s="23">
        <f t="shared" si="313"/>
        <v>0</v>
      </c>
      <c r="T24" s="26">
        <f t="shared" si="313"/>
        <v>0</v>
      </c>
      <c r="U24" s="23" t="e">
        <f t="shared" si="313"/>
        <v>#DIV/0!</v>
      </c>
      <c r="V24" s="23" t="e">
        <f t="shared" si="313"/>
        <v>#DIV/0!</v>
      </c>
      <c r="W24" s="23" t="e">
        <f t="shared" si="313"/>
        <v>#DIV/0!</v>
      </c>
      <c r="X24" s="27" t="e">
        <f t="shared" si="313"/>
        <v>#DIV/0!</v>
      </c>
      <c r="Y24" s="23" t="e">
        <f t="shared" si="313"/>
        <v>#DIV/0!</v>
      </c>
      <c r="Z24" s="28">
        <f t="shared" si="313"/>
        <v>0</v>
      </c>
      <c r="AA24" s="23" t="e">
        <f t="shared" si="313"/>
        <v>#DIV/0!</v>
      </c>
      <c r="AB24" s="23">
        <f t="shared" si="313"/>
        <v>0</v>
      </c>
      <c r="AC24" s="23">
        <f t="shared" si="313"/>
        <v>0</v>
      </c>
      <c r="AD24" s="23">
        <f t="shared" si="313"/>
        <v>0</v>
      </c>
      <c r="AE24" s="23">
        <f t="shared" si="313"/>
        <v>0</v>
      </c>
      <c r="AF24" s="26">
        <f t="shared" si="313"/>
        <v>0</v>
      </c>
      <c r="AG24" s="23" t="e">
        <f t="shared" si="313"/>
        <v>#DIV/0!</v>
      </c>
      <c r="AH24" s="23" t="e">
        <f t="shared" si="313"/>
        <v>#DIV/0!</v>
      </c>
      <c r="AI24" s="23" t="e">
        <f t="shared" si="313"/>
        <v>#DIV/0!</v>
      </c>
      <c r="AJ24" s="27" t="e">
        <f t="shared" si="313"/>
        <v>#DIV/0!</v>
      </c>
      <c r="AK24" s="23" t="e">
        <f t="shared" si="313"/>
        <v>#DIV/0!</v>
      </c>
      <c r="AL24" s="28">
        <f t="shared" si="313"/>
        <v>0</v>
      </c>
      <c r="AM24" s="23" t="e">
        <f t="shared" si="313"/>
        <v>#DIV/0!</v>
      </c>
      <c r="AN24" s="23">
        <f t="shared" si="313"/>
        <v>0</v>
      </c>
      <c r="AO24" s="23">
        <f t="shared" si="313"/>
        <v>0</v>
      </c>
      <c r="AP24" s="23">
        <f t="shared" si="313"/>
        <v>0</v>
      </c>
      <c r="AQ24" s="23">
        <f t="shared" si="313"/>
        <v>0</v>
      </c>
      <c r="AR24" s="26">
        <f t="shared" si="313"/>
        <v>0</v>
      </c>
      <c r="AS24" s="23" t="e">
        <f t="shared" si="313"/>
        <v>#DIV/0!</v>
      </c>
      <c r="AT24" s="23" t="e">
        <f t="shared" si="313"/>
        <v>#DIV/0!</v>
      </c>
      <c r="AU24" s="23" t="e">
        <f t="shared" si="313"/>
        <v>#DIV/0!</v>
      </c>
      <c r="AV24" s="27" t="e">
        <f t="shared" si="313"/>
        <v>#DIV/0!</v>
      </c>
      <c r="AW24" s="23" t="e">
        <f t="shared" si="313"/>
        <v>#DIV/0!</v>
      </c>
      <c r="AX24" s="28">
        <f t="shared" si="313"/>
        <v>0</v>
      </c>
      <c r="AY24" s="23" t="e">
        <f t="shared" si="313"/>
        <v>#DIV/0!</v>
      </c>
      <c r="AZ24" s="23">
        <f t="shared" si="313"/>
        <v>0</v>
      </c>
      <c r="BA24" s="23">
        <f t="shared" si="313"/>
        <v>0</v>
      </c>
      <c r="BB24" s="23">
        <f t="shared" si="313"/>
        <v>0</v>
      </c>
      <c r="BC24" s="23">
        <f t="shared" si="313"/>
        <v>0</v>
      </c>
      <c r="BD24" s="26">
        <f t="shared" si="313"/>
        <v>0</v>
      </c>
      <c r="BE24" s="23" t="e">
        <f t="shared" si="313"/>
        <v>#DIV/0!</v>
      </c>
      <c r="BF24" s="23" t="e">
        <f t="shared" si="313"/>
        <v>#DIV/0!</v>
      </c>
      <c r="BG24" s="23" t="e">
        <f t="shared" si="313"/>
        <v>#DIV/0!</v>
      </c>
      <c r="BH24" s="27" t="e">
        <f t="shared" si="313"/>
        <v>#DIV/0!</v>
      </c>
      <c r="BI24" s="23" t="e">
        <f t="shared" si="313"/>
        <v>#DIV/0!</v>
      </c>
      <c r="BJ24" s="28">
        <f t="shared" si="313"/>
        <v>0</v>
      </c>
      <c r="BK24" s="23" t="e">
        <f t="shared" si="313"/>
        <v>#DIV/0!</v>
      </c>
      <c r="BL24" s="23">
        <f t="shared" si="313"/>
        <v>0</v>
      </c>
      <c r="BM24" s="23">
        <f t="shared" si="313"/>
        <v>0</v>
      </c>
      <c r="BN24" s="23">
        <f t="shared" si="313"/>
        <v>0</v>
      </c>
      <c r="BO24" s="23">
        <f t="shared" si="313"/>
        <v>0</v>
      </c>
      <c r="BP24" s="26">
        <f t="shared" si="313"/>
        <v>0</v>
      </c>
      <c r="BQ24" s="23" t="e">
        <f t="shared" si="314"/>
        <v>#DIV/0!</v>
      </c>
      <c r="BR24" s="23" t="e">
        <f t="shared" si="314"/>
        <v>#DIV/0!</v>
      </c>
      <c r="BS24" s="23" t="e">
        <f t="shared" si="314"/>
        <v>#DIV/0!</v>
      </c>
      <c r="BT24" s="27" t="e">
        <f t="shared" si="314"/>
        <v>#DIV/0!</v>
      </c>
      <c r="BU24" s="23" t="e">
        <f t="shared" si="314"/>
        <v>#DIV/0!</v>
      </c>
      <c r="BV24" s="28">
        <f t="shared" si="314"/>
        <v>0</v>
      </c>
      <c r="BX24" s="23">
        <f t="shared" si="315"/>
        <v>0</v>
      </c>
      <c r="BY24" s="23">
        <f t="shared" si="315"/>
        <v>0</v>
      </c>
      <c r="BZ24" s="23">
        <f t="shared" si="315"/>
        <v>0</v>
      </c>
      <c r="CA24" s="23">
        <f t="shared" si="315"/>
        <v>0</v>
      </c>
      <c r="CB24" s="26">
        <f t="shared" si="315"/>
        <v>0</v>
      </c>
      <c r="CC24" s="23" t="e">
        <f t="shared" si="315"/>
        <v>#DIV/0!</v>
      </c>
      <c r="CD24" s="23" t="e">
        <f t="shared" si="315"/>
        <v>#DIV/0!</v>
      </c>
      <c r="CE24" s="23" t="e">
        <f t="shared" si="315"/>
        <v>#DIV/0!</v>
      </c>
      <c r="CF24" s="27" t="e">
        <f t="shared" si="315"/>
        <v>#DIV/0!</v>
      </c>
      <c r="CG24" s="23" t="e">
        <f t="shared" si="315"/>
        <v>#DIV/0!</v>
      </c>
      <c r="CH24" s="28">
        <f t="shared" si="315"/>
        <v>0</v>
      </c>
      <c r="CJ24" s="23">
        <f t="shared" si="316"/>
        <v>0</v>
      </c>
      <c r="CK24" s="23">
        <f t="shared" si="316"/>
        <v>0</v>
      </c>
      <c r="CL24" s="23">
        <f t="shared" si="316"/>
        <v>0</v>
      </c>
      <c r="CM24" s="23">
        <f t="shared" si="316"/>
        <v>0</v>
      </c>
      <c r="CN24" s="26">
        <f t="shared" si="316"/>
        <v>0</v>
      </c>
      <c r="CO24" s="23" t="e">
        <f t="shared" si="316"/>
        <v>#DIV/0!</v>
      </c>
      <c r="CP24" s="23" t="e">
        <f t="shared" si="316"/>
        <v>#DIV/0!</v>
      </c>
      <c r="CQ24" s="23" t="e">
        <f t="shared" si="316"/>
        <v>#DIV/0!</v>
      </c>
      <c r="CR24" s="27" t="e">
        <f t="shared" si="316"/>
        <v>#DIV/0!</v>
      </c>
      <c r="CS24" s="23" t="e">
        <f t="shared" si="316"/>
        <v>#DIV/0!</v>
      </c>
      <c r="CT24" s="28">
        <f t="shared" si="316"/>
        <v>0</v>
      </c>
      <c r="CV24" s="23">
        <f t="shared" si="317"/>
        <v>0</v>
      </c>
      <c r="CW24" s="23">
        <f t="shared" si="317"/>
        <v>0</v>
      </c>
      <c r="CX24" s="23">
        <f t="shared" si="317"/>
        <v>0</v>
      </c>
      <c r="CY24" s="23">
        <f t="shared" si="317"/>
        <v>0</v>
      </c>
      <c r="CZ24" s="26">
        <f t="shared" si="317"/>
        <v>0</v>
      </c>
      <c r="DA24" s="23" t="e">
        <f t="shared" si="317"/>
        <v>#DIV/0!</v>
      </c>
      <c r="DB24" s="23" t="e">
        <f t="shared" si="317"/>
        <v>#DIV/0!</v>
      </c>
      <c r="DC24" s="23" t="e">
        <f t="shared" si="317"/>
        <v>#DIV/0!</v>
      </c>
      <c r="DD24" s="27" t="e">
        <f t="shared" si="317"/>
        <v>#DIV/0!</v>
      </c>
      <c r="DE24" s="23" t="e">
        <f t="shared" si="317"/>
        <v>#DIV/0!</v>
      </c>
      <c r="DF24" s="28">
        <f t="shared" si="317"/>
        <v>0</v>
      </c>
      <c r="DH24" s="23">
        <f t="shared" si="318"/>
        <v>0</v>
      </c>
      <c r="DI24" s="23">
        <f t="shared" si="318"/>
        <v>0</v>
      </c>
      <c r="DJ24" s="23">
        <f t="shared" si="318"/>
        <v>0</v>
      </c>
      <c r="DK24" s="23">
        <f t="shared" si="318"/>
        <v>0</v>
      </c>
      <c r="DL24" s="26">
        <f t="shared" si="318"/>
        <v>0</v>
      </c>
      <c r="DM24" s="23" t="e">
        <f t="shared" si="318"/>
        <v>#DIV/0!</v>
      </c>
      <c r="DN24" s="23" t="e">
        <f t="shared" si="318"/>
        <v>#DIV/0!</v>
      </c>
      <c r="DO24" s="23" t="e">
        <f t="shared" si="318"/>
        <v>#DIV/0!</v>
      </c>
      <c r="DP24" s="27" t="e">
        <f t="shared" si="318"/>
        <v>#DIV/0!</v>
      </c>
      <c r="DQ24" s="23" t="e">
        <f t="shared" si="318"/>
        <v>#DIV/0!</v>
      </c>
      <c r="DR24" s="28">
        <f t="shared" si="318"/>
        <v>0</v>
      </c>
      <c r="DT24" s="23">
        <f t="shared" si="319"/>
        <v>0</v>
      </c>
      <c r="DU24" s="23">
        <f t="shared" si="319"/>
        <v>0</v>
      </c>
      <c r="DV24" s="23">
        <f t="shared" si="319"/>
        <v>0</v>
      </c>
      <c r="DW24" s="23">
        <f t="shared" si="319"/>
        <v>0</v>
      </c>
      <c r="DX24" s="26">
        <f t="shared" si="319"/>
        <v>0.12997979882373653</v>
      </c>
      <c r="DY24" s="23" t="e">
        <f t="shared" si="319"/>
        <v>#DIV/0!</v>
      </c>
      <c r="DZ24" s="23" t="e">
        <f t="shared" si="319"/>
        <v>#DIV/0!</v>
      </c>
      <c r="EA24" s="23" t="e">
        <f t="shared" si="319"/>
        <v>#DIV/0!</v>
      </c>
      <c r="EB24" s="27" t="e">
        <f t="shared" si="319"/>
        <v>#DIV/0!</v>
      </c>
      <c r="EC24" s="23" t="e">
        <f t="shared" si="319"/>
        <v>#DIV/0!</v>
      </c>
      <c r="ED24" s="28">
        <f t="shared" si="319"/>
        <v>3.2403264428044448E-2</v>
      </c>
      <c r="EF24" s="23">
        <f t="shared" si="320"/>
        <v>0</v>
      </c>
      <c r="EG24" s="23">
        <f t="shared" si="320"/>
        <v>0</v>
      </c>
      <c r="EH24" s="23">
        <f t="shared" si="320"/>
        <v>0</v>
      </c>
      <c r="EI24" s="23">
        <f t="shared" si="320"/>
        <v>0.16666666666666666</v>
      </c>
      <c r="EJ24" s="26">
        <f t="shared" si="320"/>
        <v>0.42072580826602468</v>
      </c>
      <c r="EK24" s="23" t="e">
        <f t="shared" si="320"/>
        <v>#DIV/0!</v>
      </c>
      <c r="EL24" s="23" t="e">
        <f t="shared" si="320"/>
        <v>#DIV/0!</v>
      </c>
      <c r="EM24" s="23" t="e">
        <f t="shared" si="320"/>
        <v>#DIV/0!</v>
      </c>
      <c r="EN24" s="27" t="e">
        <f t="shared" si="320"/>
        <v>#DIV/0!</v>
      </c>
      <c r="EO24" s="23" t="e">
        <f t="shared" si="320"/>
        <v>#DIV/0!</v>
      </c>
      <c r="EP24" s="28">
        <f t="shared" si="320"/>
        <v>2.2787844684217323E-2</v>
      </c>
      <c r="ER24" s="23">
        <f t="shared" si="321"/>
        <v>0</v>
      </c>
      <c r="ES24" s="23">
        <f t="shared" si="321"/>
        <v>0</v>
      </c>
      <c r="ET24" s="23">
        <f t="shared" si="321"/>
        <v>0</v>
      </c>
      <c r="EU24" s="23">
        <f t="shared" si="321"/>
        <v>0.33333333333333331</v>
      </c>
      <c r="EV24" s="26">
        <f t="shared" si="321"/>
        <v>0.33333333333333331</v>
      </c>
      <c r="EW24" s="23">
        <f t="shared" si="321"/>
        <v>0</v>
      </c>
      <c r="EX24" s="23" t="e">
        <f t="shared" si="321"/>
        <v>#DIV/0!</v>
      </c>
      <c r="EY24" s="23">
        <f t="shared" si="321"/>
        <v>0</v>
      </c>
      <c r="EZ24" s="27">
        <f t="shared" si="321"/>
        <v>0</v>
      </c>
      <c r="FA24" s="23" t="e">
        <f t="shared" si="321"/>
        <v>#DIV/0!</v>
      </c>
      <c r="FB24" s="28">
        <f t="shared" si="321"/>
        <v>6.8320747932398415E-3</v>
      </c>
    </row>
    <row r="25" spans="2:158" x14ac:dyDescent="0.35">
      <c r="B25" s="25" t="s">
        <v>98</v>
      </c>
      <c r="D25" s="24">
        <f>D10/D$10</f>
        <v>1</v>
      </c>
      <c r="E25" s="24">
        <f t="shared" si="322"/>
        <v>1</v>
      </c>
      <c r="F25" s="24">
        <f t="shared" si="322"/>
        <v>1</v>
      </c>
      <c r="G25" s="24">
        <f t="shared" si="322"/>
        <v>1</v>
      </c>
      <c r="H25" s="24">
        <f t="shared" si="322"/>
        <v>1</v>
      </c>
      <c r="I25" s="24">
        <f t="shared" si="322"/>
        <v>1</v>
      </c>
      <c r="J25" s="24" t="e">
        <f t="shared" si="322"/>
        <v>#DIV/0!</v>
      </c>
      <c r="K25" s="24">
        <f t="shared" si="322"/>
        <v>1</v>
      </c>
      <c r="L25" s="24">
        <f t="shared" si="322"/>
        <v>1</v>
      </c>
      <c r="M25" s="24" t="e">
        <f t="shared" si="322"/>
        <v>#DIV/0!</v>
      </c>
      <c r="N25" s="28">
        <f t="shared" si="322"/>
        <v>1</v>
      </c>
      <c r="O25" s="24" t="e">
        <f t="shared" si="322"/>
        <v>#DIV/0!</v>
      </c>
      <c r="P25" s="24">
        <f t="shared" si="313"/>
        <v>1</v>
      </c>
      <c r="Q25" s="24">
        <f t="shared" si="313"/>
        <v>1</v>
      </c>
      <c r="R25" s="24">
        <f t="shared" si="313"/>
        <v>1</v>
      </c>
      <c r="S25" s="24">
        <f t="shared" si="313"/>
        <v>1</v>
      </c>
      <c r="T25" s="24">
        <f t="shared" si="313"/>
        <v>1</v>
      </c>
      <c r="U25" s="24" t="e">
        <f t="shared" si="313"/>
        <v>#DIV/0!</v>
      </c>
      <c r="V25" s="24" t="e">
        <f t="shared" si="313"/>
        <v>#DIV/0!</v>
      </c>
      <c r="W25" s="24" t="e">
        <f t="shared" si="313"/>
        <v>#DIV/0!</v>
      </c>
      <c r="X25" s="24" t="e">
        <f t="shared" si="313"/>
        <v>#DIV/0!</v>
      </c>
      <c r="Y25" s="24" t="e">
        <f t="shared" si="313"/>
        <v>#DIV/0!</v>
      </c>
      <c r="Z25" s="28">
        <f t="shared" si="313"/>
        <v>1</v>
      </c>
      <c r="AA25" s="24" t="e">
        <f t="shared" si="313"/>
        <v>#DIV/0!</v>
      </c>
      <c r="AB25" s="24">
        <f t="shared" si="313"/>
        <v>1</v>
      </c>
      <c r="AC25" s="24">
        <f t="shared" si="313"/>
        <v>1</v>
      </c>
      <c r="AD25" s="24">
        <f t="shared" si="313"/>
        <v>1</v>
      </c>
      <c r="AE25" s="24">
        <f t="shared" si="313"/>
        <v>1</v>
      </c>
      <c r="AF25" s="24">
        <f t="shared" si="313"/>
        <v>1</v>
      </c>
      <c r="AG25" s="24" t="e">
        <f t="shared" si="313"/>
        <v>#DIV/0!</v>
      </c>
      <c r="AH25" s="24" t="e">
        <f t="shared" si="313"/>
        <v>#DIV/0!</v>
      </c>
      <c r="AI25" s="24" t="e">
        <f t="shared" si="313"/>
        <v>#DIV/0!</v>
      </c>
      <c r="AJ25" s="24" t="e">
        <f t="shared" si="313"/>
        <v>#DIV/0!</v>
      </c>
      <c r="AK25" s="24" t="e">
        <f t="shared" si="313"/>
        <v>#DIV/0!</v>
      </c>
      <c r="AL25" s="28">
        <f t="shared" si="313"/>
        <v>1</v>
      </c>
      <c r="AM25" s="24" t="e">
        <f t="shared" si="313"/>
        <v>#DIV/0!</v>
      </c>
      <c r="AN25" s="24">
        <f t="shared" si="313"/>
        <v>1</v>
      </c>
      <c r="AO25" s="24">
        <f t="shared" si="313"/>
        <v>1</v>
      </c>
      <c r="AP25" s="24">
        <f t="shared" si="313"/>
        <v>1</v>
      </c>
      <c r="AQ25" s="24">
        <f t="shared" si="313"/>
        <v>1</v>
      </c>
      <c r="AR25" s="24">
        <f t="shared" si="313"/>
        <v>1</v>
      </c>
      <c r="AS25" s="24" t="e">
        <f t="shared" si="313"/>
        <v>#DIV/0!</v>
      </c>
      <c r="AT25" s="24" t="e">
        <f t="shared" si="313"/>
        <v>#DIV/0!</v>
      </c>
      <c r="AU25" s="24" t="e">
        <f t="shared" si="313"/>
        <v>#DIV/0!</v>
      </c>
      <c r="AV25" s="24" t="e">
        <f t="shared" si="313"/>
        <v>#DIV/0!</v>
      </c>
      <c r="AW25" s="24" t="e">
        <f t="shared" ref="AW25:DC25" si="323">AW10/AW$10</f>
        <v>#DIV/0!</v>
      </c>
      <c r="AX25" s="28">
        <f t="shared" si="323"/>
        <v>1</v>
      </c>
      <c r="AY25" s="24" t="e">
        <f t="shared" si="323"/>
        <v>#DIV/0!</v>
      </c>
      <c r="AZ25" s="24">
        <f t="shared" si="323"/>
        <v>1</v>
      </c>
      <c r="BA25" s="24">
        <f t="shared" si="323"/>
        <v>1</v>
      </c>
      <c r="BB25" s="24">
        <f t="shared" si="323"/>
        <v>1</v>
      </c>
      <c r="BC25" s="24">
        <f t="shared" si="323"/>
        <v>1</v>
      </c>
      <c r="BD25" s="24">
        <f t="shared" si="323"/>
        <v>1</v>
      </c>
      <c r="BE25" s="24" t="e">
        <f t="shared" si="323"/>
        <v>#DIV/0!</v>
      </c>
      <c r="BF25" s="24" t="e">
        <f t="shared" si="323"/>
        <v>#DIV/0!</v>
      </c>
      <c r="BG25" s="24" t="e">
        <f t="shared" si="323"/>
        <v>#DIV/0!</v>
      </c>
      <c r="BH25" s="24" t="e">
        <f t="shared" si="323"/>
        <v>#DIV/0!</v>
      </c>
      <c r="BI25" s="24" t="e">
        <f t="shared" si="323"/>
        <v>#DIV/0!</v>
      </c>
      <c r="BJ25" s="28">
        <f t="shared" si="323"/>
        <v>1</v>
      </c>
      <c r="BK25" s="24" t="e">
        <f t="shared" si="323"/>
        <v>#DIV/0!</v>
      </c>
      <c r="BL25" s="24">
        <f t="shared" si="323"/>
        <v>1</v>
      </c>
      <c r="BM25" s="24">
        <f t="shared" si="323"/>
        <v>1</v>
      </c>
      <c r="BN25" s="24">
        <f t="shared" si="323"/>
        <v>1</v>
      </c>
      <c r="BO25" s="24">
        <f t="shared" si="323"/>
        <v>1</v>
      </c>
      <c r="BP25" s="24">
        <f t="shared" si="323"/>
        <v>1</v>
      </c>
      <c r="BQ25" s="24" t="e">
        <f t="shared" si="323"/>
        <v>#DIV/0!</v>
      </c>
      <c r="BR25" s="24" t="e">
        <f t="shared" si="323"/>
        <v>#DIV/0!</v>
      </c>
      <c r="BS25" s="24" t="e">
        <f t="shared" si="323"/>
        <v>#DIV/0!</v>
      </c>
      <c r="BT25" s="24" t="e">
        <f t="shared" si="323"/>
        <v>#DIV/0!</v>
      </c>
      <c r="BU25" s="24" t="e">
        <f t="shared" si="323"/>
        <v>#DIV/0!</v>
      </c>
      <c r="BV25" s="28">
        <f t="shared" si="323"/>
        <v>1</v>
      </c>
      <c r="BX25" s="24">
        <f t="shared" si="315"/>
        <v>1</v>
      </c>
      <c r="BY25" s="24">
        <f t="shared" si="315"/>
        <v>1</v>
      </c>
      <c r="BZ25" s="24">
        <f t="shared" si="315"/>
        <v>1</v>
      </c>
      <c r="CA25" s="24">
        <f t="shared" si="315"/>
        <v>1</v>
      </c>
      <c r="CB25" s="24">
        <f t="shared" si="315"/>
        <v>1</v>
      </c>
      <c r="CC25" s="24" t="e">
        <f t="shared" si="315"/>
        <v>#DIV/0!</v>
      </c>
      <c r="CD25" s="24" t="e">
        <f t="shared" si="315"/>
        <v>#DIV/0!</v>
      </c>
      <c r="CE25" s="24" t="e">
        <f t="shared" si="315"/>
        <v>#DIV/0!</v>
      </c>
      <c r="CF25" s="24" t="e">
        <f t="shared" si="315"/>
        <v>#DIV/0!</v>
      </c>
      <c r="CG25" s="24" t="e">
        <f t="shared" si="315"/>
        <v>#DIV/0!</v>
      </c>
      <c r="CH25" s="28">
        <f t="shared" si="315"/>
        <v>1</v>
      </c>
      <c r="CJ25" s="24">
        <f t="shared" si="316"/>
        <v>1</v>
      </c>
      <c r="CK25" s="24">
        <f t="shared" si="316"/>
        <v>1</v>
      </c>
      <c r="CL25" s="24">
        <f t="shared" si="316"/>
        <v>1</v>
      </c>
      <c r="CM25" s="24">
        <f t="shared" si="316"/>
        <v>1</v>
      </c>
      <c r="CN25" s="24">
        <f t="shared" si="316"/>
        <v>1</v>
      </c>
      <c r="CO25" s="24" t="e">
        <f t="shared" si="316"/>
        <v>#DIV/0!</v>
      </c>
      <c r="CP25" s="24" t="e">
        <f t="shared" si="316"/>
        <v>#DIV/0!</v>
      </c>
      <c r="CQ25" s="24" t="e">
        <f t="shared" si="316"/>
        <v>#DIV/0!</v>
      </c>
      <c r="CR25" s="24" t="e">
        <f t="shared" si="316"/>
        <v>#DIV/0!</v>
      </c>
      <c r="CS25" s="24" t="e">
        <f t="shared" si="316"/>
        <v>#DIV/0!</v>
      </c>
      <c r="CT25" s="28">
        <f t="shared" si="316"/>
        <v>1</v>
      </c>
      <c r="CV25" s="24">
        <f t="shared" si="317"/>
        <v>1</v>
      </c>
      <c r="CW25" s="24">
        <f t="shared" si="317"/>
        <v>1</v>
      </c>
      <c r="CX25" s="24">
        <f t="shared" si="317"/>
        <v>1</v>
      </c>
      <c r="CY25" s="24">
        <f t="shared" si="317"/>
        <v>1</v>
      </c>
      <c r="CZ25" s="24">
        <f t="shared" si="317"/>
        <v>1</v>
      </c>
      <c r="DA25" s="24" t="e">
        <f t="shared" si="317"/>
        <v>#DIV/0!</v>
      </c>
      <c r="DB25" s="24" t="e">
        <f t="shared" si="317"/>
        <v>#DIV/0!</v>
      </c>
      <c r="DC25" s="24" t="e">
        <f t="shared" si="317"/>
        <v>#DIV/0!</v>
      </c>
      <c r="DD25" s="24" t="e">
        <f t="shared" si="317"/>
        <v>#DIV/0!</v>
      </c>
      <c r="DE25" s="24" t="e">
        <f t="shared" si="317"/>
        <v>#DIV/0!</v>
      </c>
      <c r="DF25" s="28">
        <f t="shared" si="317"/>
        <v>1</v>
      </c>
      <c r="DH25" s="24">
        <f t="shared" si="318"/>
        <v>1</v>
      </c>
      <c r="DI25" s="24">
        <f t="shared" si="318"/>
        <v>1</v>
      </c>
      <c r="DJ25" s="24">
        <f t="shared" si="318"/>
        <v>1</v>
      </c>
      <c r="DK25" s="24">
        <f t="shared" si="318"/>
        <v>1</v>
      </c>
      <c r="DL25" s="24">
        <f t="shared" si="318"/>
        <v>1</v>
      </c>
      <c r="DM25" s="24" t="e">
        <f t="shared" si="318"/>
        <v>#DIV/0!</v>
      </c>
      <c r="DN25" s="24" t="e">
        <f t="shared" si="318"/>
        <v>#DIV/0!</v>
      </c>
      <c r="DO25" s="24" t="e">
        <f t="shared" si="318"/>
        <v>#DIV/0!</v>
      </c>
      <c r="DP25" s="24" t="e">
        <f t="shared" si="318"/>
        <v>#DIV/0!</v>
      </c>
      <c r="DQ25" s="24" t="e">
        <f t="shared" si="318"/>
        <v>#DIV/0!</v>
      </c>
      <c r="DR25" s="28">
        <f t="shared" si="318"/>
        <v>1</v>
      </c>
      <c r="DT25" s="24">
        <f t="shared" si="319"/>
        <v>1</v>
      </c>
      <c r="DU25" s="24">
        <f t="shared" si="319"/>
        <v>1</v>
      </c>
      <c r="DV25" s="24">
        <f t="shared" si="319"/>
        <v>1</v>
      </c>
      <c r="DW25" s="24">
        <f t="shared" si="319"/>
        <v>1</v>
      </c>
      <c r="DX25" s="24">
        <f t="shared" si="319"/>
        <v>1</v>
      </c>
      <c r="DY25" s="24" t="e">
        <f t="shared" si="319"/>
        <v>#DIV/0!</v>
      </c>
      <c r="DZ25" s="24" t="e">
        <f t="shared" si="319"/>
        <v>#DIV/0!</v>
      </c>
      <c r="EA25" s="24" t="e">
        <f t="shared" si="319"/>
        <v>#DIV/0!</v>
      </c>
      <c r="EB25" s="24" t="e">
        <f t="shared" si="319"/>
        <v>#DIV/0!</v>
      </c>
      <c r="EC25" s="24" t="e">
        <f t="shared" si="319"/>
        <v>#DIV/0!</v>
      </c>
      <c r="ED25" s="28">
        <f t="shared" si="319"/>
        <v>1</v>
      </c>
      <c r="EF25" s="24">
        <f t="shared" si="320"/>
        <v>1</v>
      </c>
      <c r="EG25" s="24">
        <f t="shared" si="320"/>
        <v>1</v>
      </c>
      <c r="EH25" s="24">
        <f t="shared" si="320"/>
        <v>1</v>
      </c>
      <c r="EI25" s="24">
        <f t="shared" si="320"/>
        <v>1</v>
      </c>
      <c r="EJ25" s="24">
        <f t="shared" si="320"/>
        <v>1</v>
      </c>
      <c r="EK25" s="24" t="e">
        <f t="shared" si="320"/>
        <v>#DIV/0!</v>
      </c>
      <c r="EL25" s="24" t="e">
        <f t="shared" si="320"/>
        <v>#DIV/0!</v>
      </c>
      <c r="EM25" s="24" t="e">
        <f t="shared" si="320"/>
        <v>#DIV/0!</v>
      </c>
      <c r="EN25" s="24" t="e">
        <f t="shared" si="320"/>
        <v>#DIV/0!</v>
      </c>
      <c r="EO25" s="24" t="e">
        <f t="shared" si="320"/>
        <v>#DIV/0!</v>
      </c>
      <c r="EP25" s="28">
        <f t="shared" si="320"/>
        <v>1</v>
      </c>
      <c r="ER25" s="24">
        <f t="shared" si="321"/>
        <v>1</v>
      </c>
      <c r="ES25" s="24">
        <f t="shared" si="321"/>
        <v>1</v>
      </c>
      <c r="ET25" s="24">
        <f t="shared" si="321"/>
        <v>1</v>
      </c>
      <c r="EU25" s="24">
        <f t="shared" si="321"/>
        <v>1</v>
      </c>
      <c r="EV25" s="24">
        <f t="shared" si="321"/>
        <v>1</v>
      </c>
      <c r="EW25" s="24">
        <f t="shared" si="321"/>
        <v>1</v>
      </c>
      <c r="EX25" s="24" t="e">
        <f t="shared" si="321"/>
        <v>#DIV/0!</v>
      </c>
      <c r="EY25" s="24">
        <f t="shared" si="321"/>
        <v>1</v>
      </c>
      <c r="EZ25" s="24">
        <f t="shared" si="321"/>
        <v>1</v>
      </c>
      <c r="FA25" s="24" t="e">
        <f t="shared" si="321"/>
        <v>#DIV/0!</v>
      </c>
      <c r="FB25" s="28">
        <f t="shared" si="321"/>
        <v>1</v>
      </c>
    </row>
    <row r="26" spans="2:158" x14ac:dyDescent="0.35">
      <c r="L26" s="2"/>
    </row>
    <row r="27" spans="2:158" x14ac:dyDescent="0.35">
      <c r="L27" s="2"/>
    </row>
    <row r="28" spans="2:158" x14ac:dyDescent="0.35">
      <c r="L28" s="2"/>
    </row>
    <row r="29" spans="2:158" x14ac:dyDescent="0.35">
      <c r="L29" s="2"/>
    </row>
    <row r="30" spans="2:158" x14ac:dyDescent="0.35">
      <c r="L30" s="2"/>
    </row>
    <row r="31" spans="2:158" x14ac:dyDescent="0.35">
      <c r="L31" s="2"/>
    </row>
    <row r="32" spans="2:158" x14ac:dyDescent="0.35">
      <c r="L32" s="2"/>
    </row>
    <row r="33" spans="12:12" x14ac:dyDescent="0.35">
      <c r="L33" s="2"/>
    </row>
    <row r="34" spans="12:12" x14ac:dyDescent="0.35">
      <c r="L34" s="2"/>
    </row>
    <row r="35" spans="12:12" x14ac:dyDescent="0.35">
      <c r="L35" s="2"/>
    </row>
    <row r="36" spans="12:12" x14ac:dyDescent="0.35">
      <c r="L36" s="2"/>
    </row>
    <row r="37" spans="12:12" x14ac:dyDescent="0.35">
      <c r="L37" s="2"/>
    </row>
    <row r="38" spans="12:12" x14ac:dyDescent="0.35">
      <c r="L38" s="2"/>
    </row>
    <row r="39" spans="12:12" x14ac:dyDescent="0.35">
      <c r="L39" s="2"/>
    </row>
    <row r="40" spans="12:12" x14ac:dyDescent="0.35">
      <c r="L40" s="2"/>
    </row>
    <row r="41" spans="12:12" x14ac:dyDescent="0.35">
      <c r="L41" s="2"/>
    </row>
  </sheetData>
  <mergeCells count="13">
    <mergeCell ref="BL4:BV4"/>
    <mergeCell ref="B4:B5"/>
    <mergeCell ref="P4:Z4"/>
    <mergeCell ref="AB4:AL4"/>
    <mergeCell ref="AN4:AX4"/>
    <mergeCell ref="AZ4:BJ4"/>
    <mergeCell ref="ER4:FB4"/>
    <mergeCell ref="BX4:CH4"/>
    <mergeCell ref="CJ4:CT4"/>
    <mergeCell ref="CV4:DF4"/>
    <mergeCell ref="DH4:DR4"/>
    <mergeCell ref="DT4:ED4"/>
    <mergeCell ref="EF4:EP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6ADD-7674-49E4-A024-60BCCA4D3A22}">
  <dimension ref="A2:K537"/>
  <sheetViews>
    <sheetView showGridLines="0" workbookViewId="0">
      <pane ySplit="2" topLeftCell="A3" activePane="bottomLeft" state="frozen"/>
      <selection pane="bottomLeft" activeCell="E19" sqref="E19"/>
    </sheetView>
  </sheetViews>
  <sheetFormatPr defaultRowHeight="14.5" x14ac:dyDescent="0.35"/>
  <cols>
    <col min="1" max="1" width="7" bestFit="1" customWidth="1"/>
    <col min="2" max="2" width="8.75" bestFit="1" customWidth="1"/>
    <col min="3" max="3" width="11.33203125" bestFit="1" customWidth="1"/>
    <col min="4" max="4" width="22.58203125" bestFit="1" customWidth="1"/>
    <col min="5" max="5" width="15.6640625" bestFit="1" customWidth="1"/>
    <col min="6" max="6" width="29.9140625" bestFit="1" customWidth="1"/>
    <col min="7" max="7" width="15.9140625" bestFit="1" customWidth="1"/>
    <col min="8" max="8" width="15.75" bestFit="1" customWidth="1"/>
    <col min="9" max="9" width="20.6640625" bestFit="1" customWidth="1"/>
    <col min="10" max="10" width="21.9140625" bestFit="1" customWidth="1"/>
    <col min="11" max="11" width="23.6640625" bestFit="1" customWidth="1"/>
  </cols>
  <sheetData>
    <row r="2" spans="1:1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64</v>
      </c>
      <c r="G2" s="3" t="s">
        <v>5</v>
      </c>
      <c r="H2" s="3" t="s">
        <v>6</v>
      </c>
      <c r="I2" s="3" t="s">
        <v>7</v>
      </c>
      <c r="J2" s="4" t="s">
        <v>65</v>
      </c>
      <c r="K2" s="4" t="s">
        <v>77</v>
      </c>
    </row>
    <row r="3" spans="1:11" x14ac:dyDescent="0.35">
      <c r="A3">
        <v>2024</v>
      </c>
      <c r="B3">
        <v>1</v>
      </c>
      <c r="C3" t="s">
        <v>8</v>
      </c>
      <c r="D3" t="s">
        <v>9</v>
      </c>
      <c r="E3" t="s">
        <v>8</v>
      </c>
      <c r="F3" t="s">
        <v>9</v>
      </c>
      <c r="G3" s="2">
        <v>689816</v>
      </c>
      <c r="H3" s="2">
        <v>0</v>
      </c>
      <c r="I3" s="2">
        <v>689816</v>
      </c>
      <c r="J3" s="2" t="str">
        <f>_xlfn.XLOOKUP(Data[[#This Row],[Main SKU]],MD_Main_SKU[Main SKU],MD_Main_SKU[SKU name_gom])</f>
        <v>WSS01</v>
      </c>
      <c r="K3" s="2" t="str">
        <f>_xlfn.XLOOKUP(Data[[#This Row],[Material-Nhập]],MD_Main_SKU[Main SKU],MD_Main_SKU[SKU name_gom])</f>
        <v>WSS01</v>
      </c>
    </row>
    <row r="4" spans="1:11" x14ac:dyDescent="0.35">
      <c r="A4">
        <v>2024</v>
      </c>
      <c r="B4">
        <v>1</v>
      </c>
      <c r="C4" t="s">
        <v>8</v>
      </c>
      <c r="D4" t="s">
        <v>9</v>
      </c>
      <c r="E4" t="s">
        <v>10</v>
      </c>
      <c r="F4" t="s">
        <v>11</v>
      </c>
      <c r="G4" s="2">
        <v>0</v>
      </c>
      <c r="H4" s="2">
        <v>74144</v>
      </c>
      <c r="I4" s="2">
        <v>74144</v>
      </c>
      <c r="J4" s="2" t="str">
        <f>_xlfn.XLOOKUP(Data[[#This Row],[Main SKU]],MD_Main_SKU[Main SKU],MD_Main_SKU[SKU name_gom])</f>
        <v>WSS01</v>
      </c>
      <c r="K4" s="2" t="str">
        <f>_xlfn.XLOOKUP(Data[[#This Row],[Material-Nhập]],MD_Main_SKU[Main SKU],MD_Main_SKU[SKU name_gom])</f>
        <v>WSS02</v>
      </c>
    </row>
    <row r="5" spans="1:11" x14ac:dyDescent="0.35">
      <c r="A5">
        <v>2024</v>
      </c>
      <c r="B5">
        <v>1</v>
      </c>
      <c r="C5" t="s">
        <v>8</v>
      </c>
      <c r="D5" t="s">
        <v>9</v>
      </c>
      <c r="E5" t="s">
        <v>12</v>
      </c>
      <c r="F5" t="s">
        <v>13</v>
      </c>
      <c r="G5" s="2">
        <v>0</v>
      </c>
      <c r="H5" s="2">
        <v>3300</v>
      </c>
      <c r="I5" s="2">
        <v>3300</v>
      </c>
      <c r="J5" s="2" t="str">
        <f>_xlfn.XLOOKUP(Data[[#This Row],[Main SKU]],MD_Main_SKU[Main SKU],MD_Main_SKU[SKU name_gom])</f>
        <v>WSS01</v>
      </c>
      <c r="K5" s="2" t="str">
        <f>_xlfn.XLOOKUP(Data[[#This Row],[Material-Nhập]],MD_Main_SKU[Main SKU],MD_Main_SKU[SKU name_gom])</f>
        <v>WSS03</v>
      </c>
    </row>
    <row r="6" spans="1:11" x14ac:dyDescent="0.35">
      <c r="A6">
        <v>2024</v>
      </c>
      <c r="B6">
        <v>1</v>
      </c>
      <c r="C6" t="s">
        <v>14</v>
      </c>
      <c r="D6" t="s">
        <v>15</v>
      </c>
      <c r="E6" t="s">
        <v>14</v>
      </c>
      <c r="F6" t="s">
        <v>15</v>
      </c>
      <c r="G6" s="2">
        <v>231098</v>
      </c>
      <c r="H6" s="2">
        <v>0</v>
      </c>
      <c r="I6" s="2">
        <v>231098</v>
      </c>
      <c r="J6" s="2" t="str">
        <f>_xlfn.XLOOKUP(Data[[#This Row],[Main SKU]],MD_Main_SKU[Main SKU],MD_Main_SKU[SKU name_gom])</f>
        <v>iSS01084</v>
      </c>
      <c r="K6" s="2" t="str">
        <f>_xlfn.XLOOKUP(Data[[#This Row],[Material-Nhập]],MD_Main_SKU[Main SKU],MD_Main_SKU[SKU name_gom])</f>
        <v>iSS01084</v>
      </c>
    </row>
    <row r="7" spans="1:11" x14ac:dyDescent="0.35">
      <c r="A7">
        <v>2024</v>
      </c>
      <c r="B7">
        <v>1</v>
      </c>
      <c r="C7" t="s">
        <v>14</v>
      </c>
      <c r="D7" t="s">
        <v>15</v>
      </c>
      <c r="E7" t="s">
        <v>16</v>
      </c>
      <c r="F7" t="s">
        <v>17</v>
      </c>
      <c r="G7" s="2">
        <v>0</v>
      </c>
      <c r="H7" s="2">
        <v>2161</v>
      </c>
      <c r="I7" s="2">
        <v>2161</v>
      </c>
      <c r="J7" s="2" t="str">
        <f>_xlfn.XLOOKUP(Data[[#This Row],[Main SKU]],MD_Main_SKU[Main SKU],MD_Main_SKU[SKU name_gom])</f>
        <v>iSS01084</v>
      </c>
      <c r="K7" s="2" t="str">
        <f>_xlfn.XLOOKUP(Data[[#This Row],[Material-Nhập]],MD_Main_SKU[Main SKU],MD_Main_SKU[SKU name_gom])</f>
        <v>WSS01</v>
      </c>
    </row>
    <row r="8" spans="1:11" x14ac:dyDescent="0.35">
      <c r="A8">
        <v>2024</v>
      </c>
      <c r="B8">
        <v>1</v>
      </c>
      <c r="C8" t="s">
        <v>14</v>
      </c>
      <c r="D8" t="s">
        <v>15</v>
      </c>
      <c r="E8" t="s">
        <v>18</v>
      </c>
      <c r="F8" t="s">
        <v>19</v>
      </c>
      <c r="G8" s="2">
        <v>0</v>
      </c>
      <c r="H8" s="2">
        <v>12100.000000000002</v>
      </c>
      <c r="I8" s="2">
        <v>12100.000000000002</v>
      </c>
      <c r="J8" s="2" t="str">
        <f>_xlfn.XLOOKUP(Data[[#This Row],[Main SKU]],MD_Main_SKU[Main SKU],MD_Main_SKU[SKU name_gom])</f>
        <v>iSS01084</v>
      </c>
      <c r="K8" s="2" t="str">
        <f>_xlfn.XLOOKUP(Data[[#This Row],[Material-Nhập]],MD_Main_SKU[Main SKU],MD_Main_SKU[SKU name_gom])</f>
        <v>iSS01</v>
      </c>
    </row>
    <row r="9" spans="1:11" x14ac:dyDescent="0.35">
      <c r="A9">
        <v>2024</v>
      </c>
      <c r="B9">
        <v>1</v>
      </c>
      <c r="C9" t="s">
        <v>14</v>
      </c>
      <c r="D9" t="s">
        <v>15</v>
      </c>
      <c r="E9" t="s">
        <v>20</v>
      </c>
      <c r="F9" t="s">
        <v>21</v>
      </c>
      <c r="G9" s="2">
        <v>0</v>
      </c>
      <c r="H9" s="2">
        <v>5500</v>
      </c>
      <c r="I9" s="2">
        <v>5500</v>
      </c>
      <c r="J9" s="2" t="str">
        <f>_xlfn.XLOOKUP(Data[[#This Row],[Main SKU]],MD_Main_SKU[Main SKU],MD_Main_SKU[SKU name_gom])</f>
        <v>iSS01084</v>
      </c>
      <c r="K9" s="2" t="str">
        <f>_xlfn.XLOOKUP(Data[[#This Row],[Material-Nhập]],MD_Main_SKU[Main SKU],MD_Main_SKU[SKU name_gom])</f>
        <v>WSS02</v>
      </c>
    </row>
    <row r="10" spans="1:11" x14ac:dyDescent="0.35">
      <c r="A10">
        <v>2024</v>
      </c>
      <c r="B10">
        <v>1</v>
      </c>
      <c r="C10" t="s">
        <v>16</v>
      </c>
      <c r="D10" t="s">
        <v>17</v>
      </c>
      <c r="E10" t="s">
        <v>14</v>
      </c>
      <c r="F10" t="s">
        <v>15</v>
      </c>
      <c r="G10" s="2">
        <v>0</v>
      </c>
      <c r="H10" s="2">
        <v>1100</v>
      </c>
      <c r="I10" s="2">
        <v>1100</v>
      </c>
      <c r="J10" s="2" t="str">
        <f>_xlfn.XLOOKUP(Data[[#This Row],[Main SKU]],MD_Main_SKU[Main SKU],MD_Main_SKU[SKU name_gom])</f>
        <v>WSS01</v>
      </c>
      <c r="K10" s="2" t="str">
        <f>_xlfn.XLOOKUP(Data[[#This Row],[Material-Nhập]],MD_Main_SKU[Main SKU],MD_Main_SKU[SKU name_gom])</f>
        <v>iSS01084</v>
      </c>
    </row>
    <row r="11" spans="1:11" x14ac:dyDescent="0.35">
      <c r="A11">
        <v>2024</v>
      </c>
      <c r="B11">
        <v>1</v>
      </c>
      <c r="C11" t="s">
        <v>16</v>
      </c>
      <c r="D11" t="s">
        <v>17</v>
      </c>
      <c r="E11" t="s">
        <v>16</v>
      </c>
      <c r="F11" t="s">
        <v>17</v>
      </c>
      <c r="G11" s="2">
        <v>1443199.9999999995</v>
      </c>
      <c r="H11" s="2">
        <v>0</v>
      </c>
      <c r="I11" s="2">
        <v>1443199.9999999995</v>
      </c>
      <c r="J11" s="2" t="str">
        <f>_xlfn.XLOOKUP(Data[[#This Row],[Main SKU]],MD_Main_SKU[Main SKU],MD_Main_SKU[SKU name_gom])</f>
        <v>WSS01</v>
      </c>
      <c r="K11" s="2" t="str">
        <f>_xlfn.XLOOKUP(Data[[#This Row],[Material-Nhập]],MD_Main_SKU[Main SKU],MD_Main_SKU[SKU name_gom])</f>
        <v>WSS01</v>
      </c>
    </row>
    <row r="12" spans="1:11" x14ac:dyDescent="0.35">
      <c r="A12">
        <v>2024</v>
      </c>
      <c r="B12">
        <v>1</v>
      </c>
      <c r="C12" t="s">
        <v>16</v>
      </c>
      <c r="D12" t="s">
        <v>17</v>
      </c>
      <c r="E12" t="s">
        <v>18</v>
      </c>
      <c r="F12" t="s">
        <v>19</v>
      </c>
      <c r="G12" s="2">
        <v>0</v>
      </c>
      <c r="H12" s="2">
        <v>433400</v>
      </c>
      <c r="I12" s="2">
        <v>433400</v>
      </c>
      <c r="J12" s="2" t="str">
        <f>_xlfn.XLOOKUP(Data[[#This Row],[Main SKU]],MD_Main_SKU[Main SKU],MD_Main_SKU[SKU name_gom])</f>
        <v>WSS01</v>
      </c>
      <c r="K12" s="2" t="str">
        <f>_xlfn.XLOOKUP(Data[[#This Row],[Material-Nhập]],MD_Main_SKU[Main SKU],MD_Main_SKU[SKU name_gom])</f>
        <v>iSS01</v>
      </c>
    </row>
    <row r="13" spans="1:11" x14ac:dyDescent="0.35">
      <c r="A13">
        <v>2024</v>
      </c>
      <c r="B13">
        <v>1</v>
      </c>
      <c r="C13" t="s">
        <v>16</v>
      </c>
      <c r="D13" t="s">
        <v>17</v>
      </c>
      <c r="E13" t="s">
        <v>20</v>
      </c>
      <c r="F13" t="s">
        <v>21</v>
      </c>
      <c r="G13" s="2">
        <v>0</v>
      </c>
      <c r="H13" s="2">
        <v>57200</v>
      </c>
      <c r="I13" s="2">
        <v>57200</v>
      </c>
      <c r="J13" s="2" t="str">
        <f>_xlfn.XLOOKUP(Data[[#This Row],[Main SKU]],MD_Main_SKU[Main SKU],MD_Main_SKU[SKU name_gom])</f>
        <v>WSS01</v>
      </c>
      <c r="K13" s="2" t="str">
        <f>_xlfn.XLOOKUP(Data[[#This Row],[Material-Nhập]],MD_Main_SKU[Main SKU],MD_Main_SKU[SKU name_gom])</f>
        <v>WSS02</v>
      </c>
    </row>
    <row r="14" spans="1:11" x14ac:dyDescent="0.35">
      <c r="A14">
        <v>2024</v>
      </c>
      <c r="B14">
        <v>1</v>
      </c>
      <c r="C14" t="s">
        <v>16</v>
      </c>
      <c r="D14" t="s">
        <v>17</v>
      </c>
      <c r="E14" t="s">
        <v>22</v>
      </c>
      <c r="F14" t="s">
        <v>23</v>
      </c>
      <c r="G14" s="2">
        <v>0</v>
      </c>
      <c r="H14" s="2">
        <v>15400.000000000002</v>
      </c>
      <c r="I14" s="2">
        <v>15400.000000000002</v>
      </c>
      <c r="J14" s="2" t="str">
        <f>_xlfn.XLOOKUP(Data[[#This Row],[Main SKU]],MD_Main_SKU[Main SKU],MD_Main_SKU[SKU name_gom])</f>
        <v>WSS01</v>
      </c>
      <c r="K14" s="2" t="str">
        <f>_xlfn.XLOOKUP(Data[[#This Row],[Material-Nhập]],MD_Main_SKU[Main SKU],MD_Main_SKU[SKU name_gom])</f>
        <v>WSS03</v>
      </c>
    </row>
    <row r="15" spans="1:11" x14ac:dyDescent="0.35">
      <c r="A15">
        <v>2024</v>
      </c>
      <c r="B15">
        <v>1</v>
      </c>
      <c r="C15" t="s">
        <v>18</v>
      </c>
      <c r="D15" t="s">
        <v>19</v>
      </c>
      <c r="E15" t="s">
        <v>16</v>
      </c>
      <c r="F15" t="s">
        <v>17</v>
      </c>
      <c r="G15" s="2">
        <v>0</v>
      </c>
      <c r="H15" s="2">
        <v>2200</v>
      </c>
      <c r="I15" s="2">
        <v>2200</v>
      </c>
      <c r="J15" s="2" t="str">
        <f>_xlfn.XLOOKUP(Data[[#This Row],[Main SKU]],MD_Main_SKU[Main SKU],MD_Main_SKU[SKU name_gom])</f>
        <v>iSS01</v>
      </c>
      <c r="K15" s="2" t="str">
        <f>_xlfn.XLOOKUP(Data[[#This Row],[Material-Nhập]],MD_Main_SKU[Main SKU],MD_Main_SKU[SKU name_gom])</f>
        <v>WSS01</v>
      </c>
    </row>
    <row r="16" spans="1:11" x14ac:dyDescent="0.35">
      <c r="A16">
        <v>2024</v>
      </c>
      <c r="B16">
        <v>1</v>
      </c>
      <c r="C16" t="s">
        <v>18</v>
      </c>
      <c r="D16" t="s">
        <v>19</v>
      </c>
      <c r="E16" t="s">
        <v>18</v>
      </c>
      <c r="F16" t="s">
        <v>19</v>
      </c>
      <c r="G16" s="2">
        <v>183700</v>
      </c>
      <c r="H16" s="2">
        <v>0</v>
      </c>
      <c r="I16" s="2">
        <v>183700</v>
      </c>
      <c r="J16" s="2" t="str">
        <f>_xlfn.XLOOKUP(Data[[#This Row],[Main SKU]],MD_Main_SKU[Main SKU],MD_Main_SKU[SKU name_gom])</f>
        <v>iSS01</v>
      </c>
      <c r="K16" s="2" t="str">
        <f>_xlfn.XLOOKUP(Data[[#This Row],[Material-Nhập]],MD_Main_SKU[Main SKU],MD_Main_SKU[SKU name_gom])</f>
        <v>iSS01</v>
      </c>
    </row>
    <row r="17" spans="1:11" x14ac:dyDescent="0.35">
      <c r="A17">
        <v>2024</v>
      </c>
      <c r="B17">
        <v>1</v>
      </c>
      <c r="C17" t="s">
        <v>18</v>
      </c>
      <c r="D17" t="s">
        <v>19</v>
      </c>
      <c r="E17" t="s">
        <v>22</v>
      </c>
      <c r="F17" t="s">
        <v>23</v>
      </c>
      <c r="G17" s="2">
        <v>0</v>
      </c>
      <c r="H17" s="2">
        <v>2200</v>
      </c>
      <c r="I17" s="2">
        <v>2200</v>
      </c>
      <c r="J17" s="2" t="str">
        <f>_xlfn.XLOOKUP(Data[[#This Row],[Main SKU]],MD_Main_SKU[Main SKU],MD_Main_SKU[SKU name_gom])</f>
        <v>iSS01</v>
      </c>
      <c r="K17" s="2" t="str">
        <f>_xlfn.XLOOKUP(Data[[#This Row],[Material-Nhập]],MD_Main_SKU[Main SKU],MD_Main_SKU[SKU name_gom])</f>
        <v>WSS03</v>
      </c>
    </row>
    <row r="18" spans="1:11" x14ac:dyDescent="0.35">
      <c r="A18">
        <v>2024</v>
      </c>
      <c r="B18">
        <v>1</v>
      </c>
      <c r="C18" t="s">
        <v>24</v>
      </c>
      <c r="D18" t="s">
        <v>25</v>
      </c>
      <c r="E18" t="s">
        <v>20</v>
      </c>
      <c r="F18" t="s">
        <v>21</v>
      </c>
      <c r="G18" s="2">
        <v>0</v>
      </c>
      <c r="H18" s="2">
        <v>33000</v>
      </c>
      <c r="I18" s="2">
        <v>33000</v>
      </c>
      <c r="J18" s="2" t="str">
        <f>_xlfn.XLOOKUP(Data[[#This Row],[Main SKU]],MD_Main_SKU[Main SKU],MD_Main_SKU[SKU name_gom])</f>
        <v>WSS01</v>
      </c>
      <c r="K18" s="2" t="str">
        <f>_xlfn.XLOOKUP(Data[[#This Row],[Material-Nhập]],MD_Main_SKU[Main SKU],MD_Main_SKU[SKU name_gom])</f>
        <v>WSS02</v>
      </c>
    </row>
    <row r="19" spans="1:11" x14ac:dyDescent="0.35">
      <c r="A19">
        <v>2024</v>
      </c>
      <c r="B19">
        <v>1</v>
      </c>
      <c r="C19" t="s">
        <v>24</v>
      </c>
      <c r="D19" t="s">
        <v>25</v>
      </c>
      <c r="E19" t="s">
        <v>22</v>
      </c>
      <c r="F19" t="s">
        <v>23</v>
      </c>
      <c r="G19" s="2">
        <v>0</v>
      </c>
      <c r="H19" s="2">
        <v>2200</v>
      </c>
      <c r="I19" s="2">
        <v>2200</v>
      </c>
      <c r="J19" s="2" t="str">
        <f>_xlfn.XLOOKUP(Data[[#This Row],[Main SKU]],MD_Main_SKU[Main SKU],MD_Main_SKU[SKU name_gom])</f>
        <v>WSS01</v>
      </c>
      <c r="K19" s="2" t="str">
        <f>_xlfn.XLOOKUP(Data[[#This Row],[Material-Nhập]],MD_Main_SKU[Main SKU],MD_Main_SKU[SKU name_gom])</f>
        <v>WSS03</v>
      </c>
    </row>
    <row r="20" spans="1:11" x14ac:dyDescent="0.35">
      <c r="A20">
        <v>2024</v>
      </c>
      <c r="B20">
        <v>1</v>
      </c>
      <c r="C20" t="s">
        <v>24</v>
      </c>
      <c r="D20" t="s">
        <v>25</v>
      </c>
      <c r="E20" t="s">
        <v>24</v>
      </c>
      <c r="F20" t="s">
        <v>25</v>
      </c>
      <c r="G20" s="2">
        <v>1133000</v>
      </c>
      <c r="H20" s="2">
        <v>0</v>
      </c>
      <c r="I20" s="2">
        <v>1133000</v>
      </c>
      <c r="J20" s="2" t="str">
        <f>_xlfn.XLOOKUP(Data[[#This Row],[Main SKU]],MD_Main_SKU[Main SKU],MD_Main_SKU[SKU name_gom])</f>
        <v>WSS01</v>
      </c>
      <c r="K20" s="2" t="str">
        <f>_xlfn.XLOOKUP(Data[[#This Row],[Material-Nhập]],MD_Main_SKU[Main SKU],MD_Main_SKU[SKU name_gom])</f>
        <v>WSS01</v>
      </c>
    </row>
    <row r="21" spans="1:11" x14ac:dyDescent="0.35">
      <c r="A21">
        <v>2024</v>
      </c>
      <c r="B21">
        <v>1</v>
      </c>
      <c r="C21" t="s">
        <v>24</v>
      </c>
      <c r="D21" t="s">
        <v>25</v>
      </c>
      <c r="E21" t="s">
        <v>26</v>
      </c>
      <c r="F21" t="s">
        <v>27</v>
      </c>
      <c r="G21" s="2">
        <v>0</v>
      </c>
      <c r="H21" s="2">
        <v>29700</v>
      </c>
      <c r="I21" s="2">
        <v>29700</v>
      </c>
      <c r="J21" s="2" t="str">
        <f>_xlfn.XLOOKUP(Data[[#This Row],[Main SKU]],MD_Main_SKU[Main SKU],MD_Main_SKU[SKU name_gom])</f>
        <v>WSS01</v>
      </c>
      <c r="K21" s="2" t="str">
        <f>_xlfn.XLOOKUP(Data[[#This Row],[Material-Nhập]],MD_Main_SKU[Main SKU],MD_Main_SKU[SKU name_gom])</f>
        <v>iSS01</v>
      </c>
    </row>
    <row r="22" spans="1:11" x14ac:dyDescent="0.35">
      <c r="A22">
        <v>2024</v>
      </c>
      <c r="B22">
        <v>1</v>
      </c>
      <c r="C22" t="s">
        <v>26</v>
      </c>
      <c r="D22" t="s">
        <v>27</v>
      </c>
      <c r="E22" t="s">
        <v>26</v>
      </c>
      <c r="F22" t="s">
        <v>27</v>
      </c>
      <c r="G22" s="2">
        <v>96800</v>
      </c>
      <c r="H22" s="2">
        <v>0</v>
      </c>
      <c r="I22" s="2">
        <v>96800</v>
      </c>
      <c r="J22" s="2" t="str">
        <f>_xlfn.XLOOKUP(Data[[#This Row],[Main SKU]],MD_Main_SKU[Main SKU],MD_Main_SKU[SKU name_gom])</f>
        <v>iSS01</v>
      </c>
      <c r="K22" s="2" t="str">
        <f>_xlfn.XLOOKUP(Data[[#This Row],[Material-Nhập]],MD_Main_SKU[Main SKU],MD_Main_SKU[SKU name_gom])</f>
        <v>iSS01</v>
      </c>
    </row>
    <row r="23" spans="1:11" x14ac:dyDescent="0.35">
      <c r="A23">
        <v>2024</v>
      </c>
      <c r="B23">
        <v>2</v>
      </c>
      <c r="C23" t="s">
        <v>8</v>
      </c>
      <c r="D23" t="s">
        <v>9</v>
      </c>
      <c r="E23" t="s">
        <v>8</v>
      </c>
      <c r="F23" t="s">
        <v>9</v>
      </c>
      <c r="G23" s="2">
        <v>302500</v>
      </c>
      <c r="H23" s="2">
        <v>0</v>
      </c>
      <c r="I23" s="2">
        <v>302500</v>
      </c>
      <c r="J23" s="2" t="str">
        <f>_xlfn.XLOOKUP(Data[[#This Row],[Main SKU]],MD_Main_SKU[Main SKU],MD_Main_SKU[SKU name_gom])</f>
        <v>WSS01</v>
      </c>
      <c r="K23" s="2" t="str">
        <f>_xlfn.XLOOKUP(Data[[#This Row],[Material-Nhập]],MD_Main_SKU[Main SKU],MD_Main_SKU[SKU name_gom])</f>
        <v>WSS01</v>
      </c>
    </row>
    <row r="24" spans="1:11" x14ac:dyDescent="0.35">
      <c r="A24">
        <v>2024</v>
      </c>
      <c r="B24">
        <v>2</v>
      </c>
      <c r="C24" t="s">
        <v>8</v>
      </c>
      <c r="D24" t="s">
        <v>9</v>
      </c>
      <c r="E24" t="s">
        <v>12</v>
      </c>
      <c r="F24" t="s">
        <v>13</v>
      </c>
      <c r="G24" s="2">
        <v>0</v>
      </c>
      <c r="H24" s="2">
        <v>1100</v>
      </c>
      <c r="I24" s="2">
        <v>1100</v>
      </c>
      <c r="J24" s="2" t="str">
        <f>_xlfn.XLOOKUP(Data[[#This Row],[Main SKU]],MD_Main_SKU[Main SKU],MD_Main_SKU[SKU name_gom])</f>
        <v>WSS01</v>
      </c>
      <c r="K24" s="2" t="str">
        <f>_xlfn.XLOOKUP(Data[[#This Row],[Material-Nhập]],MD_Main_SKU[Main SKU],MD_Main_SKU[SKU name_gom])</f>
        <v>WSS03</v>
      </c>
    </row>
    <row r="25" spans="1:11" x14ac:dyDescent="0.35">
      <c r="A25">
        <v>2024</v>
      </c>
      <c r="B25">
        <v>2</v>
      </c>
      <c r="C25" t="s">
        <v>14</v>
      </c>
      <c r="D25" t="s">
        <v>15</v>
      </c>
      <c r="E25" t="s">
        <v>14</v>
      </c>
      <c r="F25" t="s">
        <v>15</v>
      </c>
      <c r="G25" s="2">
        <v>232233</v>
      </c>
      <c r="H25" s="2">
        <v>0</v>
      </c>
      <c r="I25" s="2">
        <v>232233</v>
      </c>
      <c r="J25" s="2" t="str">
        <f>_xlfn.XLOOKUP(Data[[#This Row],[Main SKU]],MD_Main_SKU[Main SKU],MD_Main_SKU[SKU name_gom])</f>
        <v>iSS01084</v>
      </c>
      <c r="K25" s="2" t="str">
        <f>_xlfn.XLOOKUP(Data[[#This Row],[Material-Nhập]],MD_Main_SKU[Main SKU],MD_Main_SKU[SKU name_gom])</f>
        <v>iSS01084</v>
      </c>
    </row>
    <row r="26" spans="1:11" x14ac:dyDescent="0.35">
      <c r="A26">
        <v>2024</v>
      </c>
      <c r="B26">
        <v>2</v>
      </c>
      <c r="C26" t="s">
        <v>14</v>
      </c>
      <c r="D26" t="s">
        <v>15</v>
      </c>
      <c r="E26" t="s">
        <v>16</v>
      </c>
      <c r="F26" t="s">
        <v>17</v>
      </c>
      <c r="G26" s="2">
        <v>0</v>
      </c>
      <c r="H26" s="2">
        <v>2200</v>
      </c>
      <c r="I26" s="2">
        <v>2200</v>
      </c>
      <c r="J26" s="2" t="str">
        <f>_xlfn.XLOOKUP(Data[[#This Row],[Main SKU]],MD_Main_SKU[Main SKU],MD_Main_SKU[SKU name_gom])</f>
        <v>iSS01084</v>
      </c>
      <c r="K26" s="2" t="str">
        <f>_xlfn.XLOOKUP(Data[[#This Row],[Material-Nhập]],MD_Main_SKU[Main SKU],MD_Main_SKU[SKU name_gom])</f>
        <v>WSS01</v>
      </c>
    </row>
    <row r="27" spans="1:11" x14ac:dyDescent="0.35">
      <c r="A27">
        <v>2024</v>
      </c>
      <c r="B27">
        <v>2</v>
      </c>
      <c r="C27" t="s">
        <v>14</v>
      </c>
      <c r="D27" t="s">
        <v>15</v>
      </c>
      <c r="E27" t="s">
        <v>18</v>
      </c>
      <c r="F27" t="s">
        <v>19</v>
      </c>
      <c r="G27" s="2">
        <v>0</v>
      </c>
      <c r="H27" s="2">
        <v>38500</v>
      </c>
      <c r="I27" s="2">
        <v>38500</v>
      </c>
      <c r="J27" s="2" t="str">
        <f>_xlfn.XLOOKUP(Data[[#This Row],[Main SKU]],MD_Main_SKU[Main SKU],MD_Main_SKU[SKU name_gom])</f>
        <v>iSS01084</v>
      </c>
      <c r="K27" s="2" t="str">
        <f>_xlfn.XLOOKUP(Data[[#This Row],[Material-Nhập]],MD_Main_SKU[Main SKU],MD_Main_SKU[SKU name_gom])</f>
        <v>iSS01</v>
      </c>
    </row>
    <row r="28" spans="1:11" x14ac:dyDescent="0.35">
      <c r="A28">
        <v>2024</v>
      </c>
      <c r="B28">
        <v>2</v>
      </c>
      <c r="C28" t="s">
        <v>14</v>
      </c>
      <c r="D28" t="s">
        <v>15</v>
      </c>
      <c r="E28" t="s">
        <v>20</v>
      </c>
      <c r="F28" t="s">
        <v>21</v>
      </c>
      <c r="G28" s="2">
        <v>0</v>
      </c>
      <c r="H28" s="2">
        <v>6600</v>
      </c>
      <c r="I28" s="2">
        <v>6600</v>
      </c>
      <c r="J28" s="2" t="str">
        <f>_xlfn.XLOOKUP(Data[[#This Row],[Main SKU]],MD_Main_SKU[Main SKU],MD_Main_SKU[SKU name_gom])</f>
        <v>iSS01084</v>
      </c>
      <c r="K28" s="2" t="str">
        <f>_xlfn.XLOOKUP(Data[[#This Row],[Material-Nhập]],MD_Main_SKU[Main SKU],MD_Main_SKU[SKU name_gom])</f>
        <v>WSS02</v>
      </c>
    </row>
    <row r="29" spans="1:11" x14ac:dyDescent="0.35">
      <c r="A29">
        <v>2024</v>
      </c>
      <c r="B29">
        <v>2</v>
      </c>
      <c r="C29" t="s">
        <v>14</v>
      </c>
      <c r="D29" t="s">
        <v>15</v>
      </c>
      <c r="E29" t="s">
        <v>22</v>
      </c>
      <c r="F29" t="s">
        <v>23</v>
      </c>
      <c r="G29" s="2">
        <v>0</v>
      </c>
      <c r="H29" s="2">
        <v>2200</v>
      </c>
      <c r="I29" s="2">
        <v>2200</v>
      </c>
      <c r="J29" s="2" t="str">
        <f>_xlfn.XLOOKUP(Data[[#This Row],[Main SKU]],MD_Main_SKU[Main SKU],MD_Main_SKU[SKU name_gom])</f>
        <v>iSS01084</v>
      </c>
      <c r="K29" s="2" t="str">
        <f>_xlfn.XLOOKUP(Data[[#This Row],[Material-Nhập]],MD_Main_SKU[Main SKU],MD_Main_SKU[SKU name_gom])</f>
        <v>WSS03</v>
      </c>
    </row>
    <row r="30" spans="1:11" x14ac:dyDescent="0.35">
      <c r="A30">
        <v>2024</v>
      </c>
      <c r="B30">
        <v>2</v>
      </c>
      <c r="C30" t="s">
        <v>16</v>
      </c>
      <c r="D30" t="s">
        <v>17</v>
      </c>
      <c r="E30" t="s">
        <v>16</v>
      </c>
      <c r="F30" t="s">
        <v>17</v>
      </c>
      <c r="G30" s="2">
        <v>1372302</v>
      </c>
      <c r="H30" s="2">
        <v>0</v>
      </c>
      <c r="I30" s="2">
        <v>1372302</v>
      </c>
      <c r="J30" s="2" t="str">
        <f>_xlfn.XLOOKUP(Data[[#This Row],[Main SKU]],MD_Main_SKU[Main SKU],MD_Main_SKU[SKU name_gom])</f>
        <v>WSS01</v>
      </c>
      <c r="K30" s="2" t="str">
        <f>_xlfn.XLOOKUP(Data[[#This Row],[Material-Nhập]],MD_Main_SKU[Main SKU],MD_Main_SKU[SKU name_gom])</f>
        <v>WSS01</v>
      </c>
    </row>
    <row r="31" spans="1:11" x14ac:dyDescent="0.35">
      <c r="A31">
        <v>2024</v>
      </c>
      <c r="B31">
        <v>2</v>
      </c>
      <c r="C31" t="s">
        <v>16</v>
      </c>
      <c r="D31" t="s">
        <v>17</v>
      </c>
      <c r="E31" t="s">
        <v>18</v>
      </c>
      <c r="F31" t="s">
        <v>19</v>
      </c>
      <c r="G31" s="2">
        <v>0</v>
      </c>
      <c r="H31" s="2">
        <v>134200</v>
      </c>
      <c r="I31" s="2">
        <v>134200</v>
      </c>
      <c r="J31" s="2" t="str">
        <f>_xlfn.XLOOKUP(Data[[#This Row],[Main SKU]],MD_Main_SKU[Main SKU],MD_Main_SKU[SKU name_gom])</f>
        <v>WSS01</v>
      </c>
      <c r="K31" s="2" t="str">
        <f>_xlfn.XLOOKUP(Data[[#This Row],[Material-Nhập]],MD_Main_SKU[Main SKU],MD_Main_SKU[SKU name_gom])</f>
        <v>iSS01</v>
      </c>
    </row>
    <row r="32" spans="1:11" x14ac:dyDescent="0.35">
      <c r="A32">
        <v>2024</v>
      </c>
      <c r="B32">
        <v>2</v>
      </c>
      <c r="C32" t="s">
        <v>16</v>
      </c>
      <c r="D32" t="s">
        <v>17</v>
      </c>
      <c r="E32" t="s">
        <v>20</v>
      </c>
      <c r="F32" t="s">
        <v>21</v>
      </c>
      <c r="G32" s="2">
        <v>0</v>
      </c>
      <c r="H32" s="2">
        <v>94600</v>
      </c>
      <c r="I32" s="2">
        <v>94600</v>
      </c>
      <c r="J32" s="2" t="str">
        <f>_xlfn.XLOOKUP(Data[[#This Row],[Main SKU]],MD_Main_SKU[Main SKU],MD_Main_SKU[SKU name_gom])</f>
        <v>WSS01</v>
      </c>
      <c r="K32" s="2" t="str">
        <f>_xlfn.XLOOKUP(Data[[#This Row],[Material-Nhập]],MD_Main_SKU[Main SKU],MD_Main_SKU[SKU name_gom])</f>
        <v>WSS02</v>
      </c>
    </row>
    <row r="33" spans="1:11" x14ac:dyDescent="0.35">
      <c r="A33">
        <v>2024</v>
      </c>
      <c r="B33">
        <v>2</v>
      </c>
      <c r="C33" t="s">
        <v>16</v>
      </c>
      <c r="D33" t="s">
        <v>17</v>
      </c>
      <c r="E33" t="s">
        <v>22</v>
      </c>
      <c r="F33" t="s">
        <v>23</v>
      </c>
      <c r="G33" s="2">
        <v>0</v>
      </c>
      <c r="H33" s="2">
        <v>4331</v>
      </c>
      <c r="I33" s="2">
        <v>4331</v>
      </c>
      <c r="J33" s="2" t="str">
        <f>_xlfn.XLOOKUP(Data[[#This Row],[Main SKU]],MD_Main_SKU[Main SKU],MD_Main_SKU[SKU name_gom])</f>
        <v>WSS01</v>
      </c>
      <c r="K33" s="2" t="str">
        <f>_xlfn.XLOOKUP(Data[[#This Row],[Material-Nhập]],MD_Main_SKU[Main SKU],MD_Main_SKU[SKU name_gom])</f>
        <v>WSS03</v>
      </c>
    </row>
    <row r="34" spans="1:11" x14ac:dyDescent="0.35">
      <c r="A34">
        <v>2024</v>
      </c>
      <c r="B34">
        <v>2</v>
      </c>
      <c r="C34" t="s">
        <v>24</v>
      </c>
      <c r="D34" t="s">
        <v>25</v>
      </c>
      <c r="E34" t="s">
        <v>20</v>
      </c>
      <c r="F34" t="s">
        <v>21</v>
      </c>
      <c r="G34" s="2">
        <v>0</v>
      </c>
      <c r="H34" s="2">
        <v>56100</v>
      </c>
      <c r="I34" s="2">
        <v>56100</v>
      </c>
      <c r="J34" s="2" t="str">
        <f>_xlfn.XLOOKUP(Data[[#This Row],[Main SKU]],MD_Main_SKU[Main SKU],MD_Main_SKU[SKU name_gom])</f>
        <v>WSS01</v>
      </c>
      <c r="K34" s="2" t="str">
        <f>_xlfn.XLOOKUP(Data[[#This Row],[Material-Nhập]],MD_Main_SKU[Main SKU],MD_Main_SKU[SKU name_gom])</f>
        <v>WSS02</v>
      </c>
    </row>
    <row r="35" spans="1:11" x14ac:dyDescent="0.35">
      <c r="A35">
        <v>2024</v>
      </c>
      <c r="B35">
        <v>2</v>
      </c>
      <c r="C35" t="s">
        <v>24</v>
      </c>
      <c r="D35" t="s">
        <v>25</v>
      </c>
      <c r="E35" t="s">
        <v>24</v>
      </c>
      <c r="F35" t="s">
        <v>25</v>
      </c>
      <c r="G35" s="2">
        <v>763400</v>
      </c>
      <c r="H35" s="2">
        <v>0</v>
      </c>
      <c r="I35" s="2">
        <v>763400</v>
      </c>
      <c r="J35" s="2" t="str">
        <f>_xlfn.XLOOKUP(Data[[#This Row],[Main SKU]],MD_Main_SKU[Main SKU],MD_Main_SKU[SKU name_gom])</f>
        <v>WSS01</v>
      </c>
      <c r="K35" s="2" t="str">
        <f>_xlfn.XLOOKUP(Data[[#This Row],[Material-Nhập]],MD_Main_SKU[Main SKU],MD_Main_SKU[SKU name_gom])</f>
        <v>WSS01</v>
      </c>
    </row>
    <row r="36" spans="1:11" x14ac:dyDescent="0.35">
      <c r="A36">
        <v>2024</v>
      </c>
      <c r="B36">
        <v>2</v>
      </c>
      <c r="C36" t="s">
        <v>24</v>
      </c>
      <c r="D36" t="s">
        <v>25</v>
      </c>
      <c r="E36" t="s">
        <v>26</v>
      </c>
      <c r="F36" t="s">
        <v>27</v>
      </c>
      <c r="G36" s="2">
        <v>0</v>
      </c>
      <c r="H36" s="2">
        <v>28599.999999999996</v>
      </c>
      <c r="I36" s="2">
        <v>28599.999999999996</v>
      </c>
      <c r="J36" s="2" t="str">
        <f>_xlfn.XLOOKUP(Data[[#This Row],[Main SKU]],MD_Main_SKU[Main SKU],MD_Main_SKU[SKU name_gom])</f>
        <v>WSS01</v>
      </c>
      <c r="K36" s="2" t="str">
        <f>_xlfn.XLOOKUP(Data[[#This Row],[Material-Nhập]],MD_Main_SKU[Main SKU],MD_Main_SKU[SKU name_gom])</f>
        <v>iSS01</v>
      </c>
    </row>
    <row r="37" spans="1:11" x14ac:dyDescent="0.35">
      <c r="A37">
        <v>2024</v>
      </c>
      <c r="B37">
        <v>3</v>
      </c>
      <c r="C37" t="s">
        <v>8</v>
      </c>
      <c r="D37" t="s">
        <v>9</v>
      </c>
      <c r="E37" t="s">
        <v>8</v>
      </c>
      <c r="F37" t="s">
        <v>9</v>
      </c>
      <c r="G37" s="2">
        <v>87929</v>
      </c>
      <c r="H37" s="2">
        <v>0</v>
      </c>
      <c r="I37" s="2">
        <v>87929</v>
      </c>
      <c r="J37" s="2" t="str">
        <f>_xlfn.XLOOKUP(Data[[#This Row],[Main SKU]],MD_Main_SKU[Main SKU],MD_Main_SKU[SKU name_gom])</f>
        <v>WSS01</v>
      </c>
      <c r="K37" s="2" t="str">
        <f>_xlfn.XLOOKUP(Data[[#This Row],[Material-Nhập]],MD_Main_SKU[Main SKU],MD_Main_SKU[SKU name_gom])</f>
        <v>WSS01</v>
      </c>
    </row>
    <row r="38" spans="1:11" x14ac:dyDescent="0.35">
      <c r="A38">
        <v>2024</v>
      </c>
      <c r="B38">
        <v>3</v>
      </c>
      <c r="C38" t="s">
        <v>8</v>
      </c>
      <c r="D38" t="s">
        <v>9</v>
      </c>
      <c r="E38" t="s">
        <v>12</v>
      </c>
      <c r="F38" t="s">
        <v>13</v>
      </c>
      <c r="G38" s="2">
        <v>0</v>
      </c>
      <c r="H38" s="2">
        <v>1100</v>
      </c>
      <c r="I38" s="2">
        <v>1100</v>
      </c>
      <c r="J38" s="2" t="str">
        <f>_xlfn.XLOOKUP(Data[[#This Row],[Main SKU]],MD_Main_SKU[Main SKU],MD_Main_SKU[SKU name_gom])</f>
        <v>WSS01</v>
      </c>
      <c r="K38" s="2" t="str">
        <f>_xlfn.XLOOKUP(Data[[#This Row],[Material-Nhập]],MD_Main_SKU[Main SKU],MD_Main_SKU[SKU name_gom])</f>
        <v>WSS03</v>
      </c>
    </row>
    <row r="39" spans="1:11" x14ac:dyDescent="0.35">
      <c r="A39">
        <v>2024</v>
      </c>
      <c r="B39">
        <v>3</v>
      </c>
      <c r="C39" t="s">
        <v>14</v>
      </c>
      <c r="D39" t="s">
        <v>15</v>
      </c>
      <c r="E39" t="s">
        <v>14</v>
      </c>
      <c r="F39" t="s">
        <v>15</v>
      </c>
      <c r="G39" s="2">
        <v>28600</v>
      </c>
      <c r="H39" s="2">
        <v>0</v>
      </c>
      <c r="I39" s="2">
        <v>28600</v>
      </c>
      <c r="J39" s="2" t="str">
        <f>_xlfn.XLOOKUP(Data[[#This Row],[Main SKU]],MD_Main_SKU[Main SKU],MD_Main_SKU[SKU name_gom])</f>
        <v>iSS01084</v>
      </c>
      <c r="K39" s="2" t="str">
        <f>_xlfn.XLOOKUP(Data[[#This Row],[Material-Nhập]],MD_Main_SKU[Main SKU],MD_Main_SKU[SKU name_gom])</f>
        <v>iSS01084</v>
      </c>
    </row>
    <row r="40" spans="1:11" x14ac:dyDescent="0.35">
      <c r="A40">
        <v>2024</v>
      </c>
      <c r="B40">
        <v>3</v>
      </c>
      <c r="C40" t="s">
        <v>14</v>
      </c>
      <c r="D40" t="s">
        <v>15</v>
      </c>
      <c r="E40" t="s">
        <v>16</v>
      </c>
      <c r="F40" t="s">
        <v>17</v>
      </c>
      <c r="G40" s="2">
        <v>0</v>
      </c>
      <c r="H40" s="2">
        <v>1100</v>
      </c>
      <c r="I40" s="2">
        <v>1100</v>
      </c>
      <c r="J40" s="2" t="str">
        <f>_xlfn.XLOOKUP(Data[[#This Row],[Main SKU]],MD_Main_SKU[Main SKU],MD_Main_SKU[SKU name_gom])</f>
        <v>iSS01084</v>
      </c>
      <c r="K40" s="2" t="str">
        <f>_xlfn.XLOOKUP(Data[[#This Row],[Material-Nhập]],MD_Main_SKU[Main SKU],MD_Main_SKU[SKU name_gom])</f>
        <v>WSS01</v>
      </c>
    </row>
    <row r="41" spans="1:11" x14ac:dyDescent="0.35">
      <c r="A41">
        <v>2024</v>
      </c>
      <c r="B41">
        <v>3</v>
      </c>
      <c r="C41" t="s">
        <v>14</v>
      </c>
      <c r="D41" t="s">
        <v>15</v>
      </c>
      <c r="E41" t="s">
        <v>18</v>
      </c>
      <c r="F41" t="s">
        <v>19</v>
      </c>
      <c r="G41" s="2">
        <v>0</v>
      </c>
      <c r="H41" s="2">
        <v>9900</v>
      </c>
      <c r="I41" s="2">
        <v>9900</v>
      </c>
      <c r="J41" s="2" t="str">
        <f>_xlfn.XLOOKUP(Data[[#This Row],[Main SKU]],MD_Main_SKU[Main SKU],MD_Main_SKU[SKU name_gom])</f>
        <v>iSS01084</v>
      </c>
      <c r="K41" s="2" t="str">
        <f>_xlfn.XLOOKUP(Data[[#This Row],[Material-Nhập]],MD_Main_SKU[Main SKU],MD_Main_SKU[SKU name_gom])</f>
        <v>iSS01</v>
      </c>
    </row>
    <row r="42" spans="1:11" x14ac:dyDescent="0.35">
      <c r="A42">
        <v>2024</v>
      </c>
      <c r="B42">
        <v>3</v>
      </c>
      <c r="C42" t="s">
        <v>14</v>
      </c>
      <c r="D42" t="s">
        <v>15</v>
      </c>
      <c r="E42" t="s">
        <v>22</v>
      </c>
      <c r="F42" t="s">
        <v>23</v>
      </c>
      <c r="G42" s="2">
        <v>0</v>
      </c>
      <c r="H42" s="2">
        <v>2200</v>
      </c>
      <c r="I42" s="2">
        <v>2200</v>
      </c>
      <c r="J42" s="2" t="str">
        <f>_xlfn.XLOOKUP(Data[[#This Row],[Main SKU]],MD_Main_SKU[Main SKU],MD_Main_SKU[SKU name_gom])</f>
        <v>iSS01084</v>
      </c>
      <c r="K42" s="2" t="str">
        <f>_xlfn.XLOOKUP(Data[[#This Row],[Material-Nhập]],MD_Main_SKU[Main SKU],MD_Main_SKU[SKU name_gom])</f>
        <v>WSS03</v>
      </c>
    </row>
    <row r="43" spans="1:11" x14ac:dyDescent="0.35">
      <c r="A43">
        <v>2024</v>
      </c>
      <c r="B43">
        <v>3</v>
      </c>
      <c r="C43" t="s">
        <v>16</v>
      </c>
      <c r="D43" t="s">
        <v>17</v>
      </c>
      <c r="E43" t="s">
        <v>16</v>
      </c>
      <c r="F43" t="s">
        <v>17</v>
      </c>
      <c r="G43" s="2">
        <v>2314399.9999999995</v>
      </c>
      <c r="H43" s="2">
        <v>0</v>
      </c>
      <c r="I43" s="2">
        <v>2314399.9999999995</v>
      </c>
      <c r="J43" s="2" t="str">
        <f>_xlfn.XLOOKUP(Data[[#This Row],[Main SKU]],MD_Main_SKU[Main SKU],MD_Main_SKU[SKU name_gom])</f>
        <v>WSS01</v>
      </c>
      <c r="K43" s="2" t="str">
        <f>_xlfn.XLOOKUP(Data[[#This Row],[Material-Nhập]],MD_Main_SKU[Main SKU],MD_Main_SKU[SKU name_gom])</f>
        <v>WSS01</v>
      </c>
    </row>
    <row r="44" spans="1:11" x14ac:dyDescent="0.35">
      <c r="A44">
        <v>2024</v>
      </c>
      <c r="B44">
        <v>3</v>
      </c>
      <c r="C44" t="s">
        <v>16</v>
      </c>
      <c r="D44" t="s">
        <v>17</v>
      </c>
      <c r="E44" t="s">
        <v>18</v>
      </c>
      <c r="F44" t="s">
        <v>19</v>
      </c>
      <c r="G44" s="2">
        <v>0</v>
      </c>
      <c r="H44" s="2">
        <v>366300</v>
      </c>
      <c r="I44" s="2">
        <v>366300</v>
      </c>
      <c r="J44" s="2" t="str">
        <f>_xlfn.XLOOKUP(Data[[#This Row],[Main SKU]],MD_Main_SKU[Main SKU],MD_Main_SKU[SKU name_gom])</f>
        <v>WSS01</v>
      </c>
      <c r="K44" s="2" t="str">
        <f>_xlfn.XLOOKUP(Data[[#This Row],[Material-Nhập]],MD_Main_SKU[Main SKU],MD_Main_SKU[SKU name_gom])</f>
        <v>iSS01</v>
      </c>
    </row>
    <row r="45" spans="1:11" x14ac:dyDescent="0.35">
      <c r="A45">
        <v>2024</v>
      </c>
      <c r="B45">
        <v>3</v>
      </c>
      <c r="C45" t="s">
        <v>16</v>
      </c>
      <c r="D45" t="s">
        <v>17</v>
      </c>
      <c r="E45" t="s">
        <v>20</v>
      </c>
      <c r="F45" t="s">
        <v>21</v>
      </c>
      <c r="G45" s="2">
        <v>0</v>
      </c>
      <c r="H45" s="2">
        <v>83600</v>
      </c>
      <c r="I45" s="2">
        <v>83600</v>
      </c>
      <c r="J45" s="2" t="str">
        <f>_xlfn.XLOOKUP(Data[[#This Row],[Main SKU]],MD_Main_SKU[Main SKU],MD_Main_SKU[SKU name_gom])</f>
        <v>WSS01</v>
      </c>
      <c r="K45" s="2" t="str">
        <f>_xlfn.XLOOKUP(Data[[#This Row],[Material-Nhập]],MD_Main_SKU[Main SKU],MD_Main_SKU[SKU name_gom])</f>
        <v>WSS02</v>
      </c>
    </row>
    <row r="46" spans="1:11" x14ac:dyDescent="0.35">
      <c r="A46">
        <v>2024</v>
      </c>
      <c r="B46">
        <v>3</v>
      </c>
      <c r="C46" t="s">
        <v>16</v>
      </c>
      <c r="D46" t="s">
        <v>17</v>
      </c>
      <c r="E46" t="s">
        <v>22</v>
      </c>
      <c r="F46" t="s">
        <v>23</v>
      </c>
      <c r="G46" s="2">
        <v>0</v>
      </c>
      <c r="H46" s="2">
        <v>14300</v>
      </c>
      <c r="I46" s="2">
        <v>14300</v>
      </c>
      <c r="J46" s="2" t="str">
        <f>_xlfn.XLOOKUP(Data[[#This Row],[Main SKU]],MD_Main_SKU[Main SKU],MD_Main_SKU[SKU name_gom])</f>
        <v>WSS01</v>
      </c>
      <c r="K46" s="2" t="str">
        <f>_xlfn.XLOOKUP(Data[[#This Row],[Material-Nhập]],MD_Main_SKU[Main SKU],MD_Main_SKU[SKU name_gom])</f>
        <v>WSS03</v>
      </c>
    </row>
    <row r="47" spans="1:11" x14ac:dyDescent="0.35">
      <c r="A47">
        <v>2024</v>
      </c>
      <c r="B47">
        <v>3</v>
      </c>
      <c r="C47" t="s">
        <v>24</v>
      </c>
      <c r="D47" t="s">
        <v>25</v>
      </c>
      <c r="E47" t="s">
        <v>20</v>
      </c>
      <c r="F47" t="s">
        <v>21</v>
      </c>
      <c r="G47" s="2">
        <v>0</v>
      </c>
      <c r="H47" s="2">
        <v>35200</v>
      </c>
      <c r="I47" s="2">
        <v>35200</v>
      </c>
      <c r="J47" s="2" t="str">
        <f>_xlfn.XLOOKUP(Data[[#This Row],[Main SKU]],MD_Main_SKU[Main SKU],MD_Main_SKU[SKU name_gom])</f>
        <v>WSS01</v>
      </c>
      <c r="K47" s="2" t="str">
        <f>_xlfn.XLOOKUP(Data[[#This Row],[Material-Nhập]],MD_Main_SKU[Main SKU],MD_Main_SKU[SKU name_gom])</f>
        <v>WSS02</v>
      </c>
    </row>
    <row r="48" spans="1:11" x14ac:dyDescent="0.35">
      <c r="A48">
        <v>2024</v>
      </c>
      <c r="B48">
        <v>3</v>
      </c>
      <c r="C48" t="s">
        <v>24</v>
      </c>
      <c r="D48" t="s">
        <v>25</v>
      </c>
      <c r="E48" t="s">
        <v>24</v>
      </c>
      <c r="F48" t="s">
        <v>25</v>
      </c>
      <c r="G48" s="2">
        <v>940500</v>
      </c>
      <c r="H48" s="2">
        <v>0</v>
      </c>
      <c r="I48" s="2">
        <v>940500</v>
      </c>
      <c r="J48" s="2" t="str">
        <f>_xlfn.XLOOKUP(Data[[#This Row],[Main SKU]],MD_Main_SKU[Main SKU],MD_Main_SKU[SKU name_gom])</f>
        <v>WSS01</v>
      </c>
      <c r="K48" s="2" t="str">
        <f>_xlfn.XLOOKUP(Data[[#This Row],[Material-Nhập]],MD_Main_SKU[Main SKU],MD_Main_SKU[SKU name_gom])</f>
        <v>WSS01</v>
      </c>
    </row>
    <row r="49" spans="1:11" x14ac:dyDescent="0.35">
      <c r="A49">
        <v>2024</v>
      </c>
      <c r="B49">
        <v>3</v>
      </c>
      <c r="C49" t="s">
        <v>24</v>
      </c>
      <c r="D49" t="s">
        <v>25</v>
      </c>
      <c r="E49" t="s">
        <v>26</v>
      </c>
      <c r="F49" t="s">
        <v>27</v>
      </c>
      <c r="G49" s="2">
        <v>0</v>
      </c>
      <c r="H49" s="2">
        <v>64900</v>
      </c>
      <c r="I49" s="2">
        <v>64900</v>
      </c>
      <c r="J49" s="2" t="str">
        <f>_xlfn.XLOOKUP(Data[[#This Row],[Main SKU]],MD_Main_SKU[Main SKU],MD_Main_SKU[SKU name_gom])</f>
        <v>WSS01</v>
      </c>
      <c r="K49" s="2" t="str">
        <f>_xlfn.XLOOKUP(Data[[#This Row],[Material-Nhập]],MD_Main_SKU[Main SKU],MD_Main_SKU[SKU name_gom])</f>
        <v>iSS01</v>
      </c>
    </row>
    <row r="50" spans="1:11" x14ac:dyDescent="0.35">
      <c r="A50">
        <v>2024</v>
      </c>
      <c r="B50">
        <v>4</v>
      </c>
      <c r="C50" t="s">
        <v>14</v>
      </c>
      <c r="D50" t="s">
        <v>15</v>
      </c>
      <c r="E50" t="s">
        <v>14</v>
      </c>
      <c r="F50" t="s">
        <v>15</v>
      </c>
      <c r="G50" s="2">
        <v>126500.00000000001</v>
      </c>
      <c r="H50" s="2">
        <v>0</v>
      </c>
      <c r="I50" s="2">
        <v>126500.00000000001</v>
      </c>
      <c r="J50" s="2" t="str">
        <f>_xlfn.XLOOKUP(Data[[#This Row],[Main SKU]],MD_Main_SKU[Main SKU],MD_Main_SKU[SKU name_gom])</f>
        <v>iSS01084</v>
      </c>
      <c r="K50" s="2" t="str">
        <f>_xlfn.XLOOKUP(Data[[#This Row],[Material-Nhập]],MD_Main_SKU[Main SKU],MD_Main_SKU[SKU name_gom])</f>
        <v>iSS01084</v>
      </c>
    </row>
    <row r="51" spans="1:11" x14ac:dyDescent="0.35">
      <c r="A51">
        <v>2024</v>
      </c>
      <c r="B51">
        <v>4</v>
      </c>
      <c r="C51" t="s">
        <v>14</v>
      </c>
      <c r="D51" t="s">
        <v>15</v>
      </c>
      <c r="E51" t="s">
        <v>18</v>
      </c>
      <c r="F51" t="s">
        <v>19</v>
      </c>
      <c r="G51" s="2">
        <v>0</v>
      </c>
      <c r="H51" s="2">
        <v>7700</v>
      </c>
      <c r="I51" s="2">
        <v>7700</v>
      </c>
      <c r="J51" s="2" t="str">
        <f>_xlfn.XLOOKUP(Data[[#This Row],[Main SKU]],MD_Main_SKU[Main SKU],MD_Main_SKU[SKU name_gom])</f>
        <v>iSS01084</v>
      </c>
      <c r="K51" s="2" t="str">
        <f>_xlfn.XLOOKUP(Data[[#This Row],[Material-Nhập]],MD_Main_SKU[Main SKU],MD_Main_SKU[SKU name_gom])</f>
        <v>iSS01</v>
      </c>
    </row>
    <row r="52" spans="1:11" x14ac:dyDescent="0.35">
      <c r="A52">
        <v>2024</v>
      </c>
      <c r="B52">
        <v>4</v>
      </c>
      <c r="C52" t="s">
        <v>16</v>
      </c>
      <c r="D52" t="s">
        <v>17</v>
      </c>
      <c r="E52" t="s">
        <v>14</v>
      </c>
      <c r="F52" t="s">
        <v>15</v>
      </c>
      <c r="G52" s="2">
        <v>0</v>
      </c>
      <c r="H52" s="2">
        <v>1100</v>
      </c>
      <c r="I52" s="2">
        <v>1100</v>
      </c>
      <c r="J52" s="2" t="str">
        <f>_xlfn.XLOOKUP(Data[[#This Row],[Main SKU]],MD_Main_SKU[Main SKU],MD_Main_SKU[SKU name_gom])</f>
        <v>WSS01</v>
      </c>
      <c r="K52" s="2" t="str">
        <f>_xlfn.XLOOKUP(Data[[#This Row],[Material-Nhập]],MD_Main_SKU[Main SKU],MD_Main_SKU[SKU name_gom])</f>
        <v>iSS01084</v>
      </c>
    </row>
    <row r="53" spans="1:11" x14ac:dyDescent="0.35">
      <c r="A53">
        <v>2024</v>
      </c>
      <c r="B53">
        <v>4</v>
      </c>
      <c r="C53" t="s">
        <v>16</v>
      </c>
      <c r="D53" t="s">
        <v>17</v>
      </c>
      <c r="E53" t="s">
        <v>16</v>
      </c>
      <c r="F53" t="s">
        <v>17</v>
      </c>
      <c r="G53" s="2">
        <v>698500</v>
      </c>
      <c r="H53" s="2">
        <v>0</v>
      </c>
      <c r="I53" s="2">
        <v>698500</v>
      </c>
      <c r="J53" s="2" t="str">
        <f>_xlfn.XLOOKUP(Data[[#This Row],[Main SKU]],MD_Main_SKU[Main SKU],MD_Main_SKU[SKU name_gom])</f>
        <v>WSS01</v>
      </c>
      <c r="K53" s="2" t="str">
        <f>_xlfn.XLOOKUP(Data[[#This Row],[Material-Nhập]],MD_Main_SKU[Main SKU],MD_Main_SKU[SKU name_gom])</f>
        <v>WSS01</v>
      </c>
    </row>
    <row r="54" spans="1:11" x14ac:dyDescent="0.35">
      <c r="A54">
        <v>2024</v>
      </c>
      <c r="B54">
        <v>4</v>
      </c>
      <c r="C54" t="s">
        <v>16</v>
      </c>
      <c r="D54" t="s">
        <v>17</v>
      </c>
      <c r="E54" t="s">
        <v>18</v>
      </c>
      <c r="F54" t="s">
        <v>19</v>
      </c>
      <c r="G54" s="2">
        <v>0</v>
      </c>
      <c r="H54" s="2">
        <v>214501.00000000003</v>
      </c>
      <c r="I54" s="2">
        <v>214501.00000000003</v>
      </c>
      <c r="J54" s="2" t="str">
        <f>_xlfn.XLOOKUP(Data[[#This Row],[Main SKU]],MD_Main_SKU[Main SKU],MD_Main_SKU[SKU name_gom])</f>
        <v>WSS01</v>
      </c>
      <c r="K54" s="2" t="str">
        <f>_xlfn.XLOOKUP(Data[[#This Row],[Material-Nhập]],MD_Main_SKU[Main SKU],MD_Main_SKU[SKU name_gom])</f>
        <v>iSS01</v>
      </c>
    </row>
    <row r="55" spans="1:11" x14ac:dyDescent="0.35">
      <c r="A55">
        <v>2024</v>
      </c>
      <c r="B55">
        <v>4</v>
      </c>
      <c r="C55" t="s">
        <v>16</v>
      </c>
      <c r="D55" t="s">
        <v>17</v>
      </c>
      <c r="E55" t="s">
        <v>20</v>
      </c>
      <c r="F55" t="s">
        <v>21</v>
      </c>
      <c r="G55" s="2">
        <v>0</v>
      </c>
      <c r="H55" s="2">
        <v>39600</v>
      </c>
      <c r="I55" s="2">
        <v>39600</v>
      </c>
      <c r="J55" s="2" t="str">
        <f>_xlfn.XLOOKUP(Data[[#This Row],[Main SKU]],MD_Main_SKU[Main SKU],MD_Main_SKU[SKU name_gom])</f>
        <v>WSS01</v>
      </c>
      <c r="K55" s="2" t="str">
        <f>_xlfn.XLOOKUP(Data[[#This Row],[Material-Nhập]],MD_Main_SKU[Main SKU],MD_Main_SKU[SKU name_gom])</f>
        <v>WSS02</v>
      </c>
    </row>
    <row r="56" spans="1:11" x14ac:dyDescent="0.35">
      <c r="A56">
        <v>2024</v>
      </c>
      <c r="B56">
        <v>4</v>
      </c>
      <c r="C56" t="s">
        <v>16</v>
      </c>
      <c r="D56" t="s">
        <v>17</v>
      </c>
      <c r="E56" t="s">
        <v>22</v>
      </c>
      <c r="F56" t="s">
        <v>23</v>
      </c>
      <c r="G56" s="2">
        <v>0</v>
      </c>
      <c r="H56" s="2">
        <v>8800</v>
      </c>
      <c r="I56" s="2">
        <v>8800</v>
      </c>
      <c r="J56" s="2" t="str">
        <f>_xlfn.XLOOKUP(Data[[#This Row],[Main SKU]],MD_Main_SKU[Main SKU],MD_Main_SKU[SKU name_gom])</f>
        <v>WSS01</v>
      </c>
      <c r="K56" s="2" t="str">
        <f>_xlfn.XLOOKUP(Data[[#This Row],[Material-Nhập]],MD_Main_SKU[Main SKU],MD_Main_SKU[SKU name_gom])</f>
        <v>WSS03</v>
      </c>
    </row>
    <row r="57" spans="1:11" x14ac:dyDescent="0.35">
      <c r="A57">
        <v>2024</v>
      </c>
      <c r="B57">
        <v>4</v>
      </c>
      <c r="C57" t="s">
        <v>24</v>
      </c>
      <c r="D57" t="s">
        <v>25</v>
      </c>
      <c r="E57" t="s">
        <v>20</v>
      </c>
      <c r="F57" t="s">
        <v>21</v>
      </c>
      <c r="G57" s="2">
        <v>0</v>
      </c>
      <c r="H57" s="2">
        <v>7700</v>
      </c>
      <c r="I57" s="2">
        <v>7700</v>
      </c>
      <c r="J57" s="2" t="str">
        <f>_xlfn.XLOOKUP(Data[[#This Row],[Main SKU]],MD_Main_SKU[Main SKU],MD_Main_SKU[SKU name_gom])</f>
        <v>WSS01</v>
      </c>
      <c r="K57" s="2" t="str">
        <f>_xlfn.XLOOKUP(Data[[#This Row],[Material-Nhập]],MD_Main_SKU[Main SKU],MD_Main_SKU[SKU name_gom])</f>
        <v>WSS02</v>
      </c>
    </row>
    <row r="58" spans="1:11" x14ac:dyDescent="0.35">
      <c r="A58">
        <v>2024</v>
      </c>
      <c r="B58">
        <v>4</v>
      </c>
      <c r="C58" t="s">
        <v>24</v>
      </c>
      <c r="D58" t="s">
        <v>25</v>
      </c>
      <c r="E58" t="s">
        <v>22</v>
      </c>
      <c r="F58" t="s">
        <v>23</v>
      </c>
      <c r="G58" s="2">
        <v>0</v>
      </c>
      <c r="H58" s="2">
        <v>6600</v>
      </c>
      <c r="I58" s="2">
        <v>6600</v>
      </c>
      <c r="J58" s="2" t="str">
        <f>_xlfn.XLOOKUP(Data[[#This Row],[Main SKU]],MD_Main_SKU[Main SKU],MD_Main_SKU[SKU name_gom])</f>
        <v>WSS01</v>
      </c>
      <c r="K58" s="2" t="str">
        <f>_xlfn.XLOOKUP(Data[[#This Row],[Material-Nhập]],MD_Main_SKU[Main SKU],MD_Main_SKU[SKU name_gom])</f>
        <v>WSS03</v>
      </c>
    </row>
    <row r="59" spans="1:11" x14ac:dyDescent="0.35">
      <c r="A59">
        <v>2024</v>
      </c>
      <c r="B59">
        <v>4</v>
      </c>
      <c r="C59" t="s">
        <v>24</v>
      </c>
      <c r="D59" t="s">
        <v>25</v>
      </c>
      <c r="E59" t="s">
        <v>24</v>
      </c>
      <c r="F59" t="s">
        <v>25</v>
      </c>
      <c r="G59" s="2">
        <v>346500</v>
      </c>
      <c r="H59" s="2">
        <v>0</v>
      </c>
      <c r="I59" s="2">
        <v>346500</v>
      </c>
      <c r="J59" s="2" t="str">
        <f>_xlfn.XLOOKUP(Data[[#This Row],[Main SKU]],MD_Main_SKU[Main SKU],MD_Main_SKU[SKU name_gom])</f>
        <v>WSS01</v>
      </c>
      <c r="K59" s="2" t="str">
        <f>_xlfn.XLOOKUP(Data[[#This Row],[Material-Nhập]],MD_Main_SKU[Main SKU],MD_Main_SKU[SKU name_gom])</f>
        <v>WSS01</v>
      </c>
    </row>
    <row r="60" spans="1:11" x14ac:dyDescent="0.35">
      <c r="A60">
        <v>2024</v>
      </c>
      <c r="B60">
        <v>4</v>
      </c>
      <c r="C60" t="s">
        <v>24</v>
      </c>
      <c r="D60" t="s">
        <v>25</v>
      </c>
      <c r="E60" t="s">
        <v>26</v>
      </c>
      <c r="F60" t="s">
        <v>27</v>
      </c>
      <c r="G60" s="2">
        <v>0</v>
      </c>
      <c r="H60" s="2">
        <v>18700</v>
      </c>
      <c r="I60" s="2">
        <v>18700</v>
      </c>
      <c r="J60" s="2" t="str">
        <f>_xlfn.XLOOKUP(Data[[#This Row],[Main SKU]],MD_Main_SKU[Main SKU],MD_Main_SKU[SKU name_gom])</f>
        <v>WSS01</v>
      </c>
      <c r="K60" s="2" t="str">
        <f>_xlfn.XLOOKUP(Data[[#This Row],[Material-Nhập]],MD_Main_SKU[Main SKU],MD_Main_SKU[SKU name_gom])</f>
        <v>iSS01</v>
      </c>
    </row>
    <row r="61" spans="1:11" x14ac:dyDescent="0.35">
      <c r="A61">
        <v>2024</v>
      </c>
      <c r="B61">
        <v>5</v>
      </c>
      <c r="C61" t="s">
        <v>8</v>
      </c>
      <c r="D61" t="s">
        <v>9</v>
      </c>
      <c r="E61" t="s">
        <v>8</v>
      </c>
      <c r="F61" t="s">
        <v>9</v>
      </c>
      <c r="G61" s="2">
        <v>27500</v>
      </c>
      <c r="H61" s="2">
        <v>0</v>
      </c>
      <c r="I61" s="2">
        <v>27500</v>
      </c>
      <c r="J61" s="2" t="str">
        <f>_xlfn.XLOOKUP(Data[[#This Row],[Main SKU]],MD_Main_SKU[Main SKU],MD_Main_SKU[SKU name_gom])</f>
        <v>WSS01</v>
      </c>
      <c r="K61" s="2" t="str">
        <f>_xlfn.XLOOKUP(Data[[#This Row],[Material-Nhập]],MD_Main_SKU[Main SKU],MD_Main_SKU[SKU name_gom])</f>
        <v>WSS01</v>
      </c>
    </row>
    <row r="62" spans="1:11" x14ac:dyDescent="0.35">
      <c r="A62">
        <v>2024</v>
      </c>
      <c r="B62">
        <v>5</v>
      </c>
      <c r="C62" t="s">
        <v>8</v>
      </c>
      <c r="D62" t="s">
        <v>9</v>
      </c>
      <c r="E62" t="s">
        <v>10</v>
      </c>
      <c r="F62" t="s">
        <v>11</v>
      </c>
      <c r="G62" s="2">
        <v>0</v>
      </c>
      <c r="H62" s="2">
        <v>7700</v>
      </c>
      <c r="I62" s="2">
        <v>7700</v>
      </c>
      <c r="J62" s="2" t="str">
        <f>_xlfn.XLOOKUP(Data[[#This Row],[Main SKU]],MD_Main_SKU[Main SKU],MD_Main_SKU[SKU name_gom])</f>
        <v>WSS01</v>
      </c>
      <c r="K62" s="2" t="str">
        <f>_xlfn.XLOOKUP(Data[[#This Row],[Material-Nhập]],MD_Main_SKU[Main SKU],MD_Main_SKU[SKU name_gom])</f>
        <v>WSS02</v>
      </c>
    </row>
    <row r="63" spans="1:11" x14ac:dyDescent="0.35">
      <c r="A63">
        <v>2024</v>
      </c>
      <c r="B63">
        <v>5</v>
      </c>
      <c r="C63" t="s">
        <v>14</v>
      </c>
      <c r="D63" t="s">
        <v>15</v>
      </c>
      <c r="E63" t="s">
        <v>14</v>
      </c>
      <c r="F63" t="s">
        <v>15</v>
      </c>
      <c r="G63" s="2">
        <v>196900</v>
      </c>
      <c r="H63" s="2">
        <v>0</v>
      </c>
      <c r="I63" s="2">
        <v>196900</v>
      </c>
      <c r="J63" s="2" t="str">
        <f>_xlfn.XLOOKUP(Data[[#This Row],[Main SKU]],MD_Main_SKU[Main SKU],MD_Main_SKU[SKU name_gom])</f>
        <v>iSS01084</v>
      </c>
      <c r="K63" s="2" t="str">
        <f>_xlfn.XLOOKUP(Data[[#This Row],[Material-Nhập]],MD_Main_SKU[Main SKU],MD_Main_SKU[SKU name_gom])</f>
        <v>iSS01084</v>
      </c>
    </row>
    <row r="64" spans="1:11" x14ac:dyDescent="0.35">
      <c r="A64">
        <v>2024</v>
      </c>
      <c r="B64">
        <v>5</v>
      </c>
      <c r="C64" t="s">
        <v>14</v>
      </c>
      <c r="D64" t="s">
        <v>15</v>
      </c>
      <c r="E64" t="s">
        <v>12</v>
      </c>
      <c r="F64" t="s">
        <v>13</v>
      </c>
      <c r="G64" s="2">
        <v>0</v>
      </c>
      <c r="H64" s="2">
        <v>1100</v>
      </c>
      <c r="I64" s="2">
        <v>1100</v>
      </c>
      <c r="J64" s="2" t="str">
        <f>_xlfn.XLOOKUP(Data[[#This Row],[Main SKU]],MD_Main_SKU[Main SKU],MD_Main_SKU[SKU name_gom])</f>
        <v>iSS01084</v>
      </c>
      <c r="K64" s="2" t="str">
        <f>_xlfn.XLOOKUP(Data[[#This Row],[Material-Nhập]],MD_Main_SKU[Main SKU],MD_Main_SKU[SKU name_gom])</f>
        <v>WSS03</v>
      </c>
    </row>
    <row r="65" spans="1:11" x14ac:dyDescent="0.35">
      <c r="A65">
        <v>2024</v>
      </c>
      <c r="B65">
        <v>5</v>
      </c>
      <c r="C65" t="s">
        <v>14</v>
      </c>
      <c r="D65" t="s">
        <v>15</v>
      </c>
      <c r="E65" t="s">
        <v>18</v>
      </c>
      <c r="F65" t="s">
        <v>19</v>
      </c>
      <c r="G65" s="2">
        <v>0</v>
      </c>
      <c r="H65" s="2">
        <v>42900</v>
      </c>
      <c r="I65" s="2">
        <v>42900</v>
      </c>
      <c r="J65" s="2" t="str">
        <f>_xlfn.XLOOKUP(Data[[#This Row],[Main SKU]],MD_Main_SKU[Main SKU],MD_Main_SKU[SKU name_gom])</f>
        <v>iSS01084</v>
      </c>
      <c r="K65" s="2" t="str">
        <f>_xlfn.XLOOKUP(Data[[#This Row],[Material-Nhập]],MD_Main_SKU[Main SKU],MD_Main_SKU[SKU name_gom])</f>
        <v>iSS01</v>
      </c>
    </row>
    <row r="66" spans="1:11" x14ac:dyDescent="0.35">
      <c r="A66">
        <v>2024</v>
      </c>
      <c r="B66">
        <v>5</v>
      </c>
      <c r="C66" t="s">
        <v>14</v>
      </c>
      <c r="D66" t="s">
        <v>15</v>
      </c>
      <c r="E66" t="s">
        <v>20</v>
      </c>
      <c r="F66" t="s">
        <v>21</v>
      </c>
      <c r="G66" s="2">
        <v>0</v>
      </c>
      <c r="H66" s="2">
        <v>4400</v>
      </c>
      <c r="I66" s="2">
        <v>4400</v>
      </c>
      <c r="J66" s="2" t="str">
        <f>_xlfn.XLOOKUP(Data[[#This Row],[Main SKU]],MD_Main_SKU[Main SKU],MD_Main_SKU[SKU name_gom])</f>
        <v>iSS01084</v>
      </c>
      <c r="K66" s="2" t="str">
        <f>_xlfn.XLOOKUP(Data[[#This Row],[Material-Nhập]],MD_Main_SKU[Main SKU],MD_Main_SKU[SKU name_gom])</f>
        <v>WSS02</v>
      </c>
    </row>
    <row r="67" spans="1:11" x14ac:dyDescent="0.35">
      <c r="A67">
        <v>2024</v>
      </c>
      <c r="B67">
        <v>5</v>
      </c>
      <c r="C67" t="s">
        <v>14</v>
      </c>
      <c r="D67" t="s">
        <v>15</v>
      </c>
      <c r="E67" t="s">
        <v>22</v>
      </c>
      <c r="F67" t="s">
        <v>23</v>
      </c>
      <c r="G67" s="2">
        <v>0</v>
      </c>
      <c r="H67" s="2">
        <v>4400</v>
      </c>
      <c r="I67" s="2">
        <v>4400</v>
      </c>
      <c r="J67" s="2" t="str">
        <f>_xlfn.XLOOKUP(Data[[#This Row],[Main SKU]],MD_Main_SKU[Main SKU],MD_Main_SKU[SKU name_gom])</f>
        <v>iSS01084</v>
      </c>
      <c r="K67" s="2" t="str">
        <f>_xlfn.XLOOKUP(Data[[#This Row],[Material-Nhập]],MD_Main_SKU[Main SKU],MD_Main_SKU[SKU name_gom])</f>
        <v>WSS03</v>
      </c>
    </row>
    <row r="68" spans="1:11" x14ac:dyDescent="0.35">
      <c r="A68">
        <v>2024</v>
      </c>
      <c r="B68">
        <v>5</v>
      </c>
      <c r="C68" t="s">
        <v>16</v>
      </c>
      <c r="D68" t="s">
        <v>17</v>
      </c>
      <c r="E68" t="s">
        <v>16</v>
      </c>
      <c r="F68" t="s">
        <v>17</v>
      </c>
      <c r="G68" s="2">
        <v>2633400.0000000005</v>
      </c>
      <c r="H68" s="2">
        <v>0</v>
      </c>
      <c r="I68" s="2">
        <v>2633400.0000000005</v>
      </c>
      <c r="J68" s="2" t="str">
        <f>_xlfn.XLOOKUP(Data[[#This Row],[Main SKU]],MD_Main_SKU[Main SKU],MD_Main_SKU[SKU name_gom])</f>
        <v>WSS01</v>
      </c>
      <c r="K68" s="2" t="str">
        <f>_xlfn.XLOOKUP(Data[[#This Row],[Material-Nhập]],MD_Main_SKU[Main SKU],MD_Main_SKU[SKU name_gom])</f>
        <v>WSS01</v>
      </c>
    </row>
    <row r="69" spans="1:11" x14ac:dyDescent="0.35">
      <c r="A69">
        <v>2024</v>
      </c>
      <c r="B69">
        <v>5</v>
      </c>
      <c r="C69" t="s">
        <v>16</v>
      </c>
      <c r="D69" t="s">
        <v>17</v>
      </c>
      <c r="E69" t="s">
        <v>18</v>
      </c>
      <c r="F69" t="s">
        <v>19</v>
      </c>
      <c r="G69" s="2">
        <v>0</v>
      </c>
      <c r="H69" s="2">
        <v>378400</v>
      </c>
      <c r="I69" s="2">
        <v>378400</v>
      </c>
      <c r="J69" s="2" t="str">
        <f>_xlfn.XLOOKUP(Data[[#This Row],[Main SKU]],MD_Main_SKU[Main SKU],MD_Main_SKU[SKU name_gom])</f>
        <v>WSS01</v>
      </c>
      <c r="K69" s="2" t="str">
        <f>_xlfn.XLOOKUP(Data[[#This Row],[Material-Nhập]],MD_Main_SKU[Main SKU],MD_Main_SKU[SKU name_gom])</f>
        <v>iSS01</v>
      </c>
    </row>
    <row r="70" spans="1:11" x14ac:dyDescent="0.35">
      <c r="A70">
        <v>2024</v>
      </c>
      <c r="B70">
        <v>5</v>
      </c>
      <c r="C70" t="s">
        <v>16</v>
      </c>
      <c r="D70" t="s">
        <v>17</v>
      </c>
      <c r="E70" t="s">
        <v>20</v>
      </c>
      <c r="F70" t="s">
        <v>21</v>
      </c>
      <c r="G70" s="2">
        <v>0</v>
      </c>
      <c r="H70" s="2">
        <v>154000</v>
      </c>
      <c r="I70" s="2">
        <v>154000</v>
      </c>
      <c r="J70" s="2" t="str">
        <f>_xlfn.XLOOKUP(Data[[#This Row],[Main SKU]],MD_Main_SKU[Main SKU],MD_Main_SKU[SKU name_gom])</f>
        <v>WSS01</v>
      </c>
      <c r="K70" s="2" t="str">
        <f>_xlfn.XLOOKUP(Data[[#This Row],[Material-Nhập]],MD_Main_SKU[Main SKU],MD_Main_SKU[SKU name_gom])</f>
        <v>WSS02</v>
      </c>
    </row>
    <row r="71" spans="1:11" x14ac:dyDescent="0.35">
      <c r="A71">
        <v>2024</v>
      </c>
      <c r="B71">
        <v>5</v>
      </c>
      <c r="C71" t="s">
        <v>16</v>
      </c>
      <c r="D71" t="s">
        <v>17</v>
      </c>
      <c r="E71" t="s">
        <v>22</v>
      </c>
      <c r="F71" t="s">
        <v>23</v>
      </c>
      <c r="G71" s="2">
        <v>0</v>
      </c>
      <c r="H71" s="2">
        <v>173799.99999999994</v>
      </c>
      <c r="I71" s="2">
        <v>173799.99999999994</v>
      </c>
      <c r="J71" s="2" t="str">
        <f>_xlfn.XLOOKUP(Data[[#This Row],[Main SKU]],MD_Main_SKU[Main SKU],MD_Main_SKU[SKU name_gom])</f>
        <v>WSS01</v>
      </c>
      <c r="K71" s="2" t="str">
        <f>_xlfn.XLOOKUP(Data[[#This Row],[Material-Nhập]],MD_Main_SKU[Main SKU],MD_Main_SKU[SKU name_gom])</f>
        <v>WSS03</v>
      </c>
    </row>
    <row r="72" spans="1:11" x14ac:dyDescent="0.35">
      <c r="A72">
        <v>2024</v>
      </c>
      <c r="B72">
        <v>5</v>
      </c>
      <c r="C72" t="s">
        <v>16</v>
      </c>
      <c r="D72" t="s">
        <v>17</v>
      </c>
      <c r="E72" t="s">
        <v>26</v>
      </c>
      <c r="F72" t="s">
        <v>27</v>
      </c>
      <c r="G72" s="2">
        <v>0</v>
      </c>
      <c r="H72" s="2">
        <v>39600</v>
      </c>
      <c r="I72" s="2">
        <v>39600</v>
      </c>
      <c r="J72" s="2" t="str">
        <f>_xlfn.XLOOKUP(Data[[#This Row],[Main SKU]],MD_Main_SKU[Main SKU],MD_Main_SKU[SKU name_gom])</f>
        <v>WSS01</v>
      </c>
      <c r="K72" s="2" t="str">
        <f>_xlfn.XLOOKUP(Data[[#This Row],[Material-Nhập]],MD_Main_SKU[Main SKU],MD_Main_SKU[SKU name_gom])</f>
        <v>iSS01</v>
      </c>
    </row>
    <row r="73" spans="1:11" x14ac:dyDescent="0.35">
      <c r="A73">
        <v>2024</v>
      </c>
      <c r="B73">
        <v>5</v>
      </c>
      <c r="C73" t="s">
        <v>24</v>
      </c>
      <c r="D73" t="s">
        <v>25</v>
      </c>
      <c r="E73" t="s">
        <v>20</v>
      </c>
      <c r="F73" t="s">
        <v>21</v>
      </c>
      <c r="G73" s="2">
        <v>0</v>
      </c>
      <c r="H73" s="2">
        <v>77000</v>
      </c>
      <c r="I73" s="2">
        <v>77000</v>
      </c>
      <c r="J73" s="2" t="str">
        <f>_xlfn.XLOOKUP(Data[[#This Row],[Main SKU]],MD_Main_SKU[Main SKU],MD_Main_SKU[SKU name_gom])</f>
        <v>WSS01</v>
      </c>
      <c r="K73" s="2" t="str">
        <f>_xlfn.XLOOKUP(Data[[#This Row],[Material-Nhập]],MD_Main_SKU[Main SKU],MD_Main_SKU[SKU name_gom])</f>
        <v>WSS02</v>
      </c>
    </row>
    <row r="74" spans="1:11" x14ac:dyDescent="0.35">
      <c r="A74">
        <v>2024</v>
      </c>
      <c r="B74">
        <v>5</v>
      </c>
      <c r="C74" t="s">
        <v>24</v>
      </c>
      <c r="D74" t="s">
        <v>25</v>
      </c>
      <c r="E74" t="s">
        <v>22</v>
      </c>
      <c r="F74" t="s">
        <v>23</v>
      </c>
      <c r="G74" s="2">
        <v>0</v>
      </c>
      <c r="H74" s="2">
        <v>101200</v>
      </c>
      <c r="I74" s="2">
        <v>101200</v>
      </c>
      <c r="J74" s="2" t="str">
        <f>_xlfn.XLOOKUP(Data[[#This Row],[Main SKU]],MD_Main_SKU[Main SKU],MD_Main_SKU[SKU name_gom])</f>
        <v>WSS01</v>
      </c>
      <c r="K74" s="2" t="str">
        <f>_xlfn.XLOOKUP(Data[[#This Row],[Material-Nhập]],MD_Main_SKU[Main SKU],MD_Main_SKU[SKU name_gom])</f>
        <v>WSS03</v>
      </c>
    </row>
    <row r="75" spans="1:11" x14ac:dyDescent="0.35">
      <c r="A75">
        <v>2024</v>
      </c>
      <c r="B75">
        <v>5</v>
      </c>
      <c r="C75" t="s">
        <v>24</v>
      </c>
      <c r="D75" t="s">
        <v>25</v>
      </c>
      <c r="E75" t="s">
        <v>24</v>
      </c>
      <c r="F75" t="s">
        <v>25</v>
      </c>
      <c r="G75" s="2">
        <v>550000</v>
      </c>
      <c r="H75" s="2">
        <v>0</v>
      </c>
      <c r="I75" s="2">
        <v>550000</v>
      </c>
      <c r="J75" s="2" t="str">
        <f>_xlfn.XLOOKUP(Data[[#This Row],[Main SKU]],MD_Main_SKU[Main SKU],MD_Main_SKU[SKU name_gom])</f>
        <v>WSS01</v>
      </c>
      <c r="K75" s="2" t="str">
        <f>_xlfn.XLOOKUP(Data[[#This Row],[Material-Nhập]],MD_Main_SKU[Main SKU],MD_Main_SKU[SKU name_gom])</f>
        <v>WSS01</v>
      </c>
    </row>
    <row r="76" spans="1:11" x14ac:dyDescent="0.35">
      <c r="A76">
        <v>2024</v>
      </c>
      <c r="B76">
        <v>5</v>
      </c>
      <c r="C76" t="s">
        <v>24</v>
      </c>
      <c r="D76" t="s">
        <v>25</v>
      </c>
      <c r="E76" t="s">
        <v>26</v>
      </c>
      <c r="F76" t="s">
        <v>27</v>
      </c>
      <c r="G76" s="2">
        <v>0</v>
      </c>
      <c r="H76" s="2">
        <v>14300</v>
      </c>
      <c r="I76" s="2">
        <v>14300</v>
      </c>
      <c r="J76" s="2" t="str">
        <f>_xlfn.XLOOKUP(Data[[#This Row],[Main SKU]],MD_Main_SKU[Main SKU],MD_Main_SKU[SKU name_gom])</f>
        <v>WSS01</v>
      </c>
      <c r="K76" s="2" t="str">
        <f>_xlfn.XLOOKUP(Data[[#This Row],[Material-Nhập]],MD_Main_SKU[Main SKU],MD_Main_SKU[SKU name_gom])</f>
        <v>iSS01</v>
      </c>
    </row>
    <row r="77" spans="1:11" x14ac:dyDescent="0.35">
      <c r="A77">
        <v>2024</v>
      </c>
      <c r="B77">
        <v>6</v>
      </c>
      <c r="C77" t="s">
        <v>8</v>
      </c>
      <c r="D77" t="s">
        <v>9</v>
      </c>
      <c r="E77" t="s">
        <v>8</v>
      </c>
      <c r="F77" t="s">
        <v>9</v>
      </c>
      <c r="G77" s="2">
        <v>12100</v>
      </c>
      <c r="H77" s="2">
        <v>0</v>
      </c>
      <c r="I77" s="2">
        <v>12100</v>
      </c>
      <c r="J77" s="2" t="str">
        <f>_xlfn.XLOOKUP(Data[[#This Row],[Main SKU]],MD_Main_SKU[Main SKU],MD_Main_SKU[SKU name_gom])</f>
        <v>WSS01</v>
      </c>
      <c r="K77" s="2" t="str">
        <f>_xlfn.XLOOKUP(Data[[#This Row],[Material-Nhập]],MD_Main_SKU[Main SKU],MD_Main_SKU[SKU name_gom])</f>
        <v>WSS01</v>
      </c>
    </row>
    <row r="78" spans="1:11" x14ac:dyDescent="0.35">
      <c r="A78">
        <v>2024</v>
      </c>
      <c r="B78">
        <v>6</v>
      </c>
      <c r="C78" t="s">
        <v>8</v>
      </c>
      <c r="D78" t="s">
        <v>9</v>
      </c>
      <c r="E78" t="s">
        <v>10</v>
      </c>
      <c r="F78" t="s">
        <v>11</v>
      </c>
      <c r="G78" s="2">
        <v>0</v>
      </c>
      <c r="H78" s="2">
        <v>1100</v>
      </c>
      <c r="I78" s="2">
        <v>1100</v>
      </c>
      <c r="J78" s="2" t="str">
        <f>_xlfn.XLOOKUP(Data[[#This Row],[Main SKU]],MD_Main_SKU[Main SKU],MD_Main_SKU[SKU name_gom])</f>
        <v>WSS01</v>
      </c>
      <c r="K78" s="2" t="str">
        <f>_xlfn.XLOOKUP(Data[[#This Row],[Material-Nhập]],MD_Main_SKU[Main SKU],MD_Main_SKU[SKU name_gom])</f>
        <v>WSS02</v>
      </c>
    </row>
    <row r="79" spans="1:11" x14ac:dyDescent="0.35">
      <c r="A79">
        <v>2024</v>
      </c>
      <c r="B79">
        <v>6</v>
      </c>
      <c r="C79" t="s">
        <v>14</v>
      </c>
      <c r="D79" t="s">
        <v>15</v>
      </c>
      <c r="E79" t="s">
        <v>14</v>
      </c>
      <c r="F79" t="s">
        <v>15</v>
      </c>
      <c r="G79" s="2">
        <v>193600</v>
      </c>
      <c r="H79" s="2">
        <v>0</v>
      </c>
      <c r="I79" s="2">
        <v>193600</v>
      </c>
      <c r="J79" s="2" t="str">
        <f>_xlfn.XLOOKUP(Data[[#This Row],[Main SKU]],MD_Main_SKU[Main SKU],MD_Main_SKU[SKU name_gom])</f>
        <v>iSS01084</v>
      </c>
      <c r="K79" s="2" t="str">
        <f>_xlfn.XLOOKUP(Data[[#This Row],[Material-Nhập]],MD_Main_SKU[Main SKU],MD_Main_SKU[SKU name_gom])</f>
        <v>iSS01084</v>
      </c>
    </row>
    <row r="80" spans="1:11" x14ac:dyDescent="0.35">
      <c r="A80">
        <v>2024</v>
      </c>
      <c r="B80">
        <v>6</v>
      </c>
      <c r="C80" t="s">
        <v>14</v>
      </c>
      <c r="D80" t="s">
        <v>15</v>
      </c>
      <c r="E80" t="s">
        <v>18</v>
      </c>
      <c r="F80" t="s">
        <v>19</v>
      </c>
      <c r="G80" s="2">
        <v>0</v>
      </c>
      <c r="H80" s="2">
        <v>4400</v>
      </c>
      <c r="I80" s="2">
        <v>4400</v>
      </c>
      <c r="J80" s="2" t="str">
        <f>_xlfn.XLOOKUP(Data[[#This Row],[Main SKU]],MD_Main_SKU[Main SKU],MD_Main_SKU[SKU name_gom])</f>
        <v>iSS01084</v>
      </c>
      <c r="K80" s="2" t="str">
        <f>_xlfn.XLOOKUP(Data[[#This Row],[Material-Nhập]],MD_Main_SKU[Main SKU],MD_Main_SKU[SKU name_gom])</f>
        <v>iSS01</v>
      </c>
    </row>
    <row r="81" spans="1:11" x14ac:dyDescent="0.35">
      <c r="A81">
        <v>2024</v>
      </c>
      <c r="B81">
        <v>6</v>
      </c>
      <c r="C81" t="s">
        <v>14</v>
      </c>
      <c r="D81" t="s">
        <v>15</v>
      </c>
      <c r="E81" t="s">
        <v>22</v>
      </c>
      <c r="F81" t="s">
        <v>23</v>
      </c>
      <c r="G81" s="2">
        <v>0</v>
      </c>
      <c r="H81" s="2">
        <v>1100</v>
      </c>
      <c r="I81" s="2">
        <v>1100</v>
      </c>
      <c r="J81" s="2" t="str">
        <f>_xlfn.XLOOKUP(Data[[#This Row],[Main SKU]],MD_Main_SKU[Main SKU],MD_Main_SKU[SKU name_gom])</f>
        <v>iSS01084</v>
      </c>
      <c r="K81" s="2" t="str">
        <f>_xlfn.XLOOKUP(Data[[#This Row],[Material-Nhập]],MD_Main_SKU[Main SKU],MD_Main_SKU[SKU name_gom])</f>
        <v>WSS03</v>
      </c>
    </row>
    <row r="82" spans="1:11" x14ac:dyDescent="0.35">
      <c r="A82">
        <v>2024</v>
      </c>
      <c r="B82">
        <v>6</v>
      </c>
      <c r="C82" t="s">
        <v>16</v>
      </c>
      <c r="D82" t="s">
        <v>17</v>
      </c>
      <c r="E82" t="s">
        <v>16</v>
      </c>
      <c r="F82" t="s">
        <v>17</v>
      </c>
      <c r="G82" s="2">
        <v>2671899.9999999995</v>
      </c>
      <c r="H82" s="2">
        <v>23100</v>
      </c>
      <c r="I82" s="2">
        <v>2694999.9999999995</v>
      </c>
      <c r="J82" s="2" t="str">
        <f>_xlfn.XLOOKUP(Data[[#This Row],[Main SKU]],MD_Main_SKU[Main SKU],MD_Main_SKU[SKU name_gom])</f>
        <v>WSS01</v>
      </c>
      <c r="K82" s="2" t="str">
        <f>_xlfn.XLOOKUP(Data[[#This Row],[Material-Nhập]],MD_Main_SKU[Main SKU],MD_Main_SKU[SKU name_gom])</f>
        <v>WSS01</v>
      </c>
    </row>
    <row r="83" spans="1:11" x14ac:dyDescent="0.35">
      <c r="A83">
        <v>2024</v>
      </c>
      <c r="B83">
        <v>6</v>
      </c>
      <c r="C83" t="s">
        <v>16</v>
      </c>
      <c r="D83" t="s">
        <v>17</v>
      </c>
      <c r="E83" t="s">
        <v>18</v>
      </c>
      <c r="F83" t="s">
        <v>19</v>
      </c>
      <c r="G83" s="2">
        <v>0</v>
      </c>
      <c r="H83" s="2">
        <v>458700.00000000006</v>
      </c>
      <c r="I83" s="2">
        <v>458700.00000000006</v>
      </c>
      <c r="J83" s="2" t="str">
        <f>_xlfn.XLOOKUP(Data[[#This Row],[Main SKU]],MD_Main_SKU[Main SKU],MD_Main_SKU[SKU name_gom])</f>
        <v>WSS01</v>
      </c>
      <c r="K83" s="2" t="str">
        <f>_xlfn.XLOOKUP(Data[[#This Row],[Material-Nhập]],MD_Main_SKU[Main SKU],MD_Main_SKU[SKU name_gom])</f>
        <v>iSS01</v>
      </c>
    </row>
    <row r="84" spans="1:11" x14ac:dyDescent="0.35">
      <c r="A84">
        <v>2024</v>
      </c>
      <c r="B84">
        <v>6</v>
      </c>
      <c r="C84" t="s">
        <v>16</v>
      </c>
      <c r="D84" t="s">
        <v>17</v>
      </c>
      <c r="E84" t="s">
        <v>20</v>
      </c>
      <c r="F84" t="s">
        <v>21</v>
      </c>
      <c r="G84" s="2">
        <v>0</v>
      </c>
      <c r="H84" s="2">
        <v>6600</v>
      </c>
      <c r="I84" s="2">
        <v>6600</v>
      </c>
      <c r="J84" s="2" t="str">
        <f>_xlfn.XLOOKUP(Data[[#This Row],[Main SKU]],MD_Main_SKU[Main SKU],MD_Main_SKU[SKU name_gom])</f>
        <v>WSS01</v>
      </c>
      <c r="K84" s="2" t="str">
        <f>_xlfn.XLOOKUP(Data[[#This Row],[Material-Nhập]],MD_Main_SKU[Main SKU],MD_Main_SKU[SKU name_gom])</f>
        <v>WSS02</v>
      </c>
    </row>
    <row r="85" spans="1:11" x14ac:dyDescent="0.35">
      <c r="A85">
        <v>2024</v>
      </c>
      <c r="B85">
        <v>6</v>
      </c>
      <c r="C85" t="s">
        <v>16</v>
      </c>
      <c r="D85" t="s">
        <v>17</v>
      </c>
      <c r="E85" t="s">
        <v>22</v>
      </c>
      <c r="F85" t="s">
        <v>23</v>
      </c>
      <c r="G85" s="2">
        <v>0</v>
      </c>
      <c r="H85" s="2">
        <v>182799.99999999997</v>
      </c>
      <c r="I85" s="2">
        <v>182799.99999999997</v>
      </c>
      <c r="J85" s="2" t="str">
        <f>_xlfn.XLOOKUP(Data[[#This Row],[Main SKU]],MD_Main_SKU[Main SKU],MD_Main_SKU[SKU name_gom])</f>
        <v>WSS01</v>
      </c>
      <c r="K85" s="2" t="str">
        <f>_xlfn.XLOOKUP(Data[[#This Row],[Material-Nhập]],MD_Main_SKU[Main SKU],MD_Main_SKU[SKU name_gom])</f>
        <v>WSS03</v>
      </c>
    </row>
    <row r="86" spans="1:11" x14ac:dyDescent="0.35">
      <c r="A86">
        <v>2024</v>
      </c>
      <c r="B86">
        <v>6</v>
      </c>
      <c r="C86" t="s">
        <v>16</v>
      </c>
      <c r="D86" t="s">
        <v>17</v>
      </c>
      <c r="E86" t="s">
        <v>26</v>
      </c>
      <c r="F86" t="s">
        <v>27</v>
      </c>
      <c r="G86" s="2">
        <v>0</v>
      </c>
      <c r="H86" s="2">
        <v>3300</v>
      </c>
      <c r="I86" s="2">
        <v>3300</v>
      </c>
      <c r="J86" s="2" t="str">
        <f>_xlfn.XLOOKUP(Data[[#This Row],[Main SKU]],MD_Main_SKU[Main SKU],MD_Main_SKU[SKU name_gom])</f>
        <v>WSS01</v>
      </c>
      <c r="K86" s="2" t="str">
        <f>_xlfn.XLOOKUP(Data[[#This Row],[Material-Nhập]],MD_Main_SKU[Main SKU],MD_Main_SKU[SKU name_gom])</f>
        <v>iSS01</v>
      </c>
    </row>
    <row r="87" spans="1:11" x14ac:dyDescent="0.35">
      <c r="A87">
        <v>2024</v>
      </c>
      <c r="B87">
        <v>6</v>
      </c>
      <c r="C87" t="s">
        <v>24</v>
      </c>
      <c r="D87" t="s">
        <v>25</v>
      </c>
      <c r="E87" t="s">
        <v>20</v>
      </c>
      <c r="F87" t="s">
        <v>21</v>
      </c>
      <c r="G87" s="2">
        <v>0</v>
      </c>
      <c r="H87" s="2">
        <v>97900.000000000015</v>
      </c>
      <c r="I87" s="2">
        <v>97900.000000000015</v>
      </c>
      <c r="J87" s="2" t="str">
        <f>_xlfn.XLOOKUP(Data[[#This Row],[Main SKU]],MD_Main_SKU[Main SKU],MD_Main_SKU[SKU name_gom])</f>
        <v>WSS01</v>
      </c>
      <c r="K87" s="2" t="str">
        <f>_xlfn.XLOOKUP(Data[[#This Row],[Material-Nhập]],MD_Main_SKU[Main SKU],MD_Main_SKU[SKU name_gom])</f>
        <v>WSS02</v>
      </c>
    </row>
    <row r="88" spans="1:11" x14ac:dyDescent="0.35">
      <c r="A88">
        <v>2024</v>
      </c>
      <c r="B88">
        <v>6</v>
      </c>
      <c r="C88" t="s">
        <v>24</v>
      </c>
      <c r="D88" t="s">
        <v>25</v>
      </c>
      <c r="E88" t="s">
        <v>22</v>
      </c>
      <c r="F88" t="s">
        <v>23</v>
      </c>
      <c r="G88" s="2">
        <v>0</v>
      </c>
      <c r="H88" s="2">
        <v>195800.00000000003</v>
      </c>
      <c r="I88" s="2">
        <v>195800.00000000003</v>
      </c>
      <c r="J88" s="2" t="str">
        <f>_xlfn.XLOOKUP(Data[[#This Row],[Main SKU]],MD_Main_SKU[Main SKU],MD_Main_SKU[SKU name_gom])</f>
        <v>WSS01</v>
      </c>
      <c r="K88" s="2" t="str">
        <f>_xlfn.XLOOKUP(Data[[#This Row],[Material-Nhập]],MD_Main_SKU[Main SKU],MD_Main_SKU[SKU name_gom])</f>
        <v>WSS03</v>
      </c>
    </row>
    <row r="89" spans="1:11" x14ac:dyDescent="0.35">
      <c r="A89">
        <v>2024</v>
      </c>
      <c r="B89">
        <v>6</v>
      </c>
      <c r="C89" t="s">
        <v>24</v>
      </c>
      <c r="D89" t="s">
        <v>25</v>
      </c>
      <c r="E89" t="s">
        <v>24</v>
      </c>
      <c r="F89" t="s">
        <v>25</v>
      </c>
      <c r="G89" s="2">
        <v>179300</v>
      </c>
      <c r="H89" s="2">
        <v>0</v>
      </c>
      <c r="I89" s="2">
        <v>179300</v>
      </c>
      <c r="J89" s="2" t="str">
        <f>_xlfn.XLOOKUP(Data[[#This Row],[Main SKU]],MD_Main_SKU[Main SKU],MD_Main_SKU[SKU name_gom])</f>
        <v>WSS01</v>
      </c>
      <c r="K89" s="2" t="str">
        <f>_xlfn.XLOOKUP(Data[[#This Row],[Material-Nhập]],MD_Main_SKU[Main SKU],MD_Main_SKU[SKU name_gom])</f>
        <v>WSS01</v>
      </c>
    </row>
    <row r="90" spans="1:11" x14ac:dyDescent="0.35">
      <c r="A90">
        <v>2024</v>
      </c>
      <c r="B90">
        <v>6</v>
      </c>
      <c r="C90" t="s">
        <v>24</v>
      </c>
      <c r="D90" t="s">
        <v>25</v>
      </c>
      <c r="E90" t="s">
        <v>26</v>
      </c>
      <c r="F90" t="s">
        <v>27</v>
      </c>
      <c r="G90" s="2">
        <v>0</v>
      </c>
      <c r="H90" s="2">
        <v>5500</v>
      </c>
      <c r="I90" s="2">
        <v>5500</v>
      </c>
      <c r="J90" s="2" t="str">
        <f>_xlfn.XLOOKUP(Data[[#This Row],[Main SKU]],MD_Main_SKU[Main SKU],MD_Main_SKU[SKU name_gom])</f>
        <v>WSS01</v>
      </c>
      <c r="K90" s="2" t="str">
        <f>_xlfn.XLOOKUP(Data[[#This Row],[Material-Nhập]],MD_Main_SKU[Main SKU],MD_Main_SKU[SKU name_gom])</f>
        <v>iSS01</v>
      </c>
    </row>
    <row r="91" spans="1:11" x14ac:dyDescent="0.35">
      <c r="A91">
        <v>2024</v>
      </c>
      <c r="B91">
        <v>6</v>
      </c>
      <c r="C91" t="s">
        <v>28</v>
      </c>
      <c r="D91" t="s">
        <v>29</v>
      </c>
      <c r="E91" t="s">
        <v>28</v>
      </c>
      <c r="F91" t="s">
        <v>29</v>
      </c>
      <c r="G91" s="2">
        <v>14300</v>
      </c>
      <c r="H91" s="2">
        <v>0</v>
      </c>
      <c r="I91" s="2">
        <v>14300</v>
      </c>
      <c r="J91" s="2" t="str">
        <f>_xlfn.XLOOKUP(Data[[#This Row],[Main SKU]],MD_Main_SKU[Main SKU],MD_Main_SKU[SKU name_gom])</f>
        <v>iSS01084</v>
      </c>
      <c r="K91" s="2" t="str">
        <f>_xlfn.XLOOKUP(Data[[#This Row],[Material-Nhập]],MD_Main_SKU[Main SKU],MD_Main_SKU[SKU name_gom])</f>
        <v>iSS01084</v>
      </c>
    </row>
    <row r="92" spans="1:11" x14ac:dyDescent="0.35">
      <c r="A92">
        <v>2024</v>
      </c>
      <c r="B92">
        <v>6</v>
      </c>
      <c r="C92" t="s">
        <v>28</v>
      </c>
      <c r="D92" t="s">
        <v>29</v>
      </c>
      <c r="E92" t="s">
        <v>30</v>
      </c>
      <c r="F92" t="s">
        <v>31</v>
      </c>
      <c r="G92" s="2">
        <v>0</v>
      </c>
      <c r="H92" s="2">
        <v>17600</v>
      </c>
      <c r="I92" s="2">
        <v>17600</v>
      </c>
      <c r="J92" s="2" t="str">
        <f>_xlfn.XLOOKUP(Data[[#This Row],[Main SKU]],MD_Main_SKU[Main SKU],MD_Main_SKU[SKU name_gom])</f>
        <v>iSS01084</v>
      </c>
      <c r="K92" s="2" t="str">
        <f>_xlfn.XLOOKUP(Data[[#This Row],[Material-Nhập]],MD_Main_SKU[Main SKU],MD_Main_SKU[SKU name_gom])</f>
        <v>iSS01</v>
      </c>
    </row>
    <row r="93" spans="1:11" x14ac:dyDescent="0.35">
      <c r="A93">
        <v>2024</v>
      </c>
      <c r="B93">
        <v>7</v>
      </c>
      <c r="C93" t="s">
        <v>8</v>
      </c>
      <c r="D93" t="s">
        <v>9</v>
      </c>
      <c r="E93" t="s">
        <v>8</v>
      </c>
      <c r="F93" t="s">
        <v>9</v>
      </c>
      <c r="G93" s="2">
        <v>19800</v>
      </c>
      <c r="H93" s="2">
        <v>0</v>
      </c>
      <c r="I93" s="2">
        <v>19800</v>
      </c>
      <c r="J93" s="2" t="str">
        <f>_xlfn.XLOOKUP(Data[[#This Row],[Main SKU]],MD_Main_SKU[Main SKU],MD_Main_SKU[SKU name_gom])</f>
        <v>WSS01</v>
      </c>
      <c r="K93" s="2" t="str">
        <f>_xlfn.XLOOKUP(Data[[#This Row],[Material-Nhập]],MD_Main_SKU[Main SKU],MD_Main_SKU[SKU name_gom])</f>
        <v>WSS01</v>
      </c>
    </row>
    <row r="94" spans="1:11" x14ac:dyDescent="0.35">
      <c r="A94">
        <v>2024</v>
      </c>
      <c r="B94">
        <v>7</v>
      </c>
      <c r="C94" t="s">
        <v>8</v>
      </c>
      <c r="D94" t="s">
        <v>9</v>
      </c>
      <c r="E94" t="s">
        <v>10</v>
      </c>
      <c r="F94" t="s">
        <v>11</v>
      </c>
      <c r="G94" s="2">
        <v>0</v>
      </c>
      <c r="H94" s="2">
        <v>3300</v>
      </c>
      <c r="I94" s="2">
        <v>3300</v>
      </c>
      <c r="J94" s="2" t="str">
        <f>_xlfn.XLOOKUP(Data[[#This Row],[Main SKU]],MD_Main_SKU[Main SKU],MD_Main_SKU[SKU name_gom])</f>
        <v>WSS01</v>
      </c>
      <c r="K94" s="2" t="str">
        <f>_xlfn.XLOOKUP(Data[[#This Row],[Material-Nhập]],MD_Main_SKU[Main SKU],MD_Main_SKU[SKU name_gom])</f>
        <v>WSS02</v>
      </c>
    </row>
    <row r="95" spans="1:11" x14ac:dyDescent="0.35">
      <c r="A95">
        <v>2024</v>
      </c>
      <c r="B95">
        <v>7</v>
      </c>
      <c r="C95" t="s">
        <v>14</v>
      </c>
      <c r="D95" t="s">
        <v>15</v>
      </c>
      <c r="E95" t="s">
        <v>14</v>
      </c>
      <c r="F95" t="s">
        <v>15</v>
      </c>
      <c r="G95" s="2">
        <v>328899.99999999994</v>
      </c>
      <c r="H95" s="2">
        <v>0</v>
      </c>
      <c r="I95" s="2">
        <v>328899.99999999994</v>
      </c>
      <c r="J95" s="2" t="str">
        <f>_xlfn.XLOOKUP(Data[[#This Row],[Main SKU]],MD_Main_SKU[Main SKU],MD_Main_SKU[SKU name_gom])</f>
        <v>iSS01084</v>
      </c>
      <c r="K95" s="2" t="str">
        <f>_xlfn.XLOOKUP(Data[[#This Row],[Material-Nhập]],MD_Main_SKU[Main SKU],MD_Main_SKU[SKU name_gom])</f>
        <v>iSS01084</v>
      </c>
    </row>
    <row r="96" spans="1:11" x14ac:dyDescent="0.35">
      <c r="A96">
        <v>2024</v>
      </c>
      <c r="B96">
        <v>7</v>
      </c>
      <c r="C96" t="s">
        <v>14</v>
      </c>
      <c r="D96" t="s">
        <v>15</v>
      </c>
      <c r="E96" t="s">
        <v>16</v>
      </c>
      <c r="F96" t="s">
        <v>17</v>
      </c>
      <c r="G96" s="2">
        <v>0</v>
      </c>
      <c r="H96" s="2">
        <v>7700</v>
      </c>
      <c r="I96" s="2">
        <v>7700</v>
      </c>
      <c r="J96" s="2" t="str">
        <f>_xlfn.XLOOKUP(Data[[#This Row],[Main SKU]],MD_Main_SKU[Main SKU],MD_Main_SKU[SKU name_gom])</f>
        <v>iSS01084</v>
      </c>
      <c r="K96" s="2" t="str">
        <f>_xlfn.XLOOKUP(Data[[#This Row],[Material-Nhập]],MD_Main_SKU[Main SKU],MD_Main_SKU[SKU name_gom])</f>
        <v>WSS01</v>
      </c>
    </row>
    <row r="97" spans="1:11" x14ac:dyDescent="0.35">
      <c r="A97">
        <v>2024</v>
      </c>
      <c r="B97">
        <v>7</v>
      </c>
      <c r="C97" t="s">
        <v>14</v>
      </c>
      <c r="D97" t="s">
        <v>15</v>
      </c>
      <c r="E97" t="s">
        <v>18</v>
      </c>
      <c r="F97" t="s">
        <v>19</v>
      </c>
      <c r="G97" s="2">
        <v>0</v>
      </c>
      <c r="H97" s="2">
        <v>67100</v>
      </c>
      <c r="I97" s="2">
        <v>67100</v>
      </c>
      <c r="J97" s="2" t="str">
        <f>_xlfn.XLOOKUP(Data[[#This Row],[Main SKU]],MD_Main_SKU[Main SKU],MD_Main_SKU[SKU name_gom])</f>
        <v>iSS01084</v>
      </c>
      <c r="K97" s="2" t="str">
        <f>_xlfn.XLOOKUP(Data[[#This Row],[Material-Nhập]],MD_Main_SKU[Main SKU],MD_Main_SKU[SKU name_gom])</f>
        <v>iSS01</v>
      </c>
    </row>
    <row r="98" spans="1:11" x14ac:dyDescent="0.35">
      <c r="A98">
        <v>2024</v>
      </c>
      <c r="B98">
        <v>7</v>
      </c>
      <c r="C98" t="s">
        <v>14</v>
      </c>
      <c r="D98" t="s">
        <v>15</v>
      </c>
      <c r="E98" t="s">
        <v>22</v>
      </c>
      <c r="F98" t="s">
        <v>23</v>
      </c>
      <c r="G98" s="2">
        <v>0</v>
      </c>
      <c r="H98" s="2">
        <v>4400</v>
      </c>
      <c r="I98" s="2">
        <v>4400</v>
      </c>
      <c r="J98" s="2" t="str">
        <f>_xlfn.XLOOKUP(Data[[#This Row],[Main SKU]],MD_Main_SKU[Main SKU],MD_Main_SKU[SKU name_gom])</f>
        <v>iSS01084</v>
      </c>
      <c r="K98" s="2" t="str">
        <f>_xlfn.XLOOKUP(Data[[#This Row],[Material-Nhập]],MD_Main_SKU[Main SKU],MD_Main_SKU[SKU name_gom])</f>
        <v>WSS03</v>
      </c>
    </row>
    <row r="99" spans="1:11" x14ac:dyDescent="0.35">
      <c r="A99">
        <v>2024</v>
      </c>
      <c r="B99">
        <v>7</v>
      </c>
      <c r="C99" t="s">
        <v>16</v>
      </c>
      <c r="D99" t="s">
        <v>17</v>
      </c>
      <c r="E99" t="s">
        <v>16</v>
      </c>
      <c r="F99" t="s">
        <v>17</v>
      </c>
      <c r="G99" s="2">
        <v>55000</v>
      </c>
      <c r="H99" s="2">
        <v>0</v>
      </c>
      <c r="I99" s="2">
        <v>55000</v>
      </c>
      <c r="J99" s="2" t="str">
        <f>_xlfn.XLOOKUP(Data[[#This Row],[Main SKU]],MD_Main_SKU[Main SKU],MD_Main_SKU[SKU name_gom])</f>
        <v>WSS01</v>
      </c>
      <c r="K99" s="2" t="str">
        <f>_xlfn.XLOOKUP(Data[[#This Row],[Material-Nhập]],MD_Main_SKU[Main SKU],MD_Main_SKU[SKU name_gom])</f>
        <v>WSS01</v>
      </c>
    </row>
    <row r="100" spans="1:11" x14ac:dyDescent="0.35">
      <c r="A100">
        <v>2024</v>
      </c>
      <c r="B100">
        <v>7</v>
      </c>
      <c r="C100" t="s">
        <v>18</v>
      </c>
      <c r="D100" t="s">
        <v>19</v>
      </c>
      <c r="E100" t="s">
        <v>14</v>
      </c>
      <c r="F100" t="s">
        <v>15</v>
      </c>
      <c r="G100" s="2">
        <v>0</v>
      </c>
      <c r="H100" s="2">
        <v>112200</v>
      </c>
      <c r="I100" s="2">
        <v>112200</v>
      </c>
      <c r="J100" s="2" t="str">
        <f>_xlfn.XLOOKUP(Data[[#This Row],[Main SKU]],MD_Main_SKU[Main SKU],MD_Main_SKU[SKU name_gom])</f>
        <v>iSS01</v>
      </c>
      <c r="K100" s="2" t="str">
        <f>_xlfn.XLOOKUP(Data[[#This Row],[Material-Nhập]],MD_Main_SKU[Main SKU],MD_Main_SKU[SKU name_gom])</f>
        <v>iSS01084</v>
      </c>
    </row>
    <row r="101" spans="1:11" x14ac:dyDescent="0.35">
      <c r="A101">
        <v>2024</v>
      </c>
      <c r="B101">
        <v>7</v>
      </c>
      <c r="C101" t="s">
        <v>18</v>
      </c>
      <c r="D101" t="s">
        <v>19</v>
      </c>
      <c r="E101" t="s">
        <v>18</v>
      </c>
      <c r="F101" t="s">
        <v>19</v>
      </c>
      <c r="G101" s="2">
        <v>214499.99999999997</v>
      </c>
      <c r="H101" s="2">
        <v>0</v>
      </c>
      <c r="I101" s="2">
        <v>214499.99999999997</v>
      </c>
      <c r="J101" s="2" t="str">
        <f>_xlfn.XLOOKUP(Data[[#This Row],[Main SKU]],MD_Main_SKU[Main SKU],MD_Main_SKU[SKU name_gom])</f>
        <v>iSS01</v>
      </c>
      <c r="K101" s="2" t="str">
        <f>_xlfn.XLOOKUP(Data[[#This Row],[Material-Nhập]],MD_Main_SKU[Main SKU],MD_Main_SKU[SKU name_gom])</f>
        <v>iSS01</v>
      </c>
    </row>
    <row r="102" spans="1:11" x14ac:dyDescent="0.35">
      <c r="A102">
        <v>2024</v>
      </c>
      <c r="B102">
        <v>7</v>
      </c>
      <c r="C102" t="s">
        <v>18</v>
      </c>
      <c r="D102" t="s">
        <v>19</v>
      </c>
      <c r="E102" t="s">
        <v>22</v>
      </c>
      <c r="F102" t="s">
        <v>23</v>
      </c>
      <c r="G102" s="2">
        <v>0</v>
      </c>
      <c r="H102" s="2">
        <v>2200</v>
      </c>
      <c r="I102" s="2">
        <v>2200</v>
      </c>
      <c r="J102" s="2" t="str">
        <f>_xlfn.XLOOKUP(Data[[#This Row],[Main SKU]],MD_Main_SKU[Main SKU],MD_Main_SKU[SKU name_gom])</f>
        <v>iSS01</v>
      </c>
      <c r="K102" s="2" t="str">
        <f>_xlfn.XLOOKUP(Data[[#This Row],[Material-Nhập]],MD_Main_SKU[Main SKU],MD_Main_SKU[SKU name_gom])</f>
        <v>WSS03</v>
      </c>
    </row>
    <row r="103" spans="1:11" x14ac:dyDescent="0.35">
      <c r="A103">
        <v>2024</v>
      </c>
      <c r="B103">
        <v>7</v>
      </c>
      <c r="C103" t="s">
        <v>24</v>
      </c>
      <c r="D103" t="s">
        <v>25</v>
      </c>
      <c r="E103" t="s">
        <v>22</v>
      </c>
      <c r="F103" t="s">
        <v>23</v>
      </c>
      <c r="G103" s="2">
        <v>0</v>
      </c>
      <c r="H103" s="2">
        <v>42600</v>
      </c>
      <c r="I103" s="2">
        <v>42600</v>
      </c>
      <c r="J103" s="2" t="str">
        <f>_xlfn.XLOOKUP(Data[[#This Row],[Main SKU]],MD_Main_SKU[Main SKU],MD_Main_SKU[SKU name_gom])</f>
        <v>WSS01</v>
      </c>
      <c r="K103" s="2" t="str">
        <f>_xlfn.XLOOKUP(Data[[#This Row],[Material-Nhập]],MD_Main_SKU[Main SKU],MD_Main_SKU[SKU name_gom])</f>
        <v>WSS03</v>
      </c>
    </row>
    <row r="104" spans="1:11" x14ac:dyDescent="0.35">
      <c r="A104">
        <v>2024</v>
      </c>
      <c r="B104">
        <v>7</v>
      </c>
      <c r="C104" t="s">
        <v>24</v>
      </c>
      <c r="D104" t="s">
        <v>25</v>
      </c>
      <c r="E104" t="s">
        <v>24</v>
      </c>
      <c r="F104" t="s">
        <v>25</v>
      </c>
      <c r="G104" s="2">
        <v>51700</v>
      </c>
      <c r="H104" s="2">
        <v>0</v>
      </c>
      <c r="I104" s="2">
        <v>51700</v>
      </c>
      <c r="J104" s="2" t="str">
        <f>_xlfn.XLOOKUP(Data[[#This Row],[Main SKU]],MD_Main_SKU[Main SKU],MD_Main_SKU[SKU name_gom])</f>
        <v>WSS01</v>
      </c>
      <c r="K104" s="2" t="str">
        <f>_xlfn.XLOOKUP(Data[[#This Row],[Material-Nhập]],MD_Main_SKU[Main SKU],MD_Main_SKU[SKU name_gom])</f>
        <v>WSS01</v>
      </c>
    </row>
    <row r="105" spans="1:11" x14ac:dyDescent="0.35">
      <c r="A105">
        <v>2024</v>
      </c>
      <c r="B105">
        <v>7</v>
      </c>
      <c r="C105" t="s">
        <v>28</v>
      </c>
      <c r="D105" t="s">
        <v>29</v>
      </c>
      <c r="E105" t="s">
        <v>28</v>
      </c>
      <c r="F105" t="s">
        <v>29</v>
      </c>
      <c r="G105" s="2">
        <v>5500.0000000000009</v>
      </c>
      <c r="H105" s="2">
        <v>0</v>
      </c>
      <c r="I105" s="2">
        <v>5500.0000000000009</v>
      </c>
      <c r="J105" s="2" t="str">
        <f>_xlfn.XLOOKUP(Data[[#This Row],[Main SKU]],MD_Main_SKU[Main SKU],MD_Main_SKU[SKU name_gom])</f>
        <v>iSS01084</v>
      </c>
      <c r="K105" s="2" t="str">
        <f>_xlfn.XLOOKUP(Data[[#This Row],[Material-Nhập]],MD_Main_SKU[Main SKU],MD_Main_SKU[SKU name_gom])</f>
        <v>iSS01084</v>
      </c>
    </row>
    <row r="106" spans="1:11" x14ac:dyDescent="0.35">
      <c r="A106">
        <v>2024</v>
      </c>
      <c r="B106">
        <v>7</v>
      </c>
      <c r="C106" t="s">
        <v>28</v>
      </c>
      <c r="D106" t="s">
        <v>29</v>
      </c>
      <c r="E106" t="s">
        <v>30</v>
      </c>
      <c r="F106" t="s">
        <v>31</v>
      </c>
      <c r="G106" s="2">
        <v>0</v>
      </c>
      <c r="H106" s="2">
        <v>3300.0000000000005</v>
      </c>
      <c r="I106" s="2">
        <v>3300.0000000000005</v>
      </c>
      <c r="J106" s="2" t="str">
        <f>_xlfn.XLOOKUP(Data[[#This Row],[Main SKU]],MD_Main_SKU[Main SKU],MD_Main_SKU[SKU name_gom])</f>
        <v>iSS01084</v>
      </c>
      <c r="K106" s="2" t="str">
        <f>_xlfn.XLOOKUP(Data[[#This Row],[Material-Nhập]],MD_Main_SKU[Main SKU],MD_Main_SKU[SKU name_gom])</f>
        <v>iSS01</v>
      </c>
    </row>
    <row r="107" spans="1:11" x14ac:dyDescent="0.35">
      <c r="A107">
        <v>2024</v>
      </c>
      <c r="B107">
        <v>8</v>
      </c>
      <c r="C107" t="s">
        <v>8</v>
      </c>
      <c r="D107" t="s">
        <v>9</v>
      </c>
      <c r="E107" t="s">
        <v>8</v>
      </c>
      <c r="F107" t="s">
        <v>9</v>
      </c>
      <c r="G107" s="2">
        <v>404500</v>
      </c>
      <c r="H107" s="2">
        <v>0</v>
      </c>
      <c r="I107" s="2">
        <v>404500</v>
      </c>
      <c r="J107" s="2" t="str">
        <f>_xlfn.XLOOKUP(Data[[#This Row],[Main SKU]],MD_Main_SKU[Main SKU],MD_Main_SKU[SKU name_gom])</f>
        <v>WSS01</v>
      </c>
      <c r="K107" s="2" t="str">
        <f>_xlfn.XLOOKUP(Data[[#This Row],[Material-Nhập]],MD_Main_SKU[Main SKU],MD_Main_SKU[SKU name_gom])</f>
        <v>WSS01</v>
      </c>
    </row>
    <row r="108" spans="1:11" x14ac:dyDescent="0.35">
      <c r="A108">
        <v>2024</v>
      </c>
      <c r="B108">
        <v>8</v>
      </c>
      <c r="C108" t="s">
        <v>8</v>
      </c>
      <c r="D108" t="s">
        <v>9</v>
      </c>
      <c r="E108" t="s">
        <v>20</v>
      </c>
      <c r="F108" t="s">
        <v>21</v>
      </c>
      <c r="G108" s="2">
        <v>0</v>
      </c>
      <c r="H108" s="2">
        <v>1100</v>
      </c>
      <c r="I108" s="2">
        <v>1100</v>
      </c>
      <c r="J108" s="2" t="str">
        <f>_xlfn.XLOOKUP(Data[[#This Row],[Main SKU]],MD_Main_SKU[Main SKU],MD_Main_SKU[SKU name_gom])</f>
        <v>WSS01</v>
      </c>
      <c r="K108" s="2" t="str">
        <f>_xlfn.XLOOKUP(Data[[#This Row],[Material-Nhập]],MD_Main_SKU[Main SKU],MD_Main_SKU[SKU name_gom])</f>
        <v>WSS02</v>
      </c>
    </row>
    <row r="109" spans="1:11" x14ac:dyDescent="0.35">
      <c r="A109">
        <v>2024</v>
      </c>
      <c r="B109">
        <v>8</v>
      </c>
      <c r="C109" t="s">
        <v>8</v>
      </c>
      <c r="D109" t="s">
        <v>9</v>
      </c>
      <c r="E109" t="s">
        <v>22</v>
      </c>
      <c r="F109" t="s">
        <v>23</v>
      </c>
      <c r="G109" s="2">
        <v>0</v>
      </c>
      <c r="H109" s="2">
        <v>16600</v>
      </c>
      <c r="I109" s="2">
        <v>16600</v>
      </c>
      <c r="J109" s="2" t="str">
        <f>_xlfn.XLOOKUP(Data[[#This Row],[Main SKU]],MD_Main_SKU[Main SKU],MD_Main_SKU[SKU name_gom])</f>
        <v>WSS01</v>
      </c>
      <c r="K109" s="2" t="str">
        <f>_xlfn.XLOOKUP(Data[[#This Row],[Material-Nhập]],MD_Main_SKU[Main SKU],MD_Main_SKU[SKU name_gom])</f>
        <v>WSS03</v>
      </c>
    </row>
    <row r="110" spans="1:11" x14ac:dyDescent="0.35">
      <c r="A110">
        <v>2024</v>
      </c>
      <c r="B110">
        <v>8</v>
      </c>
      <c r="C110" t="s">
        <v>14</v>
      </c>
      <c r="D110" t="s">
        <v>15</v>
      </c>
      <c r="E110" t="s">
        <v>14</v>
      </c>
      <c r="F110" t="s">
        <v>15</v>
      </c>
      <c r="G110" s="2">
        <v>476300</v>
      </c>
      <c r="H110" s="2">
        <v>0</v>
      </c>
      <c r="I110" s="2">
        <v>476300</v>
      </c>
      <c r="J110" s="2" t="str">
        <f>_xlfn.XLOOKUP(Data[[#This Row],[Main SKU]],MD_Main_SKU[Main SKU],MD_Main_SKU[SKU name_gom])</f>
        <v>iSS01084</v>
      </c>
      <c r="K110" s="2" t="str">
        <f>_xlfn.XLOOKUP(Data[[#This Row],[Material-Nhập]],MD_Main_SKU[Main SKU],MD_Main_SKU[SKU name_gom])</f>
        <v>iSS01084</v>
      </c>
    </row>
    <row r="111" spans="1:11" x14ac:dyDescent="0.35">
      <c r="A111">
        <v>2024</v>
      </c>
      <c r="B111">
        <v>8</v>
      </c>
      <c r="C111" t="s">
        <v>14</v>
      </c>
      <c r="D111" t="s">
        <v>15</v>
      </c>
      <c r="E111" t="s">
        <v>18</v>
      </c>
      <c r="F111" t="s">
        <v>19</v>
      </c>
      <c r="G111" s="2">
        <v>0</v>
      </c>
      <c r="H111" s="2">
        <v>9900</v>
      </c>
      <c r="I111" s="2">
        <v>9900</v>
      </c>
      <c r="J111" s="2" t="str">
        <f>_xlfn.XLOOKUP(Data[[#This Row],[Main SKU]],MD_Main_SKU[Main SKU],MD_Main_SKU[SKU name_gom])</f>
        <v>iSS01084</v>
      </c>
      <c r="K111" s="2" t="str">
        <f>_xlfn.XLOOKUP(Data[[#This Row],[Material-Nhập]],MD_Main_SKU[Main SKU],MD_Main_SKU[SKU name_gom])</f>
        <v>iSS01</v>
      </c>
    </row>
    <row r="112" spans="1:11" x14ac:dyDescent="0.35">
      <c r="A112">
        <v>2024</v>
      </c>
      <c r="B112">
        <v>8</v>
      </c>
      <c r="C112" t="s">
        <v>14</v>
      </c>
      <c r="D112" t="s">
        <v>15</v>
      </c>
      <c r="E112" t="s">
        <v>22</v>
      </c>
      <c r="F112" t="s">
        <v>23</v>
      </c>
      <c r="G112" s="2">
        <v>0</v>
      </c>
      <c r="H112" s="2">
        <v>16500</v>
      </c>
      <c r="I112" s="2">
        <v>16500</v>
      </c>
      <c r="J112" s="2" t="str">
        <f>_xlfn.XLOOKUP(Data[[#This Row],[Main SKU]],MD_Main_SKU[Main SKU],MD_Main_SKU[SKU name_gom])</f>
        <v>iSS01084</v>
      </c>
      <c r="K112" s="2" t="str">
        <f>_xlfn.XLOOKUP(Data[[#This Row],[Material-Nhập]],MD_Main_SKU[Main SKU],MD_Main_SKU[SKU name_gom])</f>
        <v>WSS03</v>
      </c>
    </row>
    <row r="113" spans="1:11" x14ac:dyDescent="0.35">
      <c r="A113">
        <v>2024</v>
      </c>
      <c r="B113">
        <v>8</v>
      </c>
      <c r="C113" t="s">
        <v>16</v>
      </c>
      <c r="D113" t="s">
        <v>17</v>
      </c>
      <c r="E113" t="s">
        <v>16</v>
      </c>
      <c r="F113" t="s">
        <v>17</v>
      </c>
      <c r="G113" s="2">
        <v>624659</v>
      </c>
      <c r="H113" s="2">
        <v>0</v>
      </c>
      <c r="I113" s="2">
        <v>624659</v>
      </c>
      <c r="J113" s="2" t="str">
        <f>_xlfn.XLOOKUP(Data[[#This Row],[Main SKU]],MD_Main_SKU[Main SKU],MD_Main_SKU[SKU name_gom])</f>
        <v>WSS01</v>
      </c>
      <c r="K113" s="2" t="str">
        <f>_xlfn.XLOOKUP(Data[[#This Row],[Material-Nhập]],MD_Main_SKU[Main SKU],MD_Main_SKU[SKU name_gom])</f>
        <v>WSS01</v>
      </c>
    </row>
    <row r="114" spans="1:11" x14ac:dyDescent="0.35">
      <c r="A114">
        <v>2024</v>
      </c>
      <c r="B114">
        <v>8</v>
      </c>
      <c r="C114" t="s">
        <v>16</v>
      </c>
      <c r="D114" t="s">
        <v>17</v>
      </c>
      <c r="E114" t="s">
        <v>18</v>
      </c>
      <c r="F114" t="s">
        <v>19</v>
      </c>
      <c r="G114" s="2">
        <v>0</v>
      </c>
      <c r="H114" s="2">
        <v>22219</v>
      </c>
      <c r="I114" s="2">
        <v>22219</v>
      </c>
      <c r="J114" s="2" t="str">
        <f>_xlfn.XLOOKUP(Data[[#This Row],[Main SKU]],MD_Main_SKU[Main SKU],MD_Main_SKU[SKU name_gom])</f>
        <v>WSS01</v>
      </c>
      <c r="K114" s="2" t="str">
        <f>_xlfn.XLOOKUP(Data[[#This Row],[Material-Nhập]],MD_Main_SKU[Main SKU],MD_Main_SKU[SKU name_gom])</f>
        <v>iSS01</v>
      </c>
    </row>
    <row r="115" spans="1:11" x14ac:dyDescent="0.35">
      <c r="A115">
        <v>2024</v>
      </c>
      <c r="B115">
        <v>8</v>
      </c>
      <c r="C115" t="s">
        <v>16</v>
      </c>
      <c r="D115" t="s">
        <v>17</v>
      </c>
      <c r="E115" t="s">
        <v>20</v>
      </c>
      <c r="F115" t="s">
        <v>21</v>
      </c>
      <c r="G115" s="2">
        <v>0</v>
      </c>
      <c r="H115" s="2">
        <v>1100</v>
      </c>
      <c r="I115" s="2">
        <v>1100</v>
      </c>
      <c r="J115" s="2" t="str">
        <f>_xlfn.XLOOKUP(Data[[#This Row],[Main SKU]],MD_Main_SKU[Main SKU],MD_Main_SKU[SKU name_gom])</f>
        <v>WSS01</v>
      </c>
      <c r="K115" s="2" t="str">
        <f>_xlfn.XLOOKUP(Data[[#This Row],[Material-Nhập]],MD_Main_SKU[Main SKU],MD_Main_SKU[SKU name_gom])</f>
        <v>WSS02</v>
      </c>
    </row>
    <row r="116" spans="1:11" x14ac:dyDescent="0.35">
      <c r="A116">
        <v>2024</v>
      </c>
      <c r="B116">
        <v>8</v>
      </c>
      <c r="C116" t="s">
        <v>16</v>
      </c>
      <c r="D116" t="s">
        <v>17</v>
      </c>
      <c r="E116" t="s">
        <v>22</v>
      </c>
      <c r="F116" t="s">
        <v>23</v>
      </c>
      <c r="G116" s="2">
        <v>0</v>
      </c>
      <c r="H116" s="2">
        <v>38698</v>
      </c>
      <c r="I116" s="2">
        <v>38698</v>
      </c>
      <c r="J116" s="2" t="str">
        <f>_xlfn.XLOOKUP(Data[[#This Row],[Main SKU]],MD_Main_SKU[Main SKU],MD_Main_SKU[SKU name_gom])</f>
        <v>WSS01</v>
      </c>
      <c r="K116" s="2" t="str">
        <f>_xlfn.XLOOKUP(Data[[#This Row],[Material-Nhập]],MD_Main_SKU[Main SKU],MD_Main_SKU[SKU name_gom])</f>
        <v>WSS03</v>
      </c>
    </row>
    <row r="117" spans="1:11" x14ac:dyDescent="0.35">
      <c r="A117">
        <v>2024</v>
      </c>
      <c r="B117">
        <v>8</v>
      </c>
      <c r="C117" t="s">
        <v>18</v>
      </c>
      <c r="D117" t="s">
        <v>19</v>
      </c>
      <c r="E117" t="s">
        <v>14</v>
      </c>
      <c r="F117" t="s">
        <v>15</v>
      </c>
      <c r="G117" s="2">
        <v>0</v>
      </c>
      <c r="H117" s="2">
        <v>91299.999999999985</v>
      </c>
      <c r="I117" s="2">
        <v>91299.999999999985</v>
      </c>
      <c r="J117" s="2" t="str">
        <f>_xlfn.XLOOKUP(Data[[#This Row],[Main SKU]],MD_Main_SKU[Main SKU],MD_Main_SKU[SKU name_gom])</f>
        <v>iSS01</v>
      </c>
      <c r="K117" s="2" t="str">
        <f>_xlfn.XLOOKUP(Data[[#This Row],[Material-Nhập]],MD_Main_SKU[Main SKU],MD_Main_SKU[SKU name_gom])</f>
        <v>iSS01084</v>
      </c>
    </row>
    <row r="118" spans="1:11" x14ac:dyDescent="0.35">
      <c r="A118">
        <v>2024</v>
      </c>
      <c r="B118">
        <v>8</v>
      </c>
      <c r="C118" t="s">
        <v>18</v>
      </c>
      <c r="D118" t="s">
        <v>19</v>
      </c>
      <c r="E118" t="s">
        <v>18</v>
      </c>
      <c r="F118" t="s">
        <v>19</v>
      </c>
      <c r="G118" s="2">
        <v>92400</v>
      </c>
      <c r="H118" s="2">
        <v>0</v>
      </c>
      <c r="I118" s="2">
        <v>92400</v>
      </c>
      <c r="J118" s="2" t="str">
        <f>_xlfn.XLOOKUP(Data[[#This Row],[Main SKU]],MD_Main_SKU[Main SKU],MD_Main_SKU[SKU name_gom])</f>
        <v>iSS01</v>
      </c>
      <c r="K118" s="2" t="str">
        <f>_xlfn.XLOOKUP(Data[[#This Row],[Material-Nhập]],MD_Main_SKU[Main SKU],MD_Main_SKU[SKU name_gom])</f>
        <v>iSS01</v>
      </c>
    </row>
    <row r="119" spans="1:11" x14ac:dyDescent="0.35">
      <c r="A119">
        <v>2024</v>
      </c>
      <c r="B119">
        <v>8</v>
      </c>
      <c r="C119" t="s">
        <v>18</v>
      </c>
      <c r="D119" t="s">
        <v>19</v>
      </c>
      <c r="E119" t="s">
        <v>22</v>
      </c>
      <c r="F119" t="s">
        <v>23</v>
      </c>
      <c r="G119" s="2">
        <v>0</v>
      </c>
      <c r="H119" s="2">
        <v>6599.9999999999991</v>
      </c>
      <c r="I119" s="2">
        <v>6599.9999999999991</v>
      </c>
      <c r="J119" s="2" t="str">
        <f>_xlfn.XLOOKUP(Data[[#This Row],[Main SKU]],MD_Main_SKU[Main SKU],MD_Main_SKU[SKU name_gom])</f>
        <v>iSS01</v>
      </c>
      <c r="K119" s="2" t="str">
        <f>_xlfn.XLOOKUP(Data[[#This Row],[Material-Nhập]],MD_Main_SKU[Main SKU],MD_Main_SKU[SKU name_gom])</f>
        <v>WSS03</v>
      </c>
    </row>
    <row r="120" spans="1:11" x14ac:dyDescent="0.35">
      <c r="A120">
        <v>2024</v>
      </c>
      <c r="B120">
        <v>8</v>
      </c>
      <c r="C120" t="s">
        <v>24</v>
      </c>
      <c r="D120" t="s">
        <v>25</v>
      </c>
      <c r="E120" t="s">
        <v>22</v>
      </c>
      <c r="F120" t="s">
        <v>23</v>
      </c>
      <c r="G120" s="2">
        <v>0</v>
      </c>
      <c r="H120" s="2">
        <v>5500</v>
      </c>
      <c r="I120" s="2">
        <v>5500</v>
      </c>
      <c r="J120" s="2" t="str">
        <f>_xlfn.XLOOKUP(Data[[#This Row],[Main SKU]],MD_Main_SKU[Main SKU],MD_Main_SKU[SKU name_gom])</f>
        <v>WSS01</v>
      </c>
      <c r="K120" s="2" t="str">
        <f>_xlfn.XLOOKUP(Data[[#This Row],[Material-Nhập]],MD_Main_SKU[Main SKU],MD_Main_SKU[SKU name_gom])</f>
        <v>WSS03</v>
      </c>
    </row>
    <row r="121" spans="1:11" x14ac:dyDescent="0.35">
      <c r="A121">
        <v>2024</v>
      </c>
      <c r="B121">
        <v>8</v>
      </c>
      <c r="C121" t="s">
        <v>28</v>
      </c>
      <c r="D121" t="s">
        <v>29</v>
      </c>
      <c r="E121" t="s">
        <v>28</v>
      </c>
      <c r="F121" t="s">
        <v>29</v>
      </c>
      <c r="G121" s="2">
        <v>18700</v>
      </c>
      <c r="H121" s="2">
        <v>0</v>
      </c>
      <c r="I121" s="2">
        <v>18700</v>
      </c>
      <c r="J121" s="2" t="str">
        <f>_xlfn.XLOOKUP(Data[[#This Row],[Main SKU]],MD_Main_SKU[Main SKU],MD_Main_SKU[SKU name_gom])</f>
        <v>iSS01084</v>
      </c>
      <c r="K121" s="2" t="str">
        <f>_xlfn.XLOOKUP(Data[[#This Row],[Material-Nhập]],MD_Main_SKU[Main SKU],MD_Main_SKU[SKU name_gom])</f>
        <v>iSS01084</v>
      </c>
    </row>
    <row r="122" spans="1:11" x14ac:dyDescent="0.35">
      <c r="A122">
        <v>2024</v>
      </c>
      <c r="B122">
        <v>8</v>
      </c>
      <c r="C122" t="s">
        <v>28</v>
      </c>
      <c r="D122" t="s">
        <v>29</v>
      </c>
      <c r="E122" t="s">
        <v>30</v>
      </c>
      <c r="F122" t="s">
        <v>31</v>
      </c>
      <c r="G122" s="2">
        <v>0</v>
      </c>
      <c r="H122" s="2">
        <v>4645</v>
      </c>
      <c r="I122" s="2">
        <v>4645</v>
      </c>
      <c r="J122" s="2" t="str">
        <f>_xlfn.XLOOKUP(Data[[#This Row],[Main SKU]],MD_Main_SKU[Main SKU],MD_Main_SKU[SKU name_gom])</f>
        <v>iSS01084</v>
      </c>
      <c r="K122" s="2" t="str">
        <f>_xlfn.XLOOKUP(Data[[#This Row],[Material-Nhập]],MD_Main_SKU[Main SKU],MD_Main_SKU[SKU name_gom])</f>
        <v>iSS01</v>
      </c>
    </row>
    <row r="123" spans="1:11" x14ac:dyDescent="0.35">
      <c r="A123">
        <v>2024</v>
      </c>
      <c r="B123">
        <v>8</v>
      </c>
      <c r="C123" t="s">
        <v>28</v>
      </c>
      <c r="D123" t="s">
        <v>29</v>
      </c>
      <c r="E123" t="s">
        <v>32</v>
      </c>
      <c r="F123" t="s">
        <v>33</v>
      </c>
      <c r="G123" s="2">
        <v>0</v>
      </c>
      <c r="H123" s="2">
        <v>2199</v>
      </c>
      <c r="I123" s="2">
        <v>2199</v>
      </c>
      <c r="J123" s="2" t="str">
        <f>_xlfn.XLOOKUP(Data[[#This Row],[Main SKU]],MD_Main_SKU[Main SKU],MD_Main_SKU[SKU name_gom])</f>
        <v>iSS01084</v>
      </c>
      <c r="K123" s="2" t="str">
        <f>_xlfn.XLOOKUP(Data[[#This Row],[Material-Nhập]],MD_Main_SKU[Main SKU],MD_Main_SKU[SKU name_gom])</f>
        <v>WSS03</v>
      </c>
    </row>
    <row r="124" spans="1:11" x14ac:dyDescent="0.35">
      <c r="A124">
        <v>2024</v>
      </c>
      <c r="B124">
        <v>9</v>
      </c>
      <c r="C124" t="s">
        <v>8</v>
      </c>
      <c r="D124" t="s">
        <v>9</v>
      </c>
      <c r="E124" t="s">
        <v>8</v>
      </c>
      <c r="F124" t="s">
        <v>9</v>
      </c>
      <c r="G124" s="2">
        <v>249700</v>
      </c>
      <c r="H124" s="2">
        <v>0</v>
      </c>
      <c r="I124" s="2">
        <v>249700</v>
      </c>
      <c r="J124" s="2" t="str">
        <f>_xlfn.XLOOKUP(Data[[#This Row],[Main SKU]],MD_Main_SKU[Main SKU],MD_Main_SKU[SKU name_gom])</f>
        <v>WSS01</v>
      </c>
      <c r="K124" s="2" t="str">
        <f>_xlfn.XLOOKUP(Data[[#This Row],[Material-Nhập]],MD_Main_SKU[Main SKU],MD_Main_SKU[SKU name_gom])</f>
        <v>WSS01</v>
      </c>
    </row>
    <row r="125" spans="1:11" x14ac:dyDescent="0.35">
      <c r="A125">
        <v>2024</v>
      </c>
      <c r="B125">
        <v>9</v>
      </c>
      <c r="C125" t="s">
        <v>8</v>
      </c>
      <c r="D125" t="s">
        <v>9</v>
      </c>
      <c r="E125" t="s">
        <v>22</v>
      </c>
      <c r="F125" t="s">
        <v>23</v>
      </c>
      <c r="G125" s="2">
        <v>0</v>
      </c>
      <c r="H125" s="2">
        <v>8730</v>
      </c>
      <c r="I125" s="2">
        <v>8730</v>
      </c>
      <c r="J125" s="2" t="str">
        <f>_xlfn.XLOOKUP(Data[[#This Row],[Main SKU]],MD_Main_SKU[Main SKU],MD_Main_SKU[SKU name_gom])</f>
        <v>WSS01</v>
      </c>
      <c r="K125" s="2" t="str">
        <f>_xlfn.XLOOKUP(Data[[#This Row],[Material-Nhập]],MD_Main_SKU[Main SKU],MD_Main_SKU[SKU name_gom])</f>
        <v>WSS03</v>
      </c>
    </row>
    <row r="126" spans="1:11" x14ac:dyDescent="0.35">
      <c r="A126">
        <v>2024</v>
      </c>
      <c r="B126">
        <v>9</v>
      </c>
      <c r="C126" t="s">
        <v>14</v>
      </c>
      <c r="D126" t="s">
        <v>15</v>
      </c>
      <c r="E126" t="s">
        <v>14</v>
      </c>
      <c r="F126" t="s">
        <v>15</v>
      </c>
      <c r="G126" s="2">
        <v>1163800.0000000002</v>
      </c>
      <c r="H126" s="2">
        <v>0</v>
      </c>
      <c r="I126" s="2">
        <v>1163800.0000000002</v>
      </c>
      <c r="J126" s="2" t="str">
        <f>_xlfn.XLOOKUP(Data[[#This Row],[Main SKU]],MD_Main_SKU[Main SKU],MD_Main_SKU[SKU name_gom])</f>
        <v>iSS01084</v>
      </c>
      <c r="K126" s="2" t="str">
        <f>_xlfn.XLOOKUP(Data[[#This Row],[Material-Nhập]],MD_Main_SKU[Main SKU],MD_Main_SKU[SKU name_gom])</f>
        <v>iSS01084</v>
      </c>
    </row>
    <row r="127" spans="1:11" x14ac:dyDescent="0.35">
      <c r="A127">
        <v>2024</v>
      </c>
      <c r="B127">
        <v>9</v>
      </c>
      <c r="C127" t="s">
        <v>14</v>
      </c>
      <c r="D127" t="s">
        <v>15</v>
      </c>
      <c r="E127" t="s">
        <v>18</v>
      </c>
      <c r="F127" t="s">
        <v>19</v>
      </c>
      <c r="G127" s="2">
        <v>0</v>
      </c>
      <c r="H127" s="2">
        <v>71144</v>
      </c>
      <c r="I127" s="2">
        <v>71144</v>
      </c>
      <c r="J127" s="2" t="str">
        <f>_xlfn.XLOOKUP(Data[[#This Row],[Main SKU]],MD_Main_SKU[Main SKU],MD_Main_SKU[SKU name_gom])</f>
        <v>iSS01084</v>
      </c>
      <c r="K127" s="2" t="str">
        <f>_xlfn.XLOOKUP(Data[[#This Row],[Material-Nhập]],MD_Main_SKU[Main SKU],MD_Main_SKU[SKU name_gom])</f>
        <v>iSS01</v>
      </c>
    </row>
    <row r="128" spans="1:11" x14ac:dyDescent="0.35">
      <c r="A128">
        <v>2024</v>
      </c>
      <c r="B128">
        <v>9</v>
      </c>
      <c r="C128" t="s">
        <v>14</v>
      </c>
      <c r="D128" t="s">
        <v>15</v>
      </c>
      <c r="E128" t="s">
        <v>22</v>
      </c>
      <c r="F128" t="s">
        <v>23</v>
      </c>
      <c r="G128" s="2">
        <v>0</v>
      </c>
      <c r="H128" s="2">
        <v>125591.00000000001</v>
      </c>
      <c r="I128" s="2">
        <v>125591.00000000001</v>
      </c>
      <c r="J128" s="2" t="str">
        <f>_xlfn.XLOOKUP(Data[[#This Row],[Main SKU]],MD_Main_SKU[Main SKU],MD_Main_SKU[SKU name_gom])</f>
        <v>iSS01084</v>
      </c>
      <c r="K128" s="2" t="str">
        <f>_xlfn.XLOOKUP(Data[[#This Row],[Material-Nhập]],MD_Main_SKU[Main SKU],MD_Main_SKU[SKU name_gom])</f>
        <v>WSS03</v>
      </c>
    </row>
    <row r="129" spans="1:11" x14ac:dyDescent="0.35">
      <c r="A129">
        <v>2024</v>
      </c>
      <c r="B129">
        <v>9</v>
      </c>
      <c r="C129" t="s">
        <v>16</v>
      </c>
      <c r="D129" t="s">
        <v>17</v>
      </c>
      <c r="E129" t="s">
        <v>14</v>
      </c>
      <c r="F129" t="s">
        <v>15</v>
      </c>
      <c r="G129" s="2">
        <v>0</v>
      </c>
      <c r="H129" s="2">
        <v>1100</v>
      </c>
      <c r="I129" s="2">
        <v>1100</v>
      </c>
      <c r="J129" s="2" t="str">
        <f>_xlfn.XLOOKUP(Data[[#This Row],[Main SKU]],MD_Main_SKU[Main SKU],MD_Main_SKU[SKU name_gom])</f>
        <v>WSS01</v>
      </c>
      <c r="K129" s="2" t="str">
        <f>_xlfn.XLOOKUP(Data[[#This Row],[Material-Nhập]],MD_Main_SKU[Main SKU],MD_Main_SKU[SKU name_gom])</f>
        <v>iSS01084</v>
      </c>
    </row>
    <row r="130" spans="1:11" x14ac:dyDescent="0.35">
      <c r="A130">
        <v>2024</v>
      </c>
      <c r="B130">
        <v>9</v>
      </c>
      <c r="C130" t="s">
        <v>16</v>
      </c>
      <c r="D130" t="s">
        <v>17</v>
      </c>
      <c r="E130" t="s">
        <v>16</v>
      </c>
      <c r="F130" t="s">
        <v>17</v>
      </c>
      <c r="G130" s="2">
        <v>776601</v>
      </c>
      <c r="H130" s="2">
        <v>0</v>
      </c>
      <c r="I130" s="2">
        <v>776601</v>
      </c>
      <c r="J130" s="2" t="str">
        <f>_xlfn.XLOOKUP(Data[[#This Row],[Main SKU]],MD_Main_SKU[Main SKU],MD_Main_SKU[SKU name_gom])</f>
        <v>WSS01</v>
      </c>
      <c r="K130" s="2" t="str">
        <f>_xlfn.XLOOKUP(Data[[#This Row],[Material-Nhập]],MD_Main_SKU[Main SKU],MD_Main_SKU[SKU name_gom])</f>
        <v>WSS01</v>
      </c>
    </row>
    <row r="131" spans="1:11" x14ac:dyDescent="0.35">
      <c r="A131">
        <v>2024</v>
      </c>
      <c r="B131">
        <v>9</v>
      </c>
      <c r="C131" t="s">
        <v>16</v>
      </c>
      <c r="D131" t="s">
        <v>17</v>
      </c>
      <c r="E131" t="s">
        <v>18</v>
      </c>
      <c r="F131" t="s">
        <v>19</v>
      </c>
      <c r="G131" s="2">
        <v>0</v>
      </c>
      <c r="H131" s="2">
        <v>122100</v>
      </c>
      <c r="I131" s="2">
        <v>122100</v>
      </c>
      <c r="J131" s="2" t="str">
        <f>_xlfn.XLOOKUP(Data[[#This Row],[Main SKU]],MD_Main_SKU[Main SKU],MD_Main_SKU[SKU name_gom])</f>
        <v>WSS01</v>
      </c>
      <c r="K131" s="2" t="str">
        <f>_xlfn.XLOOKUP(Data[[#This Row],[Material-Nhập]],MD_Main_SKU[Main SKU],MD_Main_SKU[SKU name_gom])</f>
        <v>iSS01</v>
      </c>
    </row>
    <row r="132" spans="1:11" x14ac:dyDescent="0.35">
      <c r="A132">
        <v>2024</v>
      </c>
      <c r="B132">
        <v>9</v>
      </c>
      <c r="C132" t="s">
        <v>16</v>
      </c>
      <c r="D132" t="s">
        <v>17</v>
      </c>
      <c r="E132" t="s">
        <v>22</v>
      </c>
      <c r="F132" t="s">
        <v>23</v>
      </c>
      <c r="G132" s="2">
        <v>0</v>
      </c>
      <c r="H132" s="2">
        <v>16258.5</v>
      </c>
      <c r="I132" s="2">
        <v>16258.5</v>
      </c>
      <c r="J132" s="2" t="str">
        <f>_xlfn.XLOOKUP(Data[[#This Row],[Main SKU]],MD_Main_SKU[Main SKU],MD_Main_SKU[SKU name_gom])</f>
        <v>WSS01</v>
      </c>
      <c r="K132" s="2" t="str">
        <f>_xlfn.XLOOKUP(Data[[#This Row],[Material-Nhập]],MD_Main_SKU[Main SKU],MD_Main_SKU[SKU name_gom])</f>
        <v>WSS03</v>
      </c>
    </row>
    <row r="133" spans="1:11" x14ac:dyDescent="0.35">
      <c r="A133">
        <v>2024</v>
      </c>
      <c r="B133">
        <v>9</v>
      </c>
      <c r="C133" t="s">
        <v>24</v>
      </c>
      <c r="D133" t="s">
        <v>25</v>
      </c>
      <c r="E133" t="s">
        <v>20</v>
      </c>
      <c r="F133" t="s">
        <v>21</v>
      </c>
      <c r="G133" s="2">
        <v>0</v>
      </c>
      <c r="H133" s="2">
        <v>4100</v>
      </c>
      <c r="I133" s="2">
        <v>4100</v>
      </c>
      <c r="J133" s="2" t="str">
        <f>_xlfn.XLOOKUP(Data[[#This Row],[Main SKU]],MD_Main_SKU[Main SKU],MD_Main_SKU[SKU name_gom])</f>
        <v>WSS01</v>
      </c>
      <c r="K133" s="2" t="str">
        <f>_xlfn.XLOOKUP(Data[[#This Row],[Material-Nhập]],MD_Main_SKU[Main SKU],MD_Main_SKU[SKU name_gom])</f>
        <v>WSS02</v>
      </c>
    </row>
    <row r="134" spans="1:11" x14ac:dyDescent="0.35">
      <c r="A134">
        <v>2024</v>
      </c>
      <c r="B134">
        <v>9</v>
      </c>
      <c r="C134" t="s">
        <v>24</v>
      </c>
      <c r="D134" t="s">
        <v>25</v>
      </c>
      <c r="E134" t="s">
        <v>22</v>
      </c>
      <c r="F134" t="s">
        <v>23</v>
      </c>
      <c r="G134" s="2">
        <v>0</v>
      </c>
      <c r="H134" s="2">
        <v>62244</v>
      </c>
      <c r="I134" s="2">
        <v>62244</v>
      </c>
      <c r="J134" s="2" t="str">
        <f>_xlfn.XLOOKUP(Data[[#This Row],[Main SKU]],MD_Main_SKU[Main SKU],MD_Main_SKU[SKU name_gom])</f>
        <v>WSS01</v>
      </c>
      <c r="K134" s="2" t="str">
        <f>_xlfn.XLOOKUP(Data[[#This Row],[Material-Nhập]],MD_Main_SKU[Main SKU],MD_Main_SKU[SKU name_gom])</f>
        <v>WSS03</v>
      </c>
    </row>
    <row r="135" spans="1:11" x14ac:dyDescent="0.35">
      <c r="A135">
        <v>2024</v>
      </c>
      <c r="B135">
        <v>9</v>
      </c>
      <c r="C135" t="s">
        <v>24</v>
      </c>
      <c r="D135" t="s">
        <v>25</v>
      </c>
      <c r="E135" t="s">
        <v>24</v>
      </c>
      <c r="F135" t="s">
        <v>25</v>
      </c>
      <c r="G135" s="2">
        <v>248600</v>
      </c>
      <c r="H135" s="2">
        <v>0</v>
      </c>
      <c r="I135" s="2">
        <v>248600</v>
      </c>
      <c r="J135" s="2" t="str">
        <f>_xlfn.XLOOKUP(Data[[#This Row],[Main SKU]],MD_Main_SKU[Main SKU],MD_Main_SKU[SKU name_gom])</f>
        <v>WSS01</v>
      </c>
      <c r="K135" s="2" t="str">
        <f>_xlfn.XLOOKUP(Data[[#This Row],[Material-Nhập]],MD_Main_SKU[Main SKU],MD_Main_SKU[SKU name_gom])</f>
        <v>WSS01</v>
      </c>
    </row>
    <row r="136" spans="1:11" x14ac:dyDescent="0.35">
      <c r="A136">
        <v>2024</v>
      </c>
      <c r="B136">
        <v>9</v>
      </c>
      <c r="C136" t="s">
        <v>24</v>
      </c>
      <c r="D136" t="s">
        <v>25</v>
      </c>
      <c r="E136" t="s">
        <v>26</v>
      </c>
      <c r="F136" t="s">
        <v>27</v>
      </c>
      <c r="G136" s="2">
        <v>0</v>
      </c>
      <c r="H136" s="2">
        <v>9900</v>
      </c>
      <c r="I136" s="2">
        <v>9900</v>
      </c>
      <c r="J136" s="2" t="str">
        <f>_xlfn.XLOOKUP(Data[[#This Row],[Main SKU]],MD_Main_SKU[Main SKU],MD_Main_SKU[SKU name_gom])</f>
        <v>WSS01</v>
      </c>
      <c r="K136" s="2" t="str">
        <f>_xlfn.XLOOKUP(Data[[#This Row],[Material-Nhập]],MD_Main_SKU[Main SKU],MD_Main_SKU[SKU name_gom])</f>
        <v>iSS01</v>
      </c>
    </row>
    <row r="137" spans="1:11" x14ac:dyDescent="0.35">
      <c r="A137">
        <v>2024</v>
      </c>
      <c r="B137">
        <v>9</v>
      </c>
      <c r="C137" t="s">
        <v>26</v>
      </c>
      <c r="D137" t="s">
        <v>27</v>
      </c>
      <c r="E137" t="s">
        <v>22</v>
      </c>
      <c r="F137" t="s">
        <v>23</v>
      </c>
      <c r="G137" s="2">
        <v>0</v>
      </c>
      <c r="H137" s="2">
        <v>12100</v>
      </c>
      <c r="I137" s="2">
        <v>12100</v>
      </c>
      <c r="J137" s="2" t="str">
        <f>_xlfn.XLOOKUP(Data[[#This Row],[Main SKU]],MD_Main_SKU[Main SKU],MD_Main_SKU[SKU name_gom])</f>
        <v>iSS01</v>
      </c>
      <c r="K137" s="2" t="str">
        <f>_xlfn.XLOOKUP(Data[[#This Row],[Material-Nhập]],MD_Main_SKU[Main SKU],MD_Main_SKU[SKU name_gom])</f>
        <v>WSS03</v>
      </c>
    </row>
    <row r="138" spans="1:11" x14ac:dyDescent="0.35">
      <c r="A138">
        <v>2024</v>
      </c>
      <c r="B138">
        <v>9</v>
      </c>
      <c r="C138" t="s">
        <v>26</v>
      </c>
      <c r="D138" t="s">
        <v>27</v>
      </c>
      <c r="E138" t="s">
        <v>24</v>
      </c>
      <c r="F138" t="s">
        <v>25</v>
      </c>
      <c r="G138" s="2">
        <v>0</v>
      </c>
      <c r="H138" s="2">
        <v>5500</v>
      </c>
      <c r="I138" s="2">
        <v>5500</v>
      </c>
      <c r="J138" s="2" t="str">
        <f>_xlfn.XLOOKUP(Data[[#This Row],[Main SKU]],MD_Main_SKU[Main SKU],MD_Main_SKU[SKU name_gom])</f>
        <v>iSS01</v>
      </c>
      <c r="K138" s="2" t="str">
        <f>_xlfn.XLOOKUP(Data[[#This Row],[Material-Nhập]],MD_Main_SKU[Main SKU],MD_Main_SKU[SKU name_gom])</f>
        <v>WSS01</v>
      </c>
    </row>
    <row r="139" spans="1:11" x14ac:dyDescent="0.35">
      <c r="A139">
        <v>2024</v>
      </c>
      <c r="B139">
        <v>9</v>
      </c>
      <c r="C139" t="s">
        <v>26</v>
      </c>
      <c r="D139" t="s">
        <v>27</v>
      </c>
      <c r="E139" t="s">
        <v>26</v>
      </c>
      <c r="F139" t="s">
        <v>27</v>
      </c>
      <c r="G139" s="2">
        <v>40700</v>
      </c>
      <c r="H139" s="2">
        <v>0</v>
      </c>
      <c r="I139" s="2">
        <v>40700</v>
      </c>
      <c r="J139" s="2" t="str">
        <f>_xlfn.XLOOKUP(Data[[#This Row],[Main SKU]],MD_Main_SKU[Main SKU],MD_Main_SKU[SKU name_gom])</f>
        <v>iSS01</v>
      </c>
      <c r="K139" s="2" t="str">
        <f>_xlfn.XLOOKUP(Data[[#This Row],[Material-Nhập]],MD_Main_SKU[Main SKU],MD_Main_SKU[SKU name_gom])</f>
        <v>iSS01</v>
      </c>
    </row>
    <row r="140" spans="1:11" x14ac:dyDescent="0.35">
      <c r="A140">
        <v>2024</v>
      </c>
      <c r="B140">
        <v>9</v>
      </c>
      <c r="C140" t="s">
        <v>28</v>
      </c>
      <c r="D140" t="s">
        <v>29</v>
      </c>
      <c r="E140" t="s">
        <v>22</v>
      </c>
      <c r="F140" t="s">
        <v>23</v>
      </c>
      <c r="G140" s="2">
        <v>0</v>
      </c>
      <c r="H140" s="2">
        <v>4400</v>
      </c>
      <c r="I140" s="2">
        <v>4400</v>
      </c>
      <c r="J140" s="2" t="str">
        <f>_xlfn.XLOOKUP(Data[[#This Row],[Main SKU]],MD_Main_SKU[Main SKU],MD_Main_SKU[SKU name_gom])</f>
        <v>iSS01084</v>
      </c>
      <c r="K140" s="2" t="str">
        <f>_xlfn.XLOOKUP(Data[[#This Row],[Material-Nhập]],MD_Main_SKU[Main SKU],MD_Main_SKU[SKU name_gom])</f>
        <v>WSS03</v>
      </c>
    </row>
    <row r="141" spans="1:11" x14ac:dyDescent="0.35">
      <c r="A141">
        <v>2024</v>
      </c>
      <c r="B141">
        <v>9</v>
      </c>
      <c r="C141" t="s">
        <v>28</v>
      </c>
      <c r="D141" t="s">
        <v>29</v>
      </c>
      <c r="E141" t="s">
        <v>28</v>
      </c>
      <c r="F141" t="s">
        <v>29</v>
      </c>
      <c r="G141" s="2">
        <v>46200</v>
      </c>
      <c r="H141" s="2">
        <v>0</v>
      </c>
      <c r="I141" s="2">
        <v>46200</v>
      </c>
      <c r="J141" s="2" t="str">
        <f>_xlfn.XLOOKUP(Data[[#This Row],[Main SKU]],MD_Main_SKU[Main SKU],MD_Main_SKU[SKU name_gom])</f>
        <v>iSS01084</v>
      </c>
      <c r="K141" s="2" t="str">
        <f>_xlfn.XLOOKUP(Data[[#This Row],[Material-Nhập]],MD_Main_SKU[Main SKU],MD_Main_SKU[SKU name_gom])</f>
        <v>iSS01084</v>
      </c>
    </row>
    <row r="142" spans="1:11" x14ac:dyDescent="0.35">
      <c r="A142">
        <v>2024</v>
      </c>
      <c r="B142">
        <v>9</v>
      </c>
      <c r="C142" t="s">
        <v>28</v>
      </c>
      <c r="D142" t="s">
        <v>29</v>
      </c>
      <c r="E142" t="s">
        <v>30</v>
      </c>
      <c r="F142" t="s">
        <v>31</v>
      </c>
      <c r="G142" s="2">
        <v>0</v>
      </c>
      <c r="H142" s="2">
        <v>19411</v>
      </c>
      <c r="I142" s="2">
        <v>19411</v>
      </c>
      <c r="J142" s="2" t="str">
        <f>_xlfn.XLOOKUP(Data[[#This Row],[Main SKU]],MD_Main_SKU[Main SKU],MD_Main_SKU[SKU name_gom])</f>
        <v>iSS01084</v>
      </c>
      <c r="K142" s="2" t="str">
        <f>_xlfn.XLOOKUP(Data[[#This Row],[Material-Nhập]],MD_Main_SKU[Main SKU],MD_Main_SKU[SKU name_gom])</f>
        <v>iSS01</v>
      </c>
    </row>
    <row r="143" spans="1:11" x14ac:dyDescent="0.35">
      <c r="A143">
        <v>2024</v>
      </c>
      <c r="B143">
        <v>9</v>
      </c>
      <c r="C143" t="s">
        <v>28</v>
      </c>
      <c r="D143" t="s">
        <v>29</v>
      </c>
      <c r="E143" t="s">
        <v>32</v>
      </c>
      <c r="F143" t="s">
        <v>33</v>
      </c>
      <c r="G143" s="2">
        <v>0</v>
      </c>
      <c r="H143" s="2">
        <v>9913.5</v>
      </c>
      <c r="I143" s="2">
        <v>9913.5</v>
      </c>
      <c r="J143" s="2" t="str">
        <f>_xlfn.XLOOKUP(Data[[#This Row],[Main SKU]],MD_Main_SKU[Main SKU],MD_Main_SKU[SKU name_gom])</f>
        <v>iSS01084</v>
      </c>
      <c r="K143" s="2" t="str">
        <f>_xlfn.XLOOKUP(Data[[#This Row],[Material-Nhập]],MD_Main_SKU[Main SKU],MD_Main_SKU[SKU name_gom])</f>
        <v>WSS03</v>
      </c>
    </row>
    <row r="144" spans="1:11" x14ac:dyDescent="0.35">
      <c r="A144">
        <v>2024</v>
      </c>
      <c r="B144">
        <v>10</v>
      </c>
      <c r="C144" t="s">
        <v>8</v>
      </c>
      <c r="D144" t="s">
        <v>9</v>
      </c>
      <c r="E144" t="s">
        <v>8</v>
      </c>
      <c r="F144" t="s">
        <v>9</v>
      </c>
      <c r="G144" s="2">
        <v>294800</v>
      </c>
      <c r="H144" s="2">
        <v>0</v>
      </c>
      <c r="I144" s="2">
        <v>294800</v>
      </c>
      <c r="J144" s="2" t="str">
        <f>_xlfn.XLOOKUP(Data[[#This Row],[Main SKU]],MD_Main_SKU[Main SKU],MD_Main_SKU[SKU name_gom])</f>
        <v>WSS01</v>
      </c>
      <c r="K144" s="2" t="str">
        <f>_xlfn.XLOOKUP(Data[[#This Row],[Material-Nhập]],MD_Main_SKU[Main SKU],MD_Main_SKU[SKU name_gom])</f>
        <v>WSS01</v>
      </c>
    </row>
    <row r="145" spans="1:11" x14ac:dyDescent="0.35">
      <c r="A145">
        <v>2024</v>
      </c>
      <c r="B145">
        <v>10</v>
      </c>
      <c r="C145" t="s">
        <v>8</v>
      </c>
      <c r="D145" t="s">
        <v>9</v>
      </c>
      <c r="E145" t="s">
        <v>12</v>
      </c>
      <c r="F145" t="s">
        <v>13</v>
      </c>
      <c r="G145" s="2">
        <v>0</v>
      </c>
      <c r="H145" s="2">
        <v>23100</v>
      </c>
      <c r="I145" s="2">
        <v>23100</v>
      </c>
      <c r="J145" s="2" t="str">
        <f>_xlfn.XLOOKUP(Data[[#This Row],[Main SKU]],MD_Main_SKU[Main SKU],MD_Main_SKU[SKU name_gom])</f>
        <v>WSS01</v>
      </c>
      <c r="K145" s="2" t="str">
        <f>_xlfn.XLOOKUP(Data[[#This Row],[Material-Nhập]],MD_Main_SKU[Main SKU],MD_Main_SKU[SKU name_gom])</f>
        <v>WSS03</v>
      </c>
    </row>
    <row r="146" spans="1:11" x14ac:dyDescent="0.35">
      <c r="A146">
        <v>2024</v>
      </c>
      <c r="B146">
        <v>10</v>
      </c>
      <c r="C146" t="s">
        <v>8</v>
      </c>
      <c r="D146" t="s">
        <v>9</v>
      </c>
      <c r="E146" t="s">
        <v>22</v>
      </c>
      <c r="F146" t="s">
        <v>23</v>
      </c>
      <c r="G146" s="2">
        <v>0</v>
      </c>
      <c r="H146" s="2">
        <v>4400</v>
      </c>
      <c r="I146" s="2">
        <v>4400</v>
      </c>
      <c r="J146" s="2" t="str">
        <f>_xlfn.XLOOKUP(Data[[#This Row],[Main SKU]],MD_Main_SKU[Main SKU],MD_Main_SKU[SKU name_gom])</f>
        <v>WSS01</v>
      </c>
      <c r="K146" s="2" t="str">
        <f>_xlfn.XLOOKUP(Data[[#This Row],[Material-Nhập]],MD_Main_SKU[Main SKU],MD_Main_SKU[SKU name_gom])</f>
        <v>WSS03</v>
      </c>
    </row>
    <row r="147" spans="1:11" x14ac:dyDescent="0.35">
      <c r="A147">
        <v>2024</v>
      </c>
      <c r="B147">
        <v>10</v>
      </c>
      <c r="C147" t="s">
        <v>14</v>
      </c>
      <c r="D147" t="s">
        <v>15</v>
      </c>
      <c r="E147" t="s">
        <v>14</v>
      </c>
      <c r="F147" t="s">
        <v>15</v>
      </c>
      <c r="G147" s="2">
        <v>700702.00000000012</v>
      </c>
      <c r="H147" s="2">
        <v>0</v>
      </c>
      <c r="I147" s="2">
        <v>700702.00000000012</v>
      </c>
      <c r="J147" s="2" t="str">
        <f>_xlfn.XLOOKUP(Data[[#This Row],[Main SKU]],MD_Main_SKU[Main SKU],MD_Main_SKU[SKU name_gom])</f>
        <v>iSS01084</v>
      </c>
      <c r="K147" s="2" t="str">
        <f>_xlfn.XLOOKUP(Data[[#This Row],[Material-Nhập]],MD_Main_SKU[Main SKU],MD_Main_SKU[SKU name_gom])</f>
        <v>iSS01084</v>
      </c>
    </row>
    <row r="148" spans="1:11" x14ac:dyDescent="0.35">
      <c r="A148">
        <v>2024</v>
      </c>
      <c r="B148">
        <v>10</v>
      </c>
      <c r="C148" t="s">
        <v>14</v>
      </c>
      <c r="D148" t="s">
        <v>15</v>
      </c>
      <c r="E148" t="s">
        <v>18</v>
      </c>
      <c r="F148" t="s">
        <v>19</v>
      </c>
      <c r="G148" s="2">
        <v>0</v>
      </c>
      <c r="H148" s="2">
        <v>16500</v>
      </c>
      <c r="I148" s="2">
        <v>16500</v>
      </c>
      <c r="J148" s="2" t="str">
        <f>_xlfn.XLOOKUP(Data[[#This Row],[Main SKU]],MD_Main_SKU[Main SKU],MD_Main_SKU[SKU name_gom])</f>
        <v>iSS01084</v>
      </c>
      <c r="K148" s="2" t="str">
        <f>_xlfn.XLOOKUP(Data[[#This Row],[Material-Nhập]],MD_Main_SKU[Main SKU],MD_Main_SKU[SKU name_gom])</f>
        <v>iSS01</v>
      </c>
    </row>
    <row r="149" spans="1:11" x14ac:dyDescent="0.35">
      <c r="A149">
        <v>2024</v>
      </c>
      <c r="B149">
        <v>10</v>
      </c>
      <c r="C149" t="s">
        <v>14</v>
      </c>
      <c r="D149" t="s">
        <v>15</v>
      </c>
      <c r="E149" t="s">
        <v>20</v>
      </c>
      <c r="F149" t="s">
        <v>21</v>
      </c>
      <c r="G149" s="2">
        <v>0</v>
      </c>
      <c r="H149" s="2">
        <v>1100</v>
      </c>
      <c r="I149" s="2">
        <v>1100</v>
      </c>
      <c r="J149" s="2" t="str">
        <f>_xlfn.XLOOKUP(Data[[#This Row],[Main SKU]],MD_Main_SKU[Main SKU],MD_Main_SKU[SKU name_gom])</f>
        <v>iSS01084</v>
      </c>
      <c r="K149" s="2" t="str">
        <f>_xlfn.XLOOKUP(Data[[#This Row],[Material-Nhập]],MD_Main_SKU[Main SKU],MD_Main_SKU[SKU name_gom])</f>
        <v>WSS02</v>
      </c>
    </row>
    <row r="150" spans="1:11" x14ac:dyDescent="0.35">
      <c r="A150">
        <v>2024</v>
      </c>
      <c r="B150">
        <v>10</v>
      </c>
      <c r="C150" t="s">
        <v>14</v>
      </c>
      <c r="D150" t="s">
        <v>15</v>
      </c>
      <c r="E150" t="s">
        <v>22</v>
      </c>
      <c r="F150" t="s">
        <v>23</v>
      </c>
      <c r="G150" s="2">
        <v>0</v>
      </c>
      <c r="H150" s="2">
        <v>132000</v>
      </c>
      <c r="I150" s="2">
        <v>132000</v>
      </c>
      <c r="J150" s="2" t="str">
        <f>_xlfn.XLOOKUP(Data[[#This Row],[Main SKU]],MD_Main_SKU[Main SKU],MD_Main_SKU[SKU name_gom])</f>
        <v>iSS01084</v>
      </c>
      <c r="K150" s="2" t="str">
        <f>_xlfn.XLOOKUP(Data[[#This Row],[Material-Nhập]],MD_Main_SKU[Main SKU],MD_Main_SKU[SKU name_gom])</f>
        <v>WSS03</v>
      </c>
    </row>
    <row r="151" spans="1:11" x14ac:dyDescent="0.35">
      <c r="A151">
        <v>2024</v>
      </c>
      <c r="B151">
        <v>10</v>
      </c>
      <c r="C151" t="s">
        <v>16</v>
      </c>
      <c r="D151" t="s">
        <v>17</v>
      </c>
      <c r="E151" t="s">
        <v>16</v>
      </c>
      <c r="F151" t="s">
        <v>17</v>
      </c>
      <c r="G151" s="2">
        <v>964050</v>
      </c>
      <c r="H151" s="2">
        <v>0</v>
      </c>
      <c r="I151" s="2">
        <v>964050</v>
      </c>
      <c r="J151" s="2" t="str">
        <f>_xlfn.XLOOKUP(Data[[#This Row],[Main SKU]],MD_Main_SKU[Main SKU],MD_Main_SKU[SKU name_gom])</f>
        <v>WSS01</v>
      </c>
      <c r="K151" s="2" t="str">
        <f>_xlfn.XLOOKUP(Data[[#This Row],[Material-Nhập]],MD_Main_SKU[Main SKU],MD_Main_SKU[SKU name_gom])</f>
        <v>WSS01</v>
      </c>
    </row>
    <row r="152" spans="1:11" x14ac:dyDescent="0.35">
      <c r="A152">
        <v>2024</v>
      </c>
      <c r="B152">
        <v>10</v>
      </c>
      <c r="C152" t="s">
        <v>16</v>
      </c>
      <c r="D152" t="s">
        <v>17</v>
      </c>
      <c r="E152" t="s">
        <v>18</v>
      </c>
      <c r="F152" t="s">
        <v>19</v>
      </c>
      <c r="G152" s="2">
        <v>0</v>
      </c>
      <c r="H152" s="2">
        <v>81400</v>
      </c>
      <c r="I152" s="2">
        <v>81400</v>
      </c>
      <c r="J152" s="2" t="str">
        <f>_xlfn.XLOOKUP(Data[[#This Row],[Main SKU]],MD_Main_SKU[Main SKU],MD_Main_SKU[SKU name_gom])</f>
        <v>WSS01</v>
      </c>
      <c r="K152" s="2" t="str">
        <f>_xlfn.XLOOKUP(Data[[#This Row],[Material-Nhập]],MD_Main_SKU[Main SKU],MD_Main_SKU[SKU name_gom])</f>
        <v>iSS01</v>
      </c>
    </row>
    <row r="153" spans="1:11" x14ac:dyDescent="0.35">
      <c r="A153">
        <v>2024</v>
      </c>
      <c r="B153">
        <v>10</v>
      </c>
      <c r="C153" t="s">
        <v>16</v>
      </c>
      <c r="D153" t="s">
        <v>17</v>
      </c>
      <c r="E153" t="s">
        <v>22</v>
      </c>
      <c r="F153" t="s">
        <v>23</v>
      </c>
      <c r="G153" s="2">
        <v>0</v>
      </c>
      <c r="H153" s="2">
        <v>35106</v>
      </c>
      <c r="I153" s="2">
        <v>35106</v>
      </c>
      <c r="J153" s="2" t="str">
        <f>_xlfn.XLOOKUP(Data[[#This Row],[Main SKU]],MD_Main_SKU[Main SKU],MD_Main_SKU[SKU name_gom])</f>
        <v>WSS01</v>
      </c>
      <c r="K153" s="2" t="str">
        <f>_xlfn.XLOOKUP(Data[[#This Row],[Material-Nhập]],MD_Main_SKU[Main SKU],MD_Main_SKU[SKU name_gom])</f>
        <v>WSS03</v>
      </c>
    </row>
    <row r="154" spans="1:11" x14ac:dyDescent="0.35">
      <c r="A154">
        <v>2024</v>
      </c>
      <c r="B154">
        <v>10</v>
      </c>
      <c r="C154" t="s">
        <v>18</v>
      </c>
      <c r="D154" t="s">
        <v>19</v>
      </c>
      <c r="E154" t="s">
        <v>14</v>
      </c>
      <c r="F154" t="s">
        <v>15</v>
      </c>
      <c r="G154" s="2">
        <v>0</v>
      </c>
      <c r="H154" s="2">
        <v>16338</v>
      </c>
      <c r="I154" s="2">
        <v>16338</v>
      </c>
      <c r="J154" s="2" t="str">
        <f>_xlfn.XLOOKUP(Data[[#This Row],[Main SKU]],MD_Main_SKU[Main SKU],MD_Main_SKU[SKU name_gom])</f>
        <v>iSS01</v>
      </c>
      <c r="K154" s="2" t="str">
        <f>_xlfn.XLOOKUP(Data[[#This Row],[Material-Nhập]],MD_Main_SKU[Main SKU],MD_Main_SKU[SKU name_gom])</f>
        <v>iSS01084</v>
      </c>
    </row>
    <row r="155" spans="1:11" x14ac:dyDescent="0.35">
      <c r="A155">
        <v>2024</v>
      </c>
      <c r="B155">
        <v>10</v>
      </c>
      <c r="C155" t="s">
        <v>18</v>
      </c>
      <c r="D155" t="s">
        <v>19</v>
      </c>
      <c r="E155" t="s">
        <v>16</v>
      </c>
      <c r="F155" t="s">
        <v>17</v>
      </c>
      <c r="G155" s="2">
        <v>0</v>
      </c>
      <c r="H155" s="2">
        <v>2200</v>
      </c>
      <c r="I155" s="2">
        <v>2200</v>
      </c>
      <c r="J155" s="2" t="str">
        <f>_xlfn.XLOOKUP(Data[[#This Row],[Main SKU]],MD_Main_SKU[Main SKU],MD_Main_SKU[SKU name_gom])</f>
        <v>iSS01</v>
      </c>
      <c r="K155" s="2" t="str">
        <f>_xlfn.XLOOKUP(Data[[#This Row],[Material-Nhập]],MD_Main_SKU[Main SKU],MD_Main_SKU[SKU name_gom])</f>
        <v>WSS01</v>
      </c>
    </row>
    <row r="156" spans="1:11" x14ac:dyDescent="0.35">
      <c r="A156">
        <v>2024</v>
      </c>
      <c r="B156">
        <v>10</v>
      </c>
      <c r="C156" t="s">
        <v>18</v>
      </c>
      <c r="D156" t="s">
        <v>19</v>
      </c>
      <c r="E156" t="s">
        <v>18</v>
      </c>
      <c r="F156" t="s">
        <v>19</v>
      </c>
      <c r="G156" s="2">
        <v>149600</v>
      </c>
      <c r="H156" s="2">
        <v>0</v>
      </c>
      <c r="I156" s="2">
        <v>149600</v>
      </c>
      <c r="J156" s="2" t="str">
        <f>_xlfn.XLOOKUP(Data[[#This Row],[Main SKU]],MD_Main_SKU[Main SKU],MD_Main_SKU[SKU name_gom])</f>
        <v>iSS01</v>
      </c>
      <c r="K156" s="2" t="str">
        <f>_xlfn.XLOOKUP(Data[[#This Row],[Material-Nhập]],MD_Main_SKU[Main SKU],MD_Main_SKU[SKU name_gom])</f>
        <v>iSS01</v>
      </c>
    </row>
    <row r="157" spans="1:11" x14ac:dyDescent="0.35">
      <c r="A157">
        <v>2024</v>
      </c>
      <c r="B157">
        <v>10</v>
      </c>
      <c r="C157" t="s">
        <v>18</v>
      </c>
      <c r="D157" t="s">
        <v>19</v>
      </c>
      <c r="E157" t="s">
        <v>22</v>
      </c>
      <c r="F157" t="s">
        <v>23</v>
      </c>
      <c r="G157" s="2">
        <v>0</v>
      </c>
      <c r="H157" s="2">
        <v>13816.5</v>
      </c>
      <c r="I157" s="2">
        <v>13816.5</v>
      </c>
      <c r="J157" s="2" t="str">
        <f>_xlfn.XLOOKUP(Data[[#This Row],[Main SKU]],MD_Main_SKU[Main SKU],MD_Main_SKU[SKU name_gom])</f>
        <v>iSS01</v>
      </c>
      <c r="K157" s="2" t="str">
        <f>_xlfn.XLOOKUP(Data[[#This Row],[Material-Nhập]],MD_Main_SKU[Main SKU],MD_Main_SKU[SKU name_gom])</f>
        <v>WSS03</v>
      </c>
    </row>
    <row r="158" spans="1:11" x14ac:dyDescent="0.35">
      <c r="A158">
        <v>2024</v>
      </c>
      <c r="B158">
        <v>10</v>
      </c>
      <c r="C158" t="s">
        <v>22</v>
      </c>
      <c r="D158" t="s">
        <v>23</v>
      </c>
      <c r="E158" t="s">
        <v>22</v>
      </c>
      <c r="F158" t="s">
        <v>23</v>
      </c>
      <c r="G158" s="2">
        <v>108900</v>
      </c>
      <c r="H158" s="2">
        <v>0</v>
      </c>
      <c r="I158" s="2">
        <v>108900</v>
      </c>
      <c r="J158" s="2" t="str">
        <f>_xlfn.XLOOKUP(Data[[#This Row],[Main SKU]],MD_Main_SKU[Main SKU],MD_Main_SKU[SKU name_gom])</f>
        <v>WSS03</v>
      </c>
      <c r="K158" s="2" t="str">
        <f>_xlfn.XLOOKUP(Data[[#This Row],[Material-Nhập]],MD_Main_SKU[Main SKU],MD_Main_SKU[SKU name_gom])</f>
        <v>WSS03</v>
      </c>
    </row>
    <row r="159" spans="1:11" x14ac:dyDescent="0.35">
      <c r="A159">
        <v>2024</v>
      </c>
      <c r="B159">
        <v>10</v>
      </c>
      <c r="C159" t="s">
        <v>24</v>
      </c>
      <c r="D159" t="s">
        <v>25</v>
      </c>
      <c r="E159" t="s">
        <v>20</v>
      </c>
      <c r="F159" t="s">
        <v>21</v>
      </c>
      <c r="G159" s="2">
        <v>0</v>
      </c>
      <c r="H159" s="2">
        <v>52800</v>
      </c>
      <c r="I159" s="2">
        <v>52800</v>
      </c>
      <c r="J159" s="2" t="str">
        <f>_xlfn.XLOOKUP(Data[[#This Row],[Main SKU]],MD_Main_SKU[Main SKU],MD_Main_SKU[SKU name_gom])</f>
        <v>WSS01</v>
      </c>
      <c r="K159" s="2" t="str">
        <f>_xlfn.XLOOKUP(Data[[#This Row],[Material-Nhập]],MD_Main_SKU[Main SKU],MD_Main_SKU[SKU name_gom])</f>
        <v>WSS02</v>
      </c>
    </row>
    <row r="160" spans="1:11" x14ac:dyDescent="0.35">
      <c r="A160">
        <v>2024</v>
      </c>
      <c r="B160">
        <v>10</v>
      </c>
      <c r="C160" t="s">
        <v>24</v>
      </c>
      <c r="D160" t="s">
        <v>25</v>
      </c>
      <c r="E160" t="s">
        <v>22</v>
      </c>
      <c r="F160" t="s">
        <v>23</v>
      </c>
      <c r="G160" s="2">
        <v>0</v>
      </c>
      <c r="H160" s="2">
        <v>520500</v>
      </c>
      <c r="I160" s="2">
        <v>520500</v>
      </c>
      <c r="J160" s="2" t="str">
        <f>_xlfn.XLOOKUP(Data[[#This Row],[Main SKU]],MD_Main_SKU[Main SKU],MD_Main_SKU[SKU name_gom])</f>
        <v>WSS01</v>
      </c>
      <c r="K160" s="2" t="str">
        <f>_xlfn.XLOOKUP(Data[[#This Row],[Material-Nhập]],MD_Main_SKU[Main SKU],MD_Main_SKU[SKU name_gom])</f>
        <v>WSS03</v>
      </c>
    </row>
    <row r="161" spans="1:11" x14ac:dyDescent="0.35">
      <c r="A161">
        <v>2024</v>
      </c>
      <c r="B161">
        <v>10</v>
      </c>
      <c r="C161" t="s">
        <v>24</v>
      </c>
      <c r="D161" t="s">
        <v>25</v>
      </c>
      <c r="E161" t="s">
        <v>24</v>
      </c>
      <c r="F161" t="s">
        <v>25</v>
      </c>
      <c r="G161" s="2">
        <v>12460</v>
      </c>
      <c r="H161" s="2">
        <v>0</v>
      </c>
      <c r="I161" s="2">
        <v>12460</v>
      </c>
      <c r="J161" s="2" t="str">
        <f>_xlfn.XLOOKUP(Data[[#This Row],[Main SKU]],MD_Main_SKU[Main SKU],MD_Main_SKU[SKU name_gom])</f>
        <v>WSS01</v>
      </c>
      <c r="K161" s="2" t="str">
        <f>_xlfn.XLOOKUP(Data[[#This Row],[Material-Nhập]],MD_Main_SKU[Main SKU],MD_Main_SKU[SKU name_gom])</f>
        <v>WSS01</v>
      </c>
    </row>
    <row r="162" spans="1:11" x14ac:dyDescent="0.35">
      <c r="A162">
        <v>2024</v>
      </c>
      <c r="B162">
        <v>10</v>
      </c>
      <c r="C162" t="s">
        <v>26</v>
      </c>
      <c r="D162" t="s">
        <v>27</v>
      </c>
      <c r="E162" t="s">
        <v>24</v>
      </c>
      <c r="F162" t="s">
        <v>25</v>
      </c>
      <c r="G162" s="2">
        <v>0</v>
      </c>
      <c r="H162" s="2">
        <v>8800</v>
      </c>
      <c r="I162" s="2">
        <v>8800</v>
      </c>
      <c r="J162" s="2" t="str">
        <f>_xlfn.XLOOKUP(Data[[#This Row],[Main SKU]],MD_Main_SKU[Main SKU],MD_Main_SKU[SKU name_gom])</f>
        <v>iSS01</v>
      </c>
      <c r="K162" s="2" t="str">
        <f>_xlfn.XLOOKUP(Data[[#This Row],[Material-Nhập]],MD_Main_SKU[Main SKU],MD_Main_SKU[SKU name_gom])</f>
        <v>WSS01</v>
      </c>
    </row>
    <row r="163" spans="1:11" x14ac:dyDescent="0.35">
      <c r="A163">
        <v>2024</v>
      </c>
      <c r="B163">
        <v>10</v>
      </c>
      <c r="C163" t="s">
        <v>26</v>
      </c>
      <c r="D163" t="s">
        <v>27</v>
      </c>
      <c r="E163" t="s">
        <v>26</v>
      </c>
      <c r="F163" t="s">
        <v>27</v>
      </c>
      <c r="G163" s="2">
        <v>204600</v>
      </c>
      <c r="H163" s="2">
        <v>17600</v>
      </c>
      <c r="I163" s="2">
        <v>222200</v>
      </c>
      <c r="J163" s="2" t="str">
        <f>_xlfn.XLOOKUP(Data[[#This Row],[Main SKU]],MD_Main_SKU[Main SKU],MD_Main_SKU[SKU name_gom])</f>
        <v>iSS01</v>
      </c>
      <c r="K163" s="2" t="str">
        <f>_xlfn.XLOOKUP(Data[[#This Row],[Material-Nhập]],MD_Main_SKU[Main SKU],MD_Main_SKU[SKU name_gom])</f>
        <v>iSS01</v>
      </c>
    </row>
    <row r="164" spans="1:11" x14ac:dyDescent="0.35">
      <c r="A164">
        <v>2024</v>
      </c>
      <c r="B164">
        <v>11</v>
      </c>
      <c r="C164" t="s">
        <v>8</v>
      </c>
      <c r="D164" t="s">
        <v>9</v>
      </c>
      <c r="E164" t="s">
        <v>8</v>
      </c>
      <c r="F164" t="s">
        <v>9</v>
      </c>
      <c r="G164" s="2">
        <v>400400</v>
      </c>
      <c r="H164" s="2">
        <v>0</v>
      </c>
      <c r="I164" s="2">
        <v>400400</v>
      </c>
      <c r="J164" s="2" t="str">
        <f>_xlfn.XLOOKUP(Data[[#This Row],[Main SKU]],MD_Main_SKU[Main SKU],MD_Main_SKU[SKU name_gom])</f>
        <v>WSS01</v>
      </c>
      <c r="K164" s="2" t="str">
        <f>_xlfn.XLOOKUP(Data[[#This Row],[Material-Nhập]],MD_Main_SKU[Main SKU],MD_Main_SKU[SKU name_gom])</f>
        <v>WSS01</v>
      </c>
    </row>
    <row r="165" spans="1:11" x14ac:dyDescent="0.35">
      <c r="A165">
        <v>2024</v>
      </c>
      <c r="B165">
        <v>11</v>
      </c>
      <c r="C165" t="s">
        <v>8</v>
      </c>
      <c r="D165" t="s">
        <v>9</v>
      </c>
      <c r="E165" t="s">
        <v>22</v>
      </c>
      <c r="F165" t="s">
        <v>23</v>
      </c>
      <c r="G165" s="2">
        <v>0</v>
      </c>
      <c r="H165" s="2">
        <v>4400</v>
      </c>
      <c r="I165" s="2">
        <v>4400</v>
      </c>
      <c r="J165" s="2" t="str">
        <f>_xlfn.XLOOKUP(Data[[#This Row],[Main SKU]],MD_Main_SKU[Main SKU],MD_Main_SKU[SKU name_gom])</f>
        <v>WSS01</v>
      </c>
      <c r="K165" s="2" t="str">
        <f>_xlfn.XLOOKUP(Data[[#This Row],[Material-Nhập]],MD_Main_SKU[Main SKU],MD_Main_SKU[SKU name_gom])</f>
        <v>WSS03</v>
      </c>
    </row>
    <row r="166" spans="1:11" x14ac:dyDescent="0.35">
      <c r="A166">
        <v>2024</v>
      </c>
      <c r="B166">
        <v>11</v>
      </c>
      <c r="C166" t="s">
        <v>14</v>
      </c>
      <c r="D166" t="s">
        <v>15</v>
      </c>
      <c r="E166" t="s">
        <v>14</v>
      </c>
      <c r="F166" t="s">
        <v>15</v>
      </c>
      <c r="G166" s="2">
        <v>896499.99999999988</v>
      </c>
      <c r="H166" s="2">
        <v>0</v>
      </c>
      <c r="I166" s="2">
        <v>896499.99999999988</v>
      </c>
      <c r="J166" s="2" t="str">
        <f>_xlfn.XLOOKUP(Data[[#This Row],[Main SKU]],MD_Main_SKU[Main SKU],MD_Main_SKU[SKU name_gom])</f>
        <v>iSS01084</v>
      </c>
      <c r="K166" s="2" t="str">
        <f>_xlfn.XLOOKUP(Data[[#This Row],[Material-Nhập]],MD_Main_SKU[Main SKU],MD_Main_SKU[SKU name_gom])</f>
        <v>iSS01084</v>
      </c>
    </row>
    <row r="167" spans="1:11" x14ac:dyDescent="0.35">
      <c r="A167">
        <v>2024</v>
      </c>
      <c r="B167">
        <v>11</v>
      </c>
      <c r="C167" t="s">
        <v>14</v>
      </c>
      <c r="D167" t="s">
        <v>15</v>
      </c>
      <c r="E167" t="s">
        <v>18</v>
      </c>
      <c r="F167" t="s">
        <v>19</v>
      </c>
      <c r="G167" s="2">
        <v>0</v>
      </c>
      <c r="H167" s="2">
        <v>6600</v>
      </c>
      <c r="I167" s="2">
        <v>6600</v>
      </c>
      <c r="J167" s="2" t="str">
        <f>_xlfn.XLOOKUP(Data[[#This Row],[Main SKU]],MD_Main_SKU[Main SKU],MD_Main_SKU[SKU name_gom])</f>
        <v>iSS01084</v>
      </c>
      <c r="K167" s="2" t="str">
        <f>_xlfn.XLOOKUP(Data[[#This Row],[Material-Nhập]],MD_Main_SKU[Main SKU],MD_Main_SKU[SKU name_gom])</f>
        <v>iSS01</v>
      </c>
    </row>
    <row r="168" spans="1:11" x14ac:dyDescent="0.35">
      <c r="A168">
        <v>2024</v>
      </c>
      <c r="B168">
        <v>11</v>
      </c>
      <c r="C168" t="s">
        <v>14</v>
      </c>
      <c r="D168" t="s">
        <v>15</v>
      </c>
      <c r="E168" t="s">
        <v>22</v>
      </c>
      <c r="F168" t="s">
        <v>23</v>
      </c>
      <c r="G168" s="2">
        <v>0</v>
      </c>
      <c r="H168" s="2">
        <v>68200.000000000015</v>
      </c>
      <c r="I168" s="2">
        <v>68200.000000000015</v>
      </c>
      <c r="J168" s="2" t="str">
        <f>_xlfn.XLOOKUP(Data[[#This Row],[Main SKU]],MD_Main_SKU[Main SKU],MD_Main_SKU[SKU name_gom])</f>
        <v>iSS01084</v>
      </c>
      <c r="K168" s="2" t="str">
        <f>_xlfn.XLOOKUP(Data[[#This Row],[Material-Nhập]],MD_Main_SKU[Main SKU],MD_Main_SKU[SKU name_gom])</f>
        <v>WSS03</v>
      </c>
    </row>
    <row r="169" spans="1:11" x14ac:dyDescent="0.35">
      <c r="A169">
        <v>2024</v>
      </c>
      <c r="B169">
        <v>11</v>
      </c>
      <c r="C169" t="s">
        <v>16</v>
      </c>
      <c r="D169" t="s">
        <v>17</v>
      </c>
      <c r="E169" t="s">
        <v>16</v>
      </c>
      <c r="F169" t="s">
        <v>17</v>
      </c>
      <c r="G169" s="2">
        <v>1083500</v>
      </c>
      <c r="H169" s="2">
        <v>0</v>
      </c>
      <c r="I169" s="2">
        <v>1083500</v>
      </c>
      <c r="J169" s="2" t="str">
        <f>_xlfn.XLOOKUP(Data[[#This Row],[Main SKU]],MD_Main_SKU[Main SKU],MD_Main_SKU[SKU name_gom])</f>
        <v>WSS01</v>
      </c>
      <c r="K169" s="2" t="str">
        <f>_xlfn.XLOOKUP(Data[[#This Row],[Material-Nhập]],MD_Main_SKU[Main SKU],MD_Main_SKU[SKU name_gom])</f>
        <v>WSS01</v>
      </c>
    </row>
    <row r="170" spans="1:11" x14ac:dyDescent="0.35">
      <c r="A170">
        <v>2024</v>
      </c>
      <c r="B170">
        <v>11</v>
      </c>
      <c r="C170" t="s">
        <v>16</v>
      </c>
      <c r="D170" t="s">
        <v>17</v>
      </c>
      <c r="E170" t="s">
        <v>18</v>
      </c>
      <c r="F170" t="s">
        <v>19</v>
      </c>
      <c r="G170" s="2">
        <v>0</v>
      </c>
      <c r="H170" s="2">
        <v>244200</v>
      </c>
      <c r="I170" s="2">
        <v>244200</v>
      </c>
      <c r="J170" s="2" t="str">
        <f>_xlfn.XLOOKUP(Data[[#This Row],[Main SKU]],MD_Main_SKU[Main SKU],MD_Main_SKU[SKU name_gom])</f>
        <v>WSS01</v>
      </c>
      <c r="K170" s="2" t="str">
        <f>_xlfn.XLOOKUP(Data[[#This Row],[Material-Nhập]],MD_Main_SKU[Main SKU],MD_Main_SKU[SKU name_gom])</f>
        <v>iSS01</v>
      </c>
    </row>
    <row r="171" spans="1:11" x14ac:dyDescent="0.35">
      <c r="A171">
        <v>2024</v>
      </c>
      <c r="B171">
        <v>11</v>
      </c>
      <c r="C171" t="s">
        <v>16</v>
      </c>
      <c r="D171" t="s">
        <v>17</v>
      </c>
      <c r="E171" t="s">
        <v>20</v>
      </c>
      <c r="F171" t="s">
        <v>21</v>
      </c>
      <c r="G171" s="2">
        <v>0</v>
      </c>
      <c r="H171" s="2">
        <v>5500</v>
      </c>
      <c r="I171" s="2">
        <v>5500</v>
      </c>
      <c r="J171" s="2" t="str">
        <f>_xlfn.XLOOKUP(Data[[#This Row],[Main SKU]],MD_Main_SKU[Main SKU],MD_Main_SKU[SKU name_gom])</f>
        <v>WSS01</v>
      </c>
      <c r="K171" s="2" t="str">
        <f>_xlfn.XLOOKUP(Data[[#This Row],[Material-Nhập]],MD_Main_SKU[Main SKU],MD_Main_SKU[SKU name_gom])</f>
        <v>WSS02</v>
      </c>
    </row>
    <row r="172" spans="1:11" x14ac:dyDescent="0.35">
      <c r="A172">
        <v>2024</v>
      </c>
      <c r="B172">
        <v>11</v>
      </c>
      <c r="C172" t="s">
        <v>16</v>
      </c>
      <c r="D172" t="s">
        <v>17</v>
      </c>
      <c r="E172" t="s">
        <v>22</v>
      </c>
      <c r="F172" t="s">
        <v>23</v>
      </c>
      <c r="G172" s="2">
        <v>0</v>
      </c>
      <c r="H172" s="2">
        <v>15435</v>
      </c>
      <c r="I172" s="2">
        <v>15435</v>
      </c>
      <c r="J172" s="2" t="str">
        <f>_xlfn.XLOOKUP(Data[[#This Row],[Main SKU]],MD_Main_SKU[Main SKU],MD_Main_SKU[SKU name_gom])</f>
        <v>WSS01</v>
      </c>
      <c r="K172" s="2" t="str">
        <f>_xlfn.XLOOKUP(Data[[#This Row],[Material-Nhập]],MD_Main_SKU[Main SKU],MD_Main_SKU[SKU name_gom])</f>
        <v>WSS03</v>
      </c>
    </row>
    <row r="173" spans="1:11" x14ac:dyDescent="0.35">
      <c r="A173">
        <v>2024</v>
      </c>
      <c r="B173">
        <v>11</v>
      </c>
      <c r="C173" t="s">
        <v>18</v>
      </c>
      <c r="D173" t="s">
        <v>19</v>
      </c>
      <c r="E173" t="s">
        <v>14</v>
      </c>
      <c r="F173" t="s">
        <v>15</v>
      </c>
      <c r="G173" s="2">
        <v>0</v>
      </c>
      <c r="H173" s="2">
        <v>13200</v>
      </c>
      <c r="I173" s="2">
        <v>13200</v>
      </c>
      <c r="J173" s="2" t="str">
        <f>_xlfn.XLOOKUP(Data[[#This Row],[Main SKU]],MD_Main_SKU[Main SKU],MD_Main_SKU[SKU name_gom])</f>
        <v>iSS01</v>
      </c>
      <c r="K173" s="2" t="str">
        <f>_xlfn.XLOOKUP(Data[[#This Row],[Material-Nhập]],MD_Main_SKU[Main SKU],MD_Main_SKU[SKU name_gom])</f>
        <v>iSS01084</v>
      </c>
    </row>
    <row r="174" spans="1:11" x14ac:dyDescent="0.35">
      <c r="A174">
        <v>2024</v>
      </c>
      <c r="B174">
        <v>11</v>
      </c>
      <c r="C174" t="s">
        <v>18</v>
      </c>
      <c r="D174" t="s">
        <v>19</v>
      </c>
      <c r="E174" t="s">
        <v>16</v>
      </c>
      <c r="F174" t="s">
        <v>17</v>
      </c>
      <c r="G174" s="2">
        <v>0</v>
      </c>
      <c r="H174" s="2">
        <v>24200</v>
      </c>
      <c r="I174" s="2">
        <v>24200</v>
      </c>
      <c r="J174" s="2" t="str">
        <f>_xlfn.XLOOKUP(Data[[#This Row],[Main SKU]],MD_Main_SKU[Main SKU],MD_Main_SKU[SKU name_gom])</f>
        <v>iSS01</v>
      </c>
      <c r="K174" s="2" t="str">
        <f>_xlfn.XLOOKUP(Data[[#This Row],[Material-Nhập]],MD_Main_SKU[Main SKU],MD_Main_SKU[SKU name_gom])</f>
        <v>WSS01</v>
      </c>
    </row>
    <row r="175" spans="1:11" x14ac:dyDescent="0.35">
      <c r="A175">
        <v>2024</v>
      </c>
      <c r="B175">
        <v>11</v>
      </c>
      <c r="C175" t="s">
        <v>18</v>
      </c>
      <c r="D175" t="s">
        <v>19</v>
      </c>
      <c r="E175" t="s">
        <v>18</v>
      </c>
      <c r="F175" t="s">
        <v>19</v>
      </c>
      <c r="G175" s="2">
        <v>144100</v>
      </c>
      <c r="H175" s="2">
        <v>0</v>
      </c>
      <c r="I175" s="2">
        <v>144100</v>
      </c>
      <c r="J175" s="2" t="str">
        <f>_xlfn.XLOOKUP(Data[[#This Row],[Main SKU]],MD_Main_SKU[Main SKU],MD_Main_SKU[SKU name_gom])</f>
        <v>iSS01</v>
      </c>
      <c r="K175" s="2" t="str">
        <f>_xlfn.XLOOKUP(Data[[#This Row],[Material-Nhập]],MD_Main_SKU[Main SKU],MD_Main_SKU[SKU name_gom])</f>
        <v>iSS01</v>
      </c>
    </row>
    <row r="176" spans="1:11" x14ac:dyDescent="0.35">
      <c r="A176">
        <v>2024</v>
      </c>
      <c r="B176">
        <v>11</v>
      </c>
      <c r="C176" t="s">
        <v>18</v>
      </c>
      <c r="D176" t="s">
        <v>19</v>
      </c>
      <c r="E176" t="s">
        <v>22</v>
      </c>
      <c r="F176" t="s">
        <v>23</v>
      </c>
      <c r="G176" s="2">
        <v>0</v>
      </c>
      <c r="H176" s="2">
        <v>25300</v>
      </c>
      <c r="I176" s="2">
        <v>25300</v>
      </c>
      <c r="J176" s="2" t="str">
        <f>_xlfn.XLOOKUP(Data[[#This Row],[Main SKU]],MD_Main_SKU[Main SKU],MD_Main_SKU[SKU name_gom])</f>
        <v>iSS01</v>
      </c>
      <c r="K176" s="2" t="str">
        <f>_xlfn.XLOOKUP(Data[[#This Row],[Material-Nhập]],MD_Main_SKU[Main SKU],MD_Main_SKU[SKU name_gom])</f>
        <v>WSS03</v>
      </c>
    </row>
    <row r="177" spans="1:11" x14ac:dyDescent="0.35">
      <c r="A177">
        <v>2024</v>
      </c>
      <c r="B177">
        <v>11</v>
      </c>
      <c r="C177" t="s">
        <v>22</v>
      </c>
      <c r="D177" t="s">
        <v>23</v>
      </c>
      <c r="E177" t="s">
        <v>20</v>
      </c>
      <c r="F177" t="s">
        <v>21</v>
      </c>
      <c r="G177" s="2">
        <v>0</v>
      </c>
      <c r="H177" s="2">
        <v>1100</v>
      </c>
      <c r="I177" s="2">
        <v>1100</v>
      </c>
      <c r="J177" s="2" t="str">
        <f>_xlfn.XLOOKUP(Data[[#This Row],[Main SKU]],MD_Main_SKU[Main SKU],MD_Main_SKU[SKU name_gom])</f>
        <v>WSS03</v>
      </c>
      <c r="K177" s="2" t="str">
        <f>_xlfn.XLOOKUP(Data[[#This Row],[Material-Nhập]],MD_Main_SKU[Main SKU],MD_Main_SKU[SKU name_gom])</f>
        <v>WSS02</v>
      </c>
    </row>
    <row r="178" spans="1:11" x14ac:dyDescent="0.35">
      <c r="A178">
        <v>2024</v>
      </c>
      <c r="B178">
        <v>11</v>
      </c>
      <c r="C178" t="s">
        <v>22</v>
      </c>
      <c r="D178" t="s">
        <v>23</v>
      </c>
      <c r="E178" t="s">
        <v>22</v>
      </c>
      <c r="F178" t="s">
        <v>23</v>
      </c>
      <c r="G178" s="2">
        <v>93500</v>
      </c>
      <c r="H178" s="2">
        <v>0</v>
      </c>
      <c r="I178" s="2">
        <v>93500</v>
      </c>
      <c r="J178" s="2" t="str">
        <f>_xlfn.XLOOKUP(Data[[#This Row],[Main SKU]],MD_Main_SKU[Main SKU],MD_Main_SKU[SKU name_gom])</f>
        <v>WSS03</v>
      </c>
      <c r="K178" s="2" t="str">
        <f>_xlfn.XLOOKUP(Data[[#This Row],[Material-Nhập]],MD_Main_SKU[Main SKU],MD_Main_SKU[SKU name_gom])</f>
        <v>WSS03</v>
      </c>
    </row>
    <row r="179" spans="1:11" x14ac:dyDescent="0.35">
      <c r="A179">
        <v>2024</v>
      </c>
      <c r="B179">
        <v>11</v>
      </c>
      <c r="C179" t="s">
        <v>24</v>
      </c>
      <c r="D179" t="s">
        <v>25</v>
      </c>
      <c r="E179" t="s">
        <v>24</v>
      </c>
      <c r="F179" t="s">
        <v>25</v>
      </c>
      <c r="G179" s="2">
        <v>9900</v>
      </c>
      <c r="H179" s="2">
        <v>0</v>
      </c>
      <c r="I179" s="2">
        <v>9900</v>
      </c>
      <c r="J179" s="2" t="str">
        <f>_xlfn.XLOOKUP(Data[[#This Row],[Main SKU]],MD_Main_SKU[Main SKU],MD_Main_SKU[SKU name_gom])</f>
        <v>WSS01</v>
      </c>
      <c r="K179" s="2" t="str">
        <f>_xlfn.XLOOKUP(Data[[#This Row],[Material-Nhập]],MD_Main_SKU[Main SKU],MD_Main_SKU[SKU name_gom])</f>
        <v>WSS01</v>
      </c>
    </row>
    <row r="180" spans="1:11" x14ac:dyDescent="0.35">
      <c r="A180">
        <v>2024</v>
      </c>
      <c r="B180">
        <v>11</v>
      </c>
      <c r="C180" t="s">
        <v>26</v>
      </c>
      <c r="D180" t="s">
        <v>27</v>
      </c>
      <c r="E180" t="s">
        <v>22</v>
      </c>
      <c r="F180" t="s">
        <v>23</v>
      </c>
      <c r="G180" s="2">
        <v>0</v>
      </c>
      <c r="H180" s="2">
        <v>15400.000000000002</v>
      </c>
      <c r="I180" s="2">
        <v>15400.000000000002</v>
      </c>
      <c r="J180" s="2" t="str">
        <f>_xlfn.XLOOKUP(Data[[#This Row],[Main SKU]],MD_Main_SKU[Main SKU],MD_Main_SKU[SKU name_gom])</f>
        <v>iSS01</v>
      </c>
      <c r="K180" s="2" t="str">
        <f>_xlfn.XLOOKUP(Data[[#This Row],[Material-Nhập]],MD_Main_SKU[Main SKU],MD_Main_SKU[SKU name_gom])</f>
        <v>WSS03</v>
      </c>
    </row>
    <row r="181" spans="1:11" x14ac:dyDescent="0.35">
      <c r="A181">
        <v>2024</v>
      </c>
      <c r="B181">
        <v>11</v>
      </c>
      <c r="C181" t="s">
        <v>26</v>
      </c>
      <c r="D181" t="s">
        <v>27</v>
      </c>
      <c r="E181" t="s">
        <v>24</v>
      </c>
      <c r="F181" t="s">
        <v>25</v>
      </c>
      <c r="G181" s="2">
        <v>0</v>
      </c>
      <c r="H181" s="2">
        <v>56100.000000000007</v>
      </c>
      <c r="I181" s="2">
        <v>56100.000000000007</v>
      </c>
      <c r="J181" s="2" t="str">
        <f>_xlfn.XLOOKUP(Data[[#This Row],[Main SKU]],MD_Main_SKU[Main SKU],MD_Main_SKU[SKU name_gom])</f>
        <v>iSS01</v>
      </c>
      <c r="K181" s="2" t="str">
        <f>_xlfn.XLOOKUP(Data[[#This Row],[Material-Nhập]],MD_Main_SKU[Main SKU],MD_Main_SKU[SKU name_gom])</f>
        <v>WSS01</v>
      </c>
    </row>
    <row r="182" spans="1:11" x14ac:dyDescent="0.35">
      <c r="A182">
        <v>2024</v>
      </c>
      <c r="B182">
        <v>11</v>
      </c>
      <c r="C182" t="s">
        <v>26</v>
      </c>
      <c r="D182" t="s">
        <v>27</v>
      </c>
      <c r="E182" t="s">
        <v>26</v>
      </c>
      <c r="F182" t="s">
        <v>27</v>
      </c>
      <c r="G182" s="2">
        <v>1043801.0000000002</v>
      </c>
      <c r="H182" s="2">
        <v>0</v>
      </c>
      <c r="I182" s="2">
        <v>1043801.0000000002</v>
      </c>
      <c r="J182" s="2" t="str">
        <f>_xlfn.XLOOKUP(Data[[#This Row],[Main SKU]],MD_Main_SKU[Main SKU],MD_Main_SKU[SKU name_gom])</f>
        <v>iSS01</v>
      </c>
      <c r="K182" s="2" t="str">
        <f>_xlfn.XLOOKUP(Data[[#This Row],[Material-Nhập]],MD_Main_SKU[Main SKU],MD_Main_SKU[SKU name_gom])</f>
        <v>iSS01</v>
      </c>
    </row>
    <row r="183" spans="1:11" x14ac:dyDescent="0.35">
      <c r="A183">
        <v>2024</v>
      </c>
      <c r="B183">
        <v>12</v>
      </c>
      <c r="C183" t="s">
        <v>8</v>
      </c>
      <c r="D183" t="s">
        <v>9</v>
      </c>
      <c r="E183" t="s">
        <v>8</v>
      </c>
      <c r="F183" t="s">
        <v>9</v>
      </c>
      <c r="G183" s="2">
        <v>952600</v>
      </c>
      <c r="H183" s="2">
        <v>1100</v>
      </c>
      <c r="I183" s="2">
        <v>953700</v>
      </c>
      <c r="J183" s="2" t="str">
        <f>_xlfn.XLOOKUP(Data[[#This Row],[Main SKU]],MD_Main_SKU[Main SKU],MD_Main_SKU[SKU name_gom])</f>
        <v>WSS01</v>
      </c>
      <c r="K183" s="2" t="str">
        <f>_xlfn.XLOOKUP(Data[[#This Row],[Material-Nhập]],MD_Main_SKU[Main SKU],MD_Main_SKU[SKU name_gom])</f>
        <v>WSS01</v>
      </c>
    </row>
    <row r="184" spans="1:11" x14ac:dyDescent="0.35">
      <c r="A184">
        <v>2024</v>
      </c>
      <c r="B184">
        <v>12</v>
      </c>
      <c r="C184" t="s">
        <v>8</v>
      </c>
      <c r="D184" t="s">
        <v>9</v>
      </c>
      <c r="E184" t="s">
        <v>22</v>
      </c>
      <c r="F184" t="s">
        <v>23</v>
      </c>
      <c r="G184" s="2">
        <v>0</v>
      </c>
      <c r="H184" s="2">
        <v>5500</v>
      </c>
      <c r="I184" s="2">
        <v>5500</v>
      </c>
      <c r="J184" s="2" t="str">
        <f>_xlfn.XLOOKUP(Data[[#This Row],[Main SKU]],MD_Main_SKU[Main SKU],MD_Main_SKU[SKU name_gom])</f>
        <v>WSS01</v>
      </c>
      <c r="K184" s="2" t="str">
        <f>_xlfn.XLOOKUP(Data[[#This Row],[Material-Nhập]],MD_Main_SKU[Main SKU],MD_Main_SKU[SKU name_gom])</f>
        <v>WSS03</v>
      </c>
    </row>
    <row r="185" spans="1:11" x14ac:dyDescent="0.35">
      <c r="A185">
        <v>2024</v>
      </c>
      <c r="B185">
        <v>12</v>
      </c>
      <c r="C185" t="s">
        <v>8</v>
      </c>
      <c r="D185" t="s">
        <v>9</v>
      </c>
      <c r="E185" t="s">
        <v>34</v>
      </c>
      <c r="F185" t="s">
        <v>35</v>
      </c>
      <c r="G185" s="2">
        <v>0</v>
      </c>
      <c r="H185" s="2">
        <v>2200</v>
      </c>
      <c r="I185" s="2">
        <v>2200</v>
      </c>
      <c r="J185" s="2" t="str">
        <f>_xlfn.XLOOKUP(Data[[#This Row],[Main SKU]],MD_Main_SKU[Main SKU],MD_Main_SKU[SKU name_gom])</f>
        <v>WSS01</v>
      </c>
      <c r="K185" s="2" t="str">
        <f>_xlfn.XLOOKUP(Data[[#This Row],[Material-Nhập]],MD_Main_SKU[Main SKU],MD_Main_SKU[SKU name_gom])</f>
        <v>WSS03-PL</v>
      </c>
    </row>
    <row r="186" spans="1:11" x14ac:dyDescent="0.35">
      <c r="A186">
        <v>2024</v>
      </c>
      <c r="B186">
        <v>12</v>
      </c>
      <c r="C186" t="s">
        <v>8</v>
      </c>
      <c r="D186" t="s">
        <v>9</v>
      </c>
      <c r="E186" t="s">
        <v>36</v>
      </c>
      <c r="F186" t="s">
        <v>37</v>
      </c>
      <c r="G186" s="2">
        <v>0</v>
      </c>
      <c r="H186" s="2">
        <v>12100</v>
      </c>
      <c r="I186" s="2">
        <v>12100</v>
      </c>
      <c r="J186" s="2" t="str">
        <f>_xlfn.XLOOKUP(Data[[#This Row],[Main SKU]],MD_Main_SKU[Main SKU],MD_Main_SKU[SKU name_gom])</f>
        <v>WSS01</v>
      </c>
      <c r="K186" s="2" t="str">
        <f>_xlfn.XLOOKUP(Data[[#This Row],[Material-Nhập]],MD_Main_SKU[Main SKU],MD_Main_SKU[SKU name_gom])</f>
        <v>WSS01-PL</v>
      </c>
    </row>
    <row r="187" spans="1:11" x14ac:dyDescent="0.35">
      <c r="A187">
        <v>2024</v>
      </c>
      <c r="B187">
        <v>12</v>
      </c>
      <c r="C187" t="s">
        <v>14</v>
      </c>
      <c r="D187" t="s">
        <v>15</v>
      </c>
      <c r="E187" t="s">
        <v>14</v>
      </c>
      <c r="F187" t="s">
        <v>15</v>
      </c>
      <c r="G187" s="2">
        <v>969100</v>
      </c>
      <c r="H187" s="2">
        <v>0</v>
      </c>
      <c r="I187" s="2">
        <v>969100</v>
      </c>
      <c r="J187" s="2" t="str">
        <f>_xlfn.XLOOKUP(Data[[#This Row],[Main SKU]],MD_Main_SKU[Main SKU],MD_Main_SKU[SKU name_gom])</f>
        <v>iSS01084</v>
      </c>
      <c r="K187" s="2" t="str">
        <f>_xlfn.XLOOKUP(Data[[#This Row],[Material-Nhập]],MD_Main_SKU[Main SKU],MD_Main_SKU[SKU name_gom])</f>
        <v>iSS01084</v>
      </c>
    </row>
    <row r="188" spans="1:11" x14ac:dyDescent="0.35">
      <c r="A188">
        <v>2024</v>
      </c>
      <c r="B188">
        <v>12</v>
      </c>
      <c r="C188" t="s">
        <v>14</v>
      </c>
      <c r="D188" t="s">
        <v>15</v>
      </c>
      <c r="E188" t="s">
        <v>18</v>
      </c>
      <c r="F188" t="s">
        <v>19</v>
      </c>
      <c r="G188" s="2">
        <v>0</v>
      </c>
      <c r="H188" s="2">
        <v>1100</v>
      </c>
      <c r="I188" s="2">
        <v>1100</v>
      </c>
      <c r="J188" s="2" t="str">
        <f>_xlfn.XLOOKUP(Data[[#This Row],[Main SKU]],MD_Main_SKU[Main SKU],MD_Main_SKU[SKU name_gom])</f>
        <v>iSS01084</v>
      </c>
      <c r="K188" s="2" t="str">
        <f>_xlfn.XLOOKUP(Data[[#This Row],[Material-Nhập]],MD_Main_SKU[Main SKU],MD_Main_SKU[SKU name_gom])</f>
        <v>iSS01</v>
      </c>
    </row>
    <row r="189" spans="1:11" x14ac:dyDescent="0.35">
      <c r="A189">
        <v>2024</v>
      </c>
      <c r="B189">
        <v>12</v>
      </c>
      <c r="C189" t="s">
        <v>14</v>
      </c>
      <c r="D189" t="s">
        <v>15</v>
      </c>
      <c r="E189" t="s">
        <v>22</v>
      </c>
      <c r="F189" t="s">
        <v>23</v>
      </c>
      <c r="G189" s="2">
        <v>0</v>
      </c>
      <c r="H189" s="2">
        <v>26399.999999999996</v>
      </c>
      <c r="I189" s="2">
        <v>26399.999999999996</v>
      </c>
      <c r="J189" s="2" t="str">
        <f>_xlfn.XLOOKUP(Data[[#This Row],[Main SKU]],MD_Main_SKU[Main SKU],MD_Main_SKU[SKU name_gom])</f>
        <v>iSS01084</v>
      </c>
      <c r="K189" s="2" t="str">
        <f>_xlfn.XLOOKUP(Data[[#This Row],[Material-Nhập]],MD_Main_SKU[Main SKU],MD_Main_SKU[SKU name_gom])</f>
        <v>WSS03</v>
      </c>
    </row>
    <row r="190" spans="1:11" x14ac:dyDescent="0.35">
      <c r="A190">
        <v>2024</v>
      </c>
      <c r="B190">
        <v>12</v>
      </c>
      <c r="C190" t="s">
        <v>14</v>
      </c>
      <c r="D190" t="s">
        <v>15</v>
      </c>
      <c r="E190" t="s">
        <v>38</v>
      </c>
      <c r="F190" t="s">
        <v>39</v>
      </c>
      <c r="G190" s="2">
        <v>0</v>
      </c>
      <c r="H190" s="2">
        <v>13200</v>
      </c>
      <c r="I190" s="2">
        <v>13200</v>
      </c>
      <c r="J190" s="2" t="str">
        <f>_xlfn.XLOOKUP(Data[[#This Row],[Main SKU]],MD_Main_SKU[Main SKU],MD_Main_SKU[SKU name_gom])</f>
        <v>iSS01084</v>
      </c>
      <c r="K190" s="2" t="str">
        <f>_xlfn.XLOOKUP(Data[[#This Row],[Material-Nhập]],MD_Main_SKU[Main SKU],MD_Main_SKU[SKU name_gom])</f>
        <v>iSS01084-PL</v>
      </c>
    </row>
    <row r="191" spans="1:11" x14ac:dyDescent="0.35">
      <c r="A191">
        <v>2024</v>
      </c>
      <c r="B191">
        <v>12</v>
      </c>
      <c r="C191" t="s">
        <v>14</v>
      </c>
      <c r="D191" t="s">
        <v>15</v>
      </c>
      <c r="E191" t="s">
        <v>34</v>
      </c>
      <c r="F191" t="s">
        <v>35</v>
      </c>
      <c r="G191" s="2">
        <v>0</v>
      </c>
      <c r="H191" s="2">
        <v>3300</v>
      </c>
      <c r="I191" s="2">
        <v>3300</v>
      </c>
      <c r="J191" s="2" t="str">
        <f>_xlfn.XLOOKUP(Data[[#This Row],[Main SKU]],MD_Main_SKU[Main SKU],MD_Main_SKU[SKU name_gom])</f>
        <v>iSS01084</v>
      </c>
      <c r="K191" s="2" t="str">
        <f>_xlfn.XLOOKUP(Data[[#This Row],[Material-Nhập]],MD_Main_SKU[Main SKU],MD_Main_SKU[SKU name_gom])</f>
        <v>WSS03-PL</v>
      </c>
    </row>
    <row r="192" spans="1:11" x14ac:dyDescent="0.35">
      <c r="A192">
        <v>2024</v>
      </c>
      <c r="B192">
        <v>12</v>
      </c>
      <c r="C192" t="s">
        <v>16</v>
      </c>
      <c r="D192" t="s">
        <v>17</v>
      </c>
      <c r="E192" t="s">
        <v>16</v>
      </c>
      <c r="F192" t="s">
        <v>17</v>
      </c>
      <c r="G192" s="2">
        <v>775499.99999999988</v>
      </c>
      <c r="H192" s="2">
        <v>0</v>
      </c>
      <c r="I192" s="2">
        <v>775499.99999999988</v>
      </c>
      <c r="J192" s="2" t="str">
        <f>_xlfn.XLOOKUP(Data[[#This Row],[Main SKU]],MD_Main_SKU[Main SKU],MD_Main_SKU[SKU name_gom])</f>
        <v>WSS01</v>
      </c>
      <c r="K192" s="2" t="str">
        <f>_xlfn.XLOOKUP(Data[[#This Row],[Material-Nhập]],MD_Main_SKU[Main SKU],MD_Main_SKU[SKU name_gom])</f>
        <v>WSS01</v>
      </c>
    </row>
    <row r="193" spans="1:11" x14ac:dyDescent="0.35">
      <c r="A193">
        <v>2024</v>
      </c>
      <c r="B193">
        <v>12</v>
      </c>
      <c r="C193" t="s">
        <v>16</v>
      </c>
      <c r="D193" t="s">
        <v>17</v>
      </c>
      <c r="E193" t="s">
        <v>18</v>
      </c>
      <c r="F193" t="s">
        <v>19</v>
      </c>
      <c r="G193" s="2">
        <v>0</v>
      </c>
      <c r="H193" s="2">
        <v>102300.00000000001</v>
      </c>
      <c r="I193" s="2">
        <v>102300.00000000001</v>
      </c>
      <c r="J193" s="2" t="str">
        <f>_xlfn.XLOOKUP(Data[[#This Row],[Main SKU]],MD_Main_SKU[Main SKU],MD_Main_SKU[SKU name_gom])</f>
        <v>WSS01</v>
      </c>
      <c r="K193" s="2" t="str">
        <f>_xlfn.XLOOKUP(Data[[#This Row],[Material-Nhập]],MD_Main_SKU[Main SKU],MD_Main_SKU[SKU name_gom])</f>
        <v>iSS01</v>
      </c>
    </row>
    <row r="194" spans="1:11" x14ac:dyDescent="0.35">
      <c r="A194">
        <v>2024</v>
      </c>
      <c r="B194">
        <v>12</v>
      </c>
      <c r="C194" t="s">
        <v>16</v>
      </c>
      <c r="D194" t="s">
        <v>17</v>
      </c>
      <c r="E194" t="s">
        <v>20</v>
      </c>
      <c r="F194" t="s">
        <v>21</v>
      </c>
      <c r="G194" s="2">
        <v>0</v>
      </c>
      <c r="H194" s="2">
        <v>2200</v>
      </c>
      <c r="I194" s="2">
        <v>2200</v>
      </c>
      <c r="J194" s="2" t="str">
        <f>_xlfn.XLOOKUP(Data[[#This Row],[Main SKU]],MD_Main_SKU[Main SKU],MD_Main_SKU[SKU name_gom])</f>
        <v>WSS01</v>
      </c>
      <c r="K194" s="2" t="str">
        <f>_xlfn.XLOOKUP(Data[[#This Row],[Material-Nhập]],MD_Main_SKU[Main SKU],MD_Main_SKU[SKU name_gom])</f>
        <v>WSS02</v>
      </c>
    </row>
    <row r="195" spans="1:11" x14ac:dyDescent="0.35">
      <c r="A195">
        <v>2024</v>
      </c>
      <c r="B195">
        <v>12</v>
      </c>
      <c r="C195" t="s">
        <v>16</v>
      </c>
      <c r="D195" t="s">
        <v>17</v>
      </c>
      <c r="E195" t="s">
        <v>22</v>
      </c>
      <c r="F195" t="s">
        <v>23</v>
      </c>
      <c r="G195" s="2">
        <v>0</v>
      </c>
      <c r="H195" s="2">
        <v>7700</v>
      </c>
      <c r="I195" s="2">
        <v>7700</v>
      </c>
      <c r="J195" s="2" t="str">
        <f>_xlfn.XLOOKUP(Data[[#This Row],[Main SKU]],MD_Main_SKU[Main SKU],MD_Main_SKU[SKU name_gom])</f>
        <v>WSS01</v>
      </c>
      <c r="K195" s="2" t="str">
        <f>_xlfn.XLOOKUP(Data[[#This Row],[Material-Nhập]],MD_Main_SKU[Main SKU],MD_Main_SKU[SKU name_gom])</f>
        <v>WSS03</v>
      </c>
    </row>
    <row r="196" spans="1:11" x14ac:dyDescent="0.35">
      <c r="A196">
        <v>2024</v>
      </c>
      <c r="B196">
        <v>12</v>
      </c>
      <c r="C196" t="s">
        <v>16</v>
      </c>
      <c r="D196" t="s">
        <v>17</v>
      </c>
      <c r="E196" t="s">
        <v>40</v>
      </c>
      <c r="F196" t="s">
        <v>41</v>
      </c>
      <c r="G196" s="2">
        <v>0</v>
      </c>
      <c r="H196" s="2">
        <v>1100</v>
      </c>
      <c r="I196" s="2">
        <v>1100</v>
      </c>
      <c r="J196" s="2" t="str">
        <f>_xlfn.XLOOKUP(Data[[#This Row],[Main SKU]],MD_Main_SKU[Main SKU],MD_Main_SKU[SKU name_gom])</f>
        <v>WSS01</v>
      </c>
      <c r="K196" s="2" t="str">
        <f>_xlfn.XLOOKUP(Data[[#This Row],[Material-Nhập]],MD_Main_SKU[Main SKU],MD_Main_SKU[SKU name_gom])</f>
        <v>WSS01-PL</v>
      </c>
    </row>
    <row r="197" spans="1:11" x14ac:dyDescent="0.35">
      <c r="A197">
        <v>2024</v>
      </c>
      <c r="B197">
        <v>12</v>
      </c>
      <c r="C197" t="s">
        <v>16</v>
      </c>
      <c r="D197" t="s">
        <v>17</v>
      </c>
      <c r="E197" t="s">
        <v>34</v>
      </c>
      <c r="F197" t="s">
        <v>35</v>
      </c>
      <c r="G197" s="2">
        <v>0</v>
      </c>
      <c r="H197" s="2">
        <v>1100</v>
      </c>
      <c r="I197" s="2">
        <v>1100</v>
      </c>
      <c r="J197" s="2" t="str">
        <f>_xlfn.XLOOKUP(Data[[#This Row],[Main SKU]],MD_Main_SKU[Main SKU],MD_Main_SKU[SKU name_gom])</f>
        <v>WSS01</v>
      </c>
      <c r="K197" s="2" t="str">
        <f>_xlfn.XLOOKUP(Data[[#This Row],[Material-Nhập]],MD_Main_SKU[Main SKU],MD_Main_SKU[SKU name_gom])</f>
        <v>WSS03-PL</v>
      </c>
    </row>
    <row r="198" spans="1:11" x14ac:dyDescent="0.35">
      <c r="A198">
        <v>2024</v>
      </c>
      <c r="B198">
        <v>12</v>
      </c>
      <c r="C198" t="s">
        <v>18</v>
      </c>
      <c r="D198" t="s">
        <v>19</v>
      </c>
      <c r="E198" t="s">
        <v>18</v>
      </c>
      <c r="F198" t="s">
        <v>19</v>
      </c>
      <c r="G198" s="2">
        <v>16500</v>
      </c>
      <c r="H198" s="2">
        <v>0</v>
      </c>
      <c r="I198" s="2">
        <v>16500</v>
      </c>
      <c r="J198" s="2" t="str">
        <f>_xlfn.XLOOKUP(Data[[#This Row],[Main SKU]],MD_Main_SKU[Main SKU],MD_Main_SKU[SKU name_gom])</f>
        <v>iSS01</v>
      </c>
      <c r="K198" s="2" t="str">
        <f>_xlfn.XLOOKUP(Data[[#This Row],[Material-Nhập]],MD_Main_SKU[Main SKU],MD_Main_SKU[SKU name_gom])</f>
        <v>iSS01</v>
      </c>
    </row>
    <row r="199" spans="1:11" x14ac:dyDescent="0.35">
      <c r="A199">
        <v>2024</v>
      </c>
      <c r="B199">
        <v>12</v>
      </c>
      <c r="C199" t="s">
        <v>18</v>
      </c>
      <c r="D199" t="s">
        <v>19</v>
      </c>
      <c r="E199" t="s">
        <v>38</v>
      </c>
      <c r="F199" t="s">
        <v>39</v>
      </c>
      <c r="G199" s="2">
        <v>0</v>
      </c>
      <c r="H199" s="2">
        <v>3300</v>
      </c>
      <c r="I199" s="2">
        <v>3300</v>
      </c>
      <c r="J199" s="2" t="str">
        <f>_xlfn.XLOOKUP(Data[[#This Row],[Main SKU]],MD_Main_SKU[Main SKU],MD_Main_SKU[SKU name_gom])</f>
        <v>iSS01</v>
      </c>
      <c r="K199" s="2" t="str">
        <f>_xlfn.XLOOKUP(Data[[#This Row],[Material-Nhập]],MD_Main_SKU[Main SKU],MD_Main_SKU[SKU name_gom])</f>
        <v>iSS01084-PL</v>
      </c>
    </row>
    <row r="200" spans="1:11" x14ac:dyDescent="0.35">
      <c r="A200">
        <v>2024</v>
      </c>
      <c r="B200">
        <v>12</v>
      </c>
      <c r="C200" t="s">
        <v>22</v>
      </c>
      <c r="D200" t="s">
        <v>23</v>
      </c>
      <c r="E200" t="s">
        <v>20</v>
      </c>
      <c r="F200" t="s">
        <v>21</v>
      </c>
      <c r="G200" s="2">
        <v>0</v>
      </c>
      <c r="H200" s="2">
        <v>1100</v>
      </c>
      <c r="I200" s="2">
        <v>1100</v>
      </c>
      <c r="J200" s="2" t="str">
        <f>_xlfn.XLOOKUP(Data[[#This Row],[Main SKU]],MD_Main_SKU[Main SKU],MD_Main_SKU[SKU name_gom])</f>
        <v>WSS03</v>
      </c>
      <c r="K200" s="2" t="str">
        <f>_xlfn.XLOOKUP(Data[[#This Row],[Material-Nhập]],MD_Main_SKU[Main SKU],MD_Main_SKU[SKU name_gom])</f>
        <v>WSS02</v>
      </c>
    </row>
    <row r="201" spans="1:11" x14ac:dyDescent="0.35">
      <c r="A201">
        <v>2024</v>
      </c>
      <c r="B201">
        <v>12</v>
      </c>
      <c r="C201" t="s">
        <v>22</v>
      </c>
      <c r="D201" t="s">
        <v>23</v>
      </c>
      <c r="E201" t="s">
        <v>22</v>
      </c>
      <c r="F201" t="s">
        <v>23</v>
      </c>
      <c r="G201" s="2">
        <v>19800</v>
      </c>
      <c r="H201" s="2">
        <v>0</v>
      </c>
      <c r="I201" s="2">
        <v>19800</v>
      </c>
      <c r="J201" s="2" t="str">
        <f>_xlfn.XLOOKUP(Data[[#This Row],[Main SKU]],MD_Main_SKU[Main SKU],MD_Main_SKU[SKU name_gom])</f>
        <v>WSS03</v>
      </c>
      <c r="K201" s="2" t="str">
        <f>_xlfn.XLOOKUP(Data[[#This Row],[Material-Nhập]],MD_Main_SKU[Main SKU],MD_Main_SKU[SKU name_gom])</f>
        <v>WSS03</v>
      </c>
    </row>
    <row r="202" spans="1:11" x14ac:dyDescent="0.35">
      <c r="A202">
        <v>2024</v>
      </c>
      <c r="B202">
        <v>12</v>
      </c>
      <c r="C202" t="s">
        <v>24</v>
      </c>
      <c r="D202" t="s">
        <v>25</v>
      </c>
      <c r="E202" t="s">
        <v>24</v>
      </c>
      <c r="F202" t="s">
        <v>25</v>
      </c>
      <c r="G202" s="2">
        <v>5500</v>
      </c>
      <c r="H202" s="2">
        <v>0</v>
      </c>
      <c r="I202" s="2">
        <v>5500</v>
      </c>
      <c r="J202" s="2" t="str">
        <f>_xlfn.XLOOKUP(Data[[#This Row],[Main SKU]],MD_Main_SKU[Main SKU],MD_Main_SKU[SKU name_gom])</f>
        <v>WSS01</v>
      </c>
      <c r="K202" s="2" t="str">
        <f>_xlfn.XLOOKUP(Data[[#This Row],[Material-Nhập]],MD_Main_SKU[Main SKU],MD_Main_SKU[SKU name_gom])</f>
        <v>WSS01</v>
      </c>
    </row>
    <row r="203" spans="1:11" x14ac:dyDescent="0.35">
      <c r="A203">
        <v>2024</v>
      </c>
      <c r="B203">
        <v>12</v>
      </c>
      <c r="C203" t="s">
        <v>26</v>
      </c>
      <c r="D203" t="s">
        <v>27</v>
      </c>
      <c r="E203" t="s">
        <v>24</v>
      </c>
      <c r="F203" t="s">
        <v>25</v>
      </c>
      <c r="G203" s="2">
        <v>0</v>
      </c>
      <c r="H203" s="2">
        <v>18700</v>
      </c>
      <c r="I203" s="2">
        <v>18700</v>
      </c>
      <c r="J203" s="2" t="str">
        <f>_xlfn.XLOOKUP(Data[[#This Row],[Main SKU]],MD_Main_SKU[Main SKU],MD_Main_SKU[SKU name_gom])</f>
        <v>iSS01</v>
      </c>
      <c r="K203" s="2" t="str">
        <f>_xlfn.XLOOKUP(Data[[#This Row],[Material-Nhập]],MD_Main_SKU[Main SKU],MD_Main_SKU[SKU name_gom])</f>
        <v>WSS01</v>
      </c>
    </row>
    <row r="204" spans="1:11" x14ac:dyDescent="0.35">
      <c r="A204">
        <v>2024</v>
      </c>
      <c r="B204">
        <v>12</v>
      </c>
      <c r="C204" t="s">
        <v>26</v>
      </c>
      <c r="D204" t="s">
        <v>27</v>
      </c>
      <c r="E204" t="s">
        <v>26</v>
      </c>
      <c r="F204" t="s">
        <v>27</v>
      </c>
      <c r="G204" s="2">
        <v>117700</v>
      </c>
      <c r="H204" s="2">
        <v>0</v>
      </c>
      <c r="I204" s="2">
        <v>117700</v>
      </c>
      <c r="J204" s="2" t="str">
        <f>_xlfn.XLOOKUP(Data[[#This Row],[Main SKU]],MD_Main_SKU[Main SKU],MD_Main_SKU[SKU name_gom])</f>
        <v>iSS01</v>
      </c>
      <c r="K204" s="2" t="str">
        <f>_xlfn.XLOOKUP(Data[[#This Row],[Material-Nhập]],MD_Main_SKU[Main SKU],MD_Main_SKU[SKU name_gom])</f>
        <v>iSS01</v>
      </c>
    </row>
    <row r="205" spans="1:11" x14ac:dyDescent="0.35">
      <c r="A205">
        <v>2025</v>
      </c>
      <c r="B205">
        <v>1</v>
      </c>
      <c r="C205" t="s">
        <v>8</v>
      </c>
      <c r="D205" t="s">
        <v>9</v>
      </c>
      <c r="E205" t="s">
        <v>8</v>
      </c>
      <c r="F205" t="s">
        <v>9</v>
      </c>
      <c r="G205" s="2">
        <v>99000</v>
      </c>
      <c r="H205" s="2">
        <v>0</v>
      </c>
      <c r="I205" s="2">
        <v>99000</v>
      </c>
      <c r="J205" s="2" t="str">
        <f>_xlfn.XLOOKUP(Data[[#This Row],[Main SKU]],MD_Main_SKU[Main SKU],MD_Main_SKU[SKU name_gom])</f>
        <v>WSS01</v>
      </c>
      <c r="K205" s="2" t="str">
        <f>_xlfn.XLOOKUP(Data[[#This Row],[Material-Nhập]],MD_Main_SKU[Main SKU],MD_Main_SKU[SKU name_gom])</f>
        <v>WSS01</v>
      </c>
    </row>
    <row r="206" spans="1:11" x14ac:dyDescent="0.35">
      <c r="A206">
        <v>2025</v>
      </c>
      <c r="B206">
        <v>1</v>
      </c>
      <c r="C206" t="s">
        <v>14</v>
      </c>
      <c r="D206" t="s">
        <v>15</v>
      </c>
      <c r="E206" t="s">
        <v>14</v>
      </c>
      <c r="F206" t="s">
        <v>15</v>
      </c>
      <c r="G206" s="2">
        <v>363000</v>
      </c>
      <c r="H206" s="2">
        <v>0</v>
      </c>
      <c r="I206" s="2">
        <v>363000</v>
      </c>
      <c r="J206" s="2" t="str">
        <f>_xlfn.XLOOKUP(Data[[#This Row],[Main SKU]],MD_Main_SKU[Main SKU],MD_Main_SKU[SKU name_gom])</f>
        <v>iSS01084</v>
      </c>
      <c r="K206" s="2" t="str">
        <f>_xlfn.XLOOKUP(Data[[#This Row],[Material-Nhập]],MD_Main_SKU[Main SKU],MD_Main_SKU[SKU name_gom])</f>
        <v>iSS01084</v>
      </c>
    </row>
    <row r="207" spans="1:11" x14ac:dyDescent="0.35">
      <c r="A207">
        <v>2025</v>
      </c>
      <c r="B207">
        <v>1</v>
      </c>
      <c r="C207" t="s">
        <v>14</v>
      </c>
      <c r="D207" t="s">
        <v>15</v>
      </c>
      <c r="E207" t="s">
        <v>18</v>
      </c>
      <c r="F207" t="s">
        <v>19</v>
      </c>
      <c r="G207" s="2">
        <v>0</v>
      </c>
      <c r="H207" s="2">
        <v>4400</v>
      </c>
      <c r="I207" s="2">
        <v>4400</v>
      </c>
      <c r="J207" s="2" t="str">
        <f>_xlfn.XLOOKUP(Data[[#This Row],[Main SKU]],MD_Main_SKU[Main SKU],MD_Main_SKU[SKU name_gom])</f>
        <v>iSS01084</v>
      </c>
      <c r="K207" s="2" t="str">
        <f>_xlfn.XLOOKUP(Data[[#This Row],[Material-Nhập]],MD_Main_SKU[Main SKU],MD_Main_SKU[SKU name_gom])</f>
        <v>iSS01</v>
      </c>
    </row>
    <row r="208" spans="1:11" x14ac:dyDescent="0.35">
      <c r="A208">
        <v>2025</v>
      </c>
      <c r="B208">
        <v>1</v>
      </c>
      <c r="C208" t="s">
        <v>14</v>
      </c>
      <c r="D208" t="s">
        <v>15</v>
      </c>
      <c r="E208" t="s">
        <v>22</v>
      </c>
      <c r="F208" t="s">
        <v>23</v>
      </c>
      <c r="G208" s="2">
        <v>0</v>
      </c>
      <c r="H208" s="2">
        <v>16500</v>
      </c>
      <c r="I208" s="2">
        <v>16500</v>
      </c>
      <c r="J208" s="2" t="str">
        <f>_xlfn.XLOOKUP(Data[[#This Row],[Main SKU]],MD_Main_SKU[Main SKU],MD_Main_SKU[SKU name_gom])</f>
        <v>iSS01084</v>
      </c>
      <c r="K208" s="2" t="str">
        <f>_xlfn.XLOOKUP(Data[[#This Row],[Material-Nhập]],MD_Main_SKU[Main SKU],MD_Main_SKU[SKU name_gom])</f>
        <v>WSS03</v>
      </c>
    </row>
    <row r="209" spans="1:11" x14ac:dyDescent="0.35">
      <c r="A209">
        <v>2025</v>
      </c>
      <c r="B209">
        <v>1</v>
      </c>
      <c r="C209" t="s">
        <v>14</v>
      </c>
      <c r="D209" t="s">
        <v>15</v>
      </c>
      <c r="E209" t="s">
        <v>38</v>
      </c>
      <c r="F209" t="s">
        <v>39</v>
      </c>
      <c r="G209" s="2">
        <v>0</v>
      </c>
      <c r="H209" s="2">
        <v>1100</v>
      </c>
      <c r="I209" s="2">
        <v>1100</v>
      </c>
      <c r="J209" s="2" t="str">
        <f>_xlfn.XLOOKUP(Data[[#This Row],[Main SKU]],MD_Main_SKU[Main SKU],MD_Main_SKU[SKU name_gom])</f>
        <v>iSS01084</v>
      </c>
      <c r="K209" s="2" t="str">
        <f>_xlfn.XLOOKUP(Data[[#This Row],[Material-Nhập]],MD_Main_SKU[Main SKU],MD_Main_SKU[SKU name_gom])</f>
        <v>iSS01084-PL</v>
      </c>
    </row>
    <row r="210" spans="1:11" x14ac:dyDescent="0.35">
      <c r="A210">
        <v>2025</v>
      </c>
      <c r="B210">
        <v>1</v>
      </c>
      <c r="C210" t="s">
        <v>16</v>
      </c>
      <c r="D210" t="s">
        <v>17</v>
      </c>
      <c r="E210" t="s">
        <v>16</v>
      </c>
      <c r="F210" t="s">
        <v>17</v>
      </c>
      <c r="G210" s="2">
        <v>1138500</v>
      </c>
      <c r="H210" s="2">
        <v>0</v>
      </c>
      <c r="I210" s="2">
        <v>1138500</v>
      </c>
      <c r="J210" s="2" t="str">
        <f>_xlfn.XLOOKUP(Data[[#This Row],[Main SKU]],MD_Main_SKU[Main SKU],MD_Main_SKU[SKU name_gom])</f>
        <v>WSS01</v>
      </c>
      <c r="K210" s="2" t="str">
        <f>_xlfn.XLOOKUP(Data[[#This Row],[Material-Nhập]],MD_Main_SKU[Main SKU],MD_Main_SKU[SKU name_gom])</f>
        <v>WSS01</v>
      </c>
    </row>
    <row r="211" spans="1:11" x14ac:dyDescent="0.35">
      <c r="A211">
        <v>2025</v>
      </c>
      <c r="B211">
        <v>1</v>
      </c>
      <c r="C211" t="s">
        <v>16</v>
      </c>
      <c r="D211" t="s">
        <v>17</v>
      </c>
      <c r="E211" t="s">
        <v>18</v>
      </c>
      <c r="F211" t="s">
        <v>19</v>
      </c>
      <c r="G211" s="2">
        <v>0</v>
      </c>
      <c r="H211" s="2">
        <v>37400</v>
      </c>
      <c r="I211" s="2">
        <v>37400</v>
      </c>
      <c r="J211" s="2" t="str">
        <f>_xlfn.XLOOKUP(Data[[#This Row],[Main SKU]],MD_Main_SKU[Main SKU],MD_Main_SKU[SKU name_gom])</f>
        <v>WSS01</v>
      </c>
      <c r="K211" s="2" t="str">
        <f>_xlfn.XLOOKUP(Data[[#This Row],[Material-Nhập]],MD_Main_SKU[Main SKU],MD_Main_SKU[SKU name_gom])</f>
        <v>iSS01</v>
      </c>
    </row>
    <row r="212" spans="1:11" x14ac:dyDescent="0.35">
      <c r="A212">
        <v>2025</v>
      </c>
      <c r="B212">
        <v>1</v>
      </c>
      <c r="C212" t="s">
        <v>16</v>
      </c>
      <c r="D212" t="s">
        <v>17</v>
      </c>
      <c r="E212" t="s">
        <v>22</v>
      </c>
      <c r="F212" t="s">
        <v>23</v>
      </c>
      <c r="G212" s="2">
        <v>0</v>
      </c>
      <c r="H212" s="2">
        <v>7700</v>
      </c>
      <c r="I212" s="2">
        <v>7700</v>
      </c>
      <c r="J212" s="2" t="str">
        <f>_xlfn.XLOOKUP(Data[[#This Row],[Main SKU]],MD_Main_SKU[Main SKU],MD_Main_SKU[SKU name_gom])</f>
        <v>WSS01</v>
      </c>
      <c r="K212" s="2" t="str">
        <f>_xlfn.XLOOKUP(Data[[#This Row],[Material-Nhập]],MD_Main_SKU[Main SKU],MD_Main_SKU[SKU name_gom])</f>
        <v>WSS03</v>
      </c>
    </row>
    <row r="213" spans="1:11" x14ac:dyDescent="0.35">
      <c r="A213">
        <v>2025</v>
      </c>
      <c r="B213">
        <v>1</v>
      </c>
      <c r="C213" t="s">
        <v>16</v>
      </c>
      <c r="D213" t="s">
        <v>17</v>
      </c>
      <c r="E213" t="s">
        <v>40</v>
      </c>
      <c r="F213" t="s">
        <v>41</v>
      </c>
      <c r="G213" s="2">
        <v>0</v>
      </c>
      <c r="H213" s="2">
        <v>5500</v>
      </c>
      <c r="I213" s="2">
        <v>5500</v>
      </c>
      <c r="J213" s="2" t="str">
        <f>_xlfn.XLOOKUP(Data[[#This Row],[Main SKU]],MD_Main_SKU[Main SKU],MD_Main_SKU[SKU name_gom])</f>
        <v>WSS01</v>
      </c>
      <c r="K213" s="2" t="str">
        <f>_xlfn.XLOOKUP(Data[[#This Row],[Material-Nhập]],MD_Main_SKU[Main SKU],MD_Main_SKU[SKU name_gom])</f>
        <v>WSS01-PL</v>
      </c>
    </row>
    <row r="214" spans="1:11" x14ac:dyDescent="0.35">
      <c r="A214">
        <v>2025</v>
      </c>
      <c r="B214">
        <v>1</v>
      </c>
      <c r="C214" t="s">
        <v>16</v>
      </c>
      <c r="D214" t="s">
        <v>17</v>
      </c>
      <c r="E214" t="s">
        <v>42</v>
      </c>
      <c r="F214" t="s">
        <v>43</v>
      </c>
      <c r="G214" s="2">
        <v>0</v>
      </c>
      <c r="H214" s="2">
        <v>3300</v>
      </c>
      <c r="I214" s="2">
        <v>3300</v>
      </c>
      <c r="J214" s="2" t="str">
        <f>_xlfn.XLOOKUP(Data[[#This Row],[Main SKU]],MD_Main_SKU[Main SKU],MD_Main_SKU[SKU name_gom])</f>
        <v>WSS01</v>
      </c>
      <c r="K214" s="2" t="str">
        <f>_xlfn.XLOOKUP(Data[[#This Row],[Material-Nhập]],MD_Main_SKU[Main SKU],MD_Main_SKU[SKU name_gom])</f>
        <v>iSS01-PL</v>
      </c>
    </row>
    <row r="215" spans="1:11" x14ac:dyDescent="0.35">
      <c r="A215">
        <v>2025</v>
      </c>
      <c r="B215">
        <v>1</v>
      </c>
      <c r="C215" t="s">
        <v>16</v>
      </c>
      <c r="D215" t="s">
        <v>17</v>
      </c>
      <c r="E215" t="s">
        <v>34</v>
      </c>
      <c r="F215" t="s">
        <v>35</v>
      </c>
      <c r="G215" s="2">
        <v>0</v>
      </c>
      <c r="H215" s="2">
        <v>9900</v>
      </c>
      <c r="I215" s="2">
        <v>9900</v>
      </c>
      <c r="J215" s="2" t="str">
        <f>_xlfn.XLOOKUP(Data[[#This Row],[Main SKU]],MD_Main_SKU[Main SKU],MD_Main_SKU[SKU name_gom])</f>
        <v>WSS01</v>
      </c>
      <c r="K215" s="2" t="str">
        <f>_xlfn.XLOOKUP(Data[[#This Row],[Material-Nhập]],MD_Main_SKU[Main SKU],MD_Main_SKU[SKU name_gom])</f>
        <v>WSS03-PL</v>
      </c>
    </row>
    <row r="216" spans="1:11" x14ac:dyDescent="0.35">
      <c r="A216">
        <v>2025</v>
      </c>
      <c r="B216">
        <v>1</v>
      </c>
      <c r="C216" t="s">
        <v>18</v>
      </c>
      <c r="D216" t="s">
        <v>19</v>
      </c>
      <c r="E216" t="s">
        <v>14</v>
      </c>
      <c r="F216" t="s">
        <v>15</v>
      </c>
      <c r="G216" s="2">
        <v>0</v>
      </c>
      <c r="H216" s="2">
        <v>8800</v>
      </c>
      <c r="I216" s="2">
        <v>8800</v>
      </c>
      <c r="J216" s="2" t="str">
        <f>_xlfn.XLOOKUP(Data[[#This Row],[Main SKU]],MD_Main_SKU[Main SKU],MD_Main_SKU[SKU name_gom])</f>
        <v>iSS01</v>
      </c>
      <c r="K216" s="2" t="str">
        <f>_xlfn.XLOOKUP(Data[[#This Row],[Material-Nhập]],MD_Main_SKU[Main SKU],MD_Main_SKU[SKU name_gom])</f>
        <v>iSS01084</v>
      </c>
    </row>
    <row r="217" spans="1:11" x14ac:dyDescent="0.35">
      <c r="A217">
        <v>2025</v>
      </c>
      <c r="B217">
        <v>1</v>
      </c>
      <c r="C217" t="s">
        <v>18</v>
      </c>
      <c r="D217" t="s">
        <v>19</v>
      </c>
      <c r="E217" t="s">
        <v>18</v>
      </c>
      <c r="F217" t="s">
        <v>19</v>
      </c>
      <c r="G217" s="2">
        <v>181500</v>
      </c>
      <c r="H217" s="2">
        <v>0</v>
      </c>
      <c r="I217" s="2">
        <v>181500</v>
      </c>
      <c r="J217" s="2" t="str">
        <f>_xlfn.XLOOKUP(Data[[#This Row],[Main SKU]],MD_Main_SKU[Main SKU],MD_Main_SKU[SKU name_gom])</f>
        <v>iSS01</v>
      </c>
      <c r="K217" s="2" t="str">
        <f>_xlfn.XLOOKUP(Data[[#This Row],[Material-Nhập]],MD_Main_SKU[Main SKU],MD_Main_SKU[SKU name_gom])</f>
        <v>iSS01</v>
      </c>
    </row>
    <row r="218" spans="1:11" x14ac:dyDescent="0.35">
      <c r="A218">
        <v>2025</v>
      </c>
      <c r="B218">
        <v>1</v>
      </c>
      <c r="C218" t="s">
        <v>18</v>
      </c>
      <c r="D218" t="s">
        <v>19</v>
      </c>
      <c r="E218" t="s">
        <v>22</v>
      </c>
      <c r="F218" t="s">
        <v>23</v>
      </c>
      <c r="G218" s="2">
        <v>0</v>
      </c>
      <c r="H218" s="2">
        <v>3300</v>
      </c>
      <c r="I218" s="2">
        <v>3300</v>
      </c>
      <c r="J218" s="2" t="str">
        <f>_xlfn.XLOOKUP(Data[[#This Row],[Main SKU]],MD_Main_SKU[Main SKU],MD_Main_SKU[SKU name_gom])</f>
        <v>iSS01</v>
      </c>
      <c r="K218" s="2" t="str">
        <f>_xlfn.XLOOKUP(Data[[#This Row],[Material-Nhập]],MD_Main_SKU[Main SKU],MD_Main_SKU[SKU name_gom])</f>
        <v>WSS03</v>
      </c>
    </row>
    <row r="219" spans="1:11" x14ac:dyDescent="0.35">
      <c r="A219">
        <v>2025</v>
      </c>
      <c r="B219">
        <v>1</v>
      </c>
      <c r="C219" t="s">
        <v>18</v>
      </c>
      <c r="D219" t="s">
        <v>19</v>
      </c>
      <c r="E219" t="s">
        <v>34</v>
      </c>
      <c r="F219" t="s">
        <v>35</v>
      </c>
      <c r="G219" s="2">
        <v>0</v>
      </c>
      <c r="H219" s="2">
        <v>2200</v>
      </c>
      <c r="I219" s="2">
        <v>2200</v>
      </c>
      <c r="J219" s="2" t="str">
        <f>_xlfn.XLOOKUP(Data[[#This Row],[Main SKU]],MD_Main_SKU[Main SKU],MD_Main_SKU[SKU name_gom])</f>
        <v>iSS01</v>
      </c>
      <c r="K219" s="2" t="str">
        <f>_xlfn.XLOOKUP(Data[[#This Row],[Material-Nhập]],MD_Main_SKU[Main SKU],MD_Main_SKU[SKU name_gom])</f>
        <v>WSS03-PL</v>
      </c>
    </row>
    <row r="220" spans="1:11" x14ac:dyDescent="0.35">
      <c r="A220">
        <v>2025</v>
      </c>
      <c r="B220">
        <v>1</v>
      </c>
      <c r="C220" t="s">
        <v>44</v>
      </c>
      <c r="D220" t="s">
        <v>45</v>
      </c>
      <c r="E220" t="s">
        <v>44</v>
      </c>
      <c r="F220" t="s">
        <v>45</v>
      </c>
      <c r="G220" s="2">
        <v>30800</v>
      </c>
      <c r="H220" s="2">
        <v>0</v>
      </c>
      <c r="I220" s="2">
        <v>30800</v>
      </c>
      <c r="J220" s="2" t="str">
        <f>_xlfn.XLOOKUP(Data[[#This Row],[Main SKU]],MD_Main_SKU[Main SKU],MD_Main_SKU[SKU name_gom])</f>
        <v>iSS01</v>
      </c>
      <c r="K220" s="2" t="str">
        <f>_xlfn.XLOOKUP(Data[[#This Row],[Material-Nhập]],MD_Main_SKU[Main SKU],MD_Main_SKU[SKU name_gom])</f>
        <v>iSS01</v>
      </c>
    </row>
    <row r="221" spans="1:11" x14ac:dyDescent="0.35">
      <c r="A221">
        <v>2025</v>
      </c>
      <c r="B221">
        <v>1</v>
      </c>
      <c r="C221" t="s">
        <v>44</v>
      </c>
      <c r="D221" t="s">
        <v>45</v>
      </c>
      <c r="E221" t="s">
        <v>46</v>
      </c>
      <c r="F221" t="s">
        <v>47</v>
      </c>
      <c r="G221" s="2">
        <v>0</v>
      </c>
      <c r="H221" s="2">
        <v>1100</v>
      </c>
      <c r="I221" s="2">
        <v>1100</v>
      </c>
      <c r="J221" s="2" t="str">
        <f>_xlfn.XLOOKUP(Data[[#This Row],[Main SKU]],MD_Main_SKU[Main SKU],MD_Main_SKU[SKU name_gom])</f>
        <v>iSS01</v>
      </c>
      <c r="K221" s="2" t="str">
        <f>_xlfn.XLOOKUP(Data[[#This Row],[Material-Nhập]],MD_Main_SKU[Main SKU],MD_Main_SKU[SKU name_gom])</f>
        <v>iSS01-PL</v>
      </c>
    </row>
    <row r="222" spans="1:11" x14ac:dyDescent="0.35">
      <c r="A222">
        <v>2025</v>
      </c>
      <c r="B222">
        <v>1</v>
      </c>
      <c r="C222" t="s">
        <v>48</v>
      </c>
      <c r="D222" t="s">
        <v>49</v>
      </c>
      <c r="E222" t="s">
        <v>22</v>
      </c>
      <c r="F222" t="s">
        <v>23</v>
      </c>
      <c r="G222" s="2">
        <v>0</v>
      </c>
      <c r="H222" s="2">
        <v>892</v>
      </c>
      <c r="I222" s="2">
        <v>892</v>
      </c>
      <c r="J222" s="2" t="str">
        <f>_xlfn.XLOOKUP(Data[[#This Row],[Main SKU]],MD_Main_SKU[Main SKU],MD_Main_SKU[SKU name_gom])</f>
        <v>WSS01</v>
      </c>
      <c r="K222" s="2" t="str">
        <f>_xlfn.XLOOKUP(Data[[#This Row],[Material-Nhập]],MD_Main_SKU[Main SKU],MD_Main_SKU[SKU name_gom])</f>
        <v>WSS03</v>
      </c>
    </row>
    <row r="223" spans="1:11" x14ac:dyDescent="0.35">
      <c r="A223">
        <v>2025</v>
      </c>
      <c r="B223">
        <v>1</v>
      </c>
      <c r="C223" t="s">
        <v>48</v>
      </c>
      <c r="D223" t="s">
        <v>49</v>
      </c>
      <c r="E223" t="s">
        <v>48</v>
      </c>
      <c r="F223" t="s">
        <v>49</v>
      </c>
      <c r="G223" s="2">
        <v>10242</v>
      </c>
      <c r="H223" s="2">
        <v>0</v>
      </c>
      <c r="I223" s="2">
        <v>10242</v>
      </c>
      <c r="J223" s="2" t="str">
        <f>_xlfn.XLOOKUP(Data[[#This Row],[Main SKU]],MD_Main_SKU[Main SKU],MD_Main_SKU[SKU name_gom])</f>
        <v>WSS01</v>
      </c>
      <c r="K223" s="2" t="str">
        <f>_xlfn.XLOOKUP(Data[[#This Row],[Material-Nhập]],MD_Main_SKU[Main SKU],MD_Main_SKU[SKU name_gom])</f>
        <v>WSS01</v>
      </c>
    </row>
    <row r="224" spans="1:11" x14ac:dyDescent="0.35">
      <c r="A224">
        <v>2025</v>
      </c>
      <c r="B224">
        <v>2</v>
      </c>
      <c r="C224" t="s">
        <v>8</v>
      </c>
      <c r="D224" t="s">
        <v>9</v>
      </c>
      <c r="E224" t="s">
        <v>8</v>
      </c>
      <c r="F224" t="s">
        <v>9</v>
      </c>
      <c r="G224" s="2">
        <v>91300</v>
      </c>
      <c r="H224" s="2">
        <v>0</v>
      </c>
      <c r="I224" s="2">
        <v>91300</v>
      </c>
      <c r="J224" s="2" t="str">
        <f>_xlfn.XLOOKUP(Data[[#This Row],[Main SKU]],MD_Main_SKU[Main SKU],MD_Main_SKU[SKU name_gom])</f>
        <v>WSS01</v>
      </c>
      <c r="K224" s="2" t="str">
        <f>_xlfn.XLOOKUP(Data[[#This Row],[Material-Nhập]],MD_Main_SKU[Main SKU],MD_Main_SKU[SKU name_gom])</f>
        <v>WSS01</v>
      </c>
    </row>
    <row r="225" spans="1:11" x14ac:dyDescent="0.35">
      <c r="A225">
        <v>2025</v>
      </c>
      <c r="B225">
        <v>2</v>
      </c>
      <c r="C225" t="s">
        <v>8</v>
      </c>
      <c r="D225" t="s">
        <v>9</v>
      </c>
      <c r="E225" t="s">
        <v>22</v>
      </c>
      <c r="F225" t="s">
        <v>23</v>
      </c>
      <c r="G225" s="2">
        <v>0</v>
      </c>
      <c r="H225" s="2">
        <v>3300</v>
      </c>
      <c r="I225" s="2">
        <v>3300</v>
      </c>
      <c r="J225" s="2" t="str">
        <f>_xlfn.XLOOKUP(Data[[#This Row],[Main SKU]],MD_Main_SKU[Main SKU],MD_Main_SKU[SKU name_gom])</f>
        <v>WSS01</v>
      </c>
      <c r="K225" s="2" t="str">
        <f>_xlfn.XLOOKUP(Data[[#This Row],[Material-Nhập]],MD_Main_SKU[Main SKU],MD_Main_SKU[SKU name_gom])</f>
        <v>WSS03</v>
      </c>
    </row>
    <row r="226" spans="1:11" x14ac:dyDescent="0.35">
      <c r="A226">
        <v>2025</v>
      </c>
      <c r="B226">
        <v>2</v>
      </c>
      <c r="C226" t="s">
        <v>8</v>
      </c>
      <c r="D226" t="s">
        <v>9</v>
      </c>
      <c r="E226" t="s">
        <v>36</v>
      </c>
      <c r="F226" t="s">
        <v>37</v>
      </c>
      <c r="G226" s="2">
        <v>0</v>
      </c>
      <c r="H226" s="2">
        <v>13200</v>
      </c>
      <c r="I226" s="2">
        <v>13200</v>
      </c>
      <c r="J226" s="2" t="str">
        <f>_xlfn.XLOOKUP(Data[[#This Row],[Main SKU]],MD_Main_SKU[Main SKU],MD_Main_SKU[SKU name_gom])</f>
        <v>WSS01</v>
      </c>
      <c r="K226" s="2" t="str">
        <f>_xlfn.XLOOKUP(Data[[#This Row],[Material-Nhập]],MD_Main_SKU[Main SKU],MD_Main_SKU[SKU name_gom])</f>
        <v>WSS01-PL</v>
      </c>
    </row>
    <row r="227" spans="1:11" x14ac:dyDescent="0.35">
      <c r="A227">
        <v>2025</v>
      </c>
      <c r="B227">
        <v>2</v>
      </c>
      <c r="C227" t="s">
        <v>14</v>
      </c>
      <c r="D227" t="s">
        <v>15</v>
      </c>
      <c r="E227" t="s">
        <v>14</v>
      </c>
      <c r="F227" t="s">
        <v>15</v>
      </c>
      <c r="G227" s="2">
        <v>534600</v>
      </c>
      <c r="H227" s="2">
        <v>0</v>
      </c>
      <c r="I227" s="2">
        <v>534600</v>
      </c>
      <c r="J227" s="2" t="str">
        <f>_xlfn.XLOOKUP(Data[[#This Row],[Main SKU]],MD_Main_SKU[Main SKU],MD_Main_SKU[SKU name_gom])</f>
        <v>iSS01084</v>
      </c>
      <c r="K227" s="2" t="str">
        <f>_xlfn.XLOOKUP(Data[[#This Row],[Material-Nhập]],MD_Main_SKU[Main SKU],MD_Main_SKU[SKU name_gom])</f>
        <v>iSS01084</v>
      </c>
    </row>
    <row r="228" spans="1:11" x14ac:dyDescent="0.35">
      <c r="A228">
        <v>2025</v>
      </c>
      <c r="B228">
        <v>2</v>
      </c>
      <c r="C228" t="s">
        <v>14</v>
      </c>
      <c r="D228" t="s">
        <v>15</v>
      </c>
      <c r="E228" t="s">
        <v>18</v>
      </c>
      <c r="F228" t="s">
        <v>19</v>
      </c>
      <c r="G228" s="2">
        <v>0</v>
      </c>
      <c r="H228" s="2">
        <v>1100</v>
      </c>
      <c r="I228" s="2">
        <v>1100</v>
      </c>
      <c r="J228" s="2" t="str">
        <f>_xlfn.XLOOKUP(Data[[#This Row],[Main SKU]],MD_Main_SKU[Main SKU],MD_Main_SKU[SKU name_gom])</f>
        <v>iSS01084</v>
      </c>
      <c r="K228" s="2" t="str">
        <f>_xlfn.XLOOKUP(Data[[#This Row],[Material-Nhập]],MD_Main_SKU[Main SKU],MD_Main_SKU[SKU name_gom])</f>
        <v>iSS01</v>
      </c>
    </row>
    <row r="229" spans="1:11" x14ac:dyDescent="0.35">
      <c r="A229">
        <v>2025</v>
      </c>
      <c r="B229">
        <v>2</v>
      </c>
      <c r="C229" t="s">
        <v>14</v>
      </c>
      <c r="D229" t="s">
        <v>15</v>
      </c>
      <c r="E229" t="s">
        <v>22</v>
      </c>
      <c r="F229" t="s">
        <v>23</v>
      </c>
      <c r="G229" s="2">
        <v>0</v>
      </c>
      <c r="H229" s="2">
        <v>31899.999999999996</v>
      </c>
      <c r="I229" s="2">
        <v>31899.999999999996</v>
      </c>
      <c r="J229" s="2" t="str">
        <f>_xlfn.XLOOKUP(Data[[#This Row],[Main SKU]],MD_Main_SKU[Main SKU],MD_Main_SKU[SKU name_gom])</f>
        <v>iSS01084</v>
      </c>
      <c r="K229" s="2" t="str">
        <f>_xlfn.XLOOKUP(Data[[#This Row],[Material-Nhập]],MD_Main_SKU[Main SKU],MD_Main_SKU[SKU name_gom])</f>
        <v>WSS03</v>
      </c>
    </row>
    <row r="230" spans="1:11" x14ac:dyDescent="0.35">
      <c r="A230">
        <v>2025</v>
      </c>
      <c r="B230">
        <v>2</v>
      </c>
      <c r="C230" t="s">
        <v>14</v>
      </c>
      <c r="D230" t="s">
        <v>15</v>
      </c>
      <c r="E230" t="s">
        <v>38</v>
      </c>
      <c r="F230" t="s">
        <v>39</v>
      </c>
      <c r="G230" s="2">
        <v>0</v>
      </c>
      <c r="H230" s="2">
        <v>4400</v>
      </c>
      <c r="I230" s="2">
        <v>4400</v>
      </c>
      <c r="J230" s="2" t="str">
        <f>_xlfn.XLOOKUP(Data[[#This Row],[Main SKU]],MD_Main_SKU[Main SKU],MD_Main_SKU[SKU name_gom])</f>
        <v>iSS01084</v>
      </c>
      <c r="K230" s="2" t="str">
        <f>_xlfn.XLOOKUP(Data[[#This Row],[Material-Nhập]],MD_Main_SKU[Main SKU],MD_Main_SKU[SKU name_gom])</f>
        <v>iSS01084-PL</v>
      </c>
    </row>
    <row r="231" spans="1:11" x14ac:dyDescent="0.35">
      <c r="A231">
        <v>2025</v>
      </c>
      <c r="B231">
        <v>2</v>
      </c>
      <c r="C231" t="s">
        <v>14</v>
      </c>
      <c r="D231" t="s">
        <v>15</v>
      </c>
      <c r="E231" t="s">
        <v>34</v>
      </c>
      <c r="F231" t="s">
        <v>35</v>
      </c>
      <c r="G231" s="2">
        <v>0</v>
      </c>
      <c r="H231" s="2">
        <v>2200</v>
      </c>
      <c r="I231" s="2">
        <v>2200</v>
      </c>
      <c r="J231" s="2" t="str">
        <f>_xlfn.XLOOKUP(Data[[#This Row],[Main SKU]],MD_Main_SKU[Main SKU],MD_Main_SKU[SKU name_gom])</f>
        <v>iSS01084</v>
      </c>
      <c r="K231" s="2" t="str">
        <f>_xlfn.XLOOKUP(Data[[#This Row],[Material-Nhập]],MD_Main_SKU[Main SKU],MD_Main_SKU[SKU name_gom])</f>
        <v>WSS03-PL</v>
      </c>
    </row>
    <row r="232" spans="1:11" x14ac:dyDescent="0.35">
      <c r="A232">
        <v>2025</v>
      </c>
      <c r="B232">
        <v>2</v>
      </c>
      <c r="C232" t="s">
        <v>16</v>
      </c>
      <c r="D232" t="s">
        <v>17</v>
      </c>
      <c r="E232" t="s">
        <v>16</v>
      </c>
      <c r="F232" t="s">
        <v>17</v>
      </c>
      <c r="G232" s="2">
        <v>503800</v>
      </c>
      <c r="H232" s="2">
        <v>0</v>
      </c>
      <c r="I232" s="2">
        <v>503800</v>
      </c>
      <c r="J232" s="2" t="str">
        <f>_xlfn.XLOOKUP(Data[[#This Row],[Main SKU]],MD_Main_SKU[Main SKU],MD_Main_SKU[SKU name_gom])</f>
        <v>WSS01</v>
      </c>
      <c r="K232" s="2" t="str">
        <f>_xlfn.XLOOKUP(Data[[#This Row],[Material-Nhập]],MD_Main_SKU[Main SKU],MD_Main_SKU[SKU name_gom])</f>
        <v>WSS01</v>
      </c>
    </row>
    <row r="233" spans="1:11" x14ac:dyDescent="0.35">
      <c r="A233">
        <v>2025</v>
      </c>
      <c r="B233">
        <v>2</v>
      </c>
      <c r="C233" t="s">
        <v>16</v>
      </c>
      <c r="D233" t="s">
        <v>17</v>
      </c>
      <c r="E233" t="s">
        <v>18</v>
      </c>
      <c r="F233" t="s">
        <v>19</v>
      </c>
      <c r="G233" s="2">
        <v>0</v>
      </c>
      <c r="H233" s="2">
        <v>13200</v>
      </c>
      <c r="I233" s="2">
        <v>13200</v>
      </c>
      <c r="J233" s="2" t="str">
        <f>_xlfn.XLOOKUP(Data[[#This Row],[Main SKU]],MD_Main_SKU[Main SKU],MD_Main_SKU[SKU name_gom])</f>
        <v>WSS01</v>
      </c>
      <c r="K233" s="2" t="str">
        <f>_xlfn.XLOOKUP(Data[[#This Row],[Material-Nhập]],MD_Main_SKU[Main SKU],MD_Main_SKU[SKU name_gom])</f>
        <v>iSS01</v>
      </c>
    </row>
    <row r="234" spans="1:11" x14ac:dyDescent="0.35">
      <c r="A234">
        <v>2025</v>
      </c>
      <c r="B234">
        <v>2</v>
      </c>
      <c r="C234" t="s">
        <v>16</v>
      </c>
      <c r="D234" t="s">
        <v>17</v>
      </c>
      <c r="E234" t="s">
        <v>22</v>
      </c>
      <c r="F234" t="s">
        <v>23</v>
      </c>
      <c r="G234" s="2">
        <v>0</v>
      </c>
      <c r="H234" s="2">
        <v>2200</v>
      </c>
      <c r="I234" s="2">
        <v>2200</v>
      </c>
      <c r="J234" s="2" t="str">
        <f>_xlfn.XLOOKUP(Data[[#This Row],[Main SKU]],MD_Main_SKU[Main SKU],MD_Main_SKU[SKU name_gom])</f>
        <v>WSS01</v>
      </c>
      <c r="K234" s="2" t="str">
        <f>_xlfn.XLOOKUP(Data[[#This Row],[Material-Nhập]],MD_Main_SKU[Main SKU],MD_Main_SKU[SKU name_gom])</f>
        <v>WSS03</v>
      </c>
    </row>
    <row r="235" spans="1:11" x14ac:dyDescent="0.35">
      <c r="A235">
        <v>2025</v>
      </c>
      <c r="B235">
        <v>2</v>
      </c>
      <c r="C235" t="s">
        <v>16</v>
      </c>
      <c r="D235" t="s">
        <v>17</v>
      </c>
      <c r="E235" t="s">
        <v>40</v>
      </c>
      <c r="F235" t="s">
        <v>41</v>
      </c>
      <c r="G235" s="2">
        <v>0</v>
      </c>
      <c r="H235" s="2">
        <v>6600</v>
      </c>
      <c r="I235" s="2">
        <v>6600</v>
      </c>
      <c r="J235" s="2" t="str">
        <f>_xlfn.XLOOKUP(Data[[#This Row],[Main SKU]],MD_Main_SKU[Main SKU],MD_Main_SKU[SKU name_gom])</f>
        <v>WSS01</v>
      </c>
      <c r="K235" s="2" t="str">
        <f>_xlfn.XLOOKUP(Data[[#This Row],[Material-Nhập]],MD_Main_SKU[Main SKU],MD_Main_SKU[SKU name_gom])</f>
        <v>WSS01-PL</v>
      </c>
    </row>
    <row r="236" spans="1:11" x14ac:dyDescent="0.35">
      <c r="A236">
        <v>2025</v>
      </c>
      <c r="B236">
        <v>2</v>
      </c>
      <c r="C236" t="s">
        <v>16</v>
      </c>
      <c r="D236" t="s">
        <v>17</v>
      </c>
      <c r="E236" t="s">
        <v>34</v>
      </c>
      <c r="F236" t="s">
        <v>35</v>
      </c>
      <c r="G236" s="2">
        <v>0</v>
      </c>
      <c r="H236" s="2">
        <v>1100</v>
      </c>
      <c r="I236" s="2">
        <v>1100</v>
      </c>
      <c r="J236" s="2" t="str">
        <f>_xlfn.XLOOKUP(Data[[#This Row],[Main SKU]],MD_Main_SKU[Main SKU],MD_Main_SKU[SKU name_gom])</f>
        <v>WSS01</v>
      </c>
      <c r="K236" s="2" t="str">
        <f>_xlfn.XLOOKUP(Data[[#This Row],[Material-Nhập]],MD_Main_SKU[Main SKU],MD_Main_SKU[SKU name_gom])</f>
        <v>WSS03-PL</v>
      </c>
    </row>
    <row r="237" spans="1:11" x14ac:dyDescent="0.35">
      <c r="A237">
        <v>2025</v>
      </c>
      <c r="B237">
        <v>2</v>
      </c>
      <c r="C237" t="s">
        <v>18</v>
      </c>
      <c r="D237" t="s">
        <v>19</v>
      </c>
      <c r="E237" t="s">
        <v>18</v>
      </c>
      <c r="F237" t="s">
        <v>19</v>
      </c>
      <c r="G237" s="2">
        <v>348700</v>
      </c>
      <c r="H237" s="2">
        <v>0</v>
      </c>
      <c r="I237" s="2">
        <v>348700</v>
      </c>
      <c r="J237" s="2" t="str">
        <f>_xlfn.XLOOKUP(Data[[#This Row],[Main SKU]],MD_Main_SKU[Main SKU],MD_Main_SKU[SKU name_gom])</f>
        <v>iSS01</v>
      </c>
      <c r="K237" s="2" t="str">
        <f>_xlfn.XLOOKUP(Data[[#This Row],[Material-Nhập]],MD_Main_SKU[Main SKU],MD_Main_SKU[SKU name_gom])</f>
        <v>iSS01</v>
      </c>
    </row>
    <row r="238" spans="1:11" x14ac:dyDescent="0.35">
      <c r="A238">
        <v>2025</v>
      </c>
      <c r="B238">
        <v>2</v>
      </c>
      <c r="C238" t="s">
        <v>18</v>
      </c>
      <c r="D238" t="s">
        <v>19</v>
      </c>
      <c r="E238" t="s">
        <v>22</v>
      </c>
      <c r="F238" t="s">
        <v>23</v>
      </c>
      <c r="G238" s="2">
        <v>0</v>
      </c>
      <c r="H238" s="2">
        <v>6600</v>
      </c>
      <c r="I238" s="2">
        <v>6600</v>
      </c>
      <c r="J238" s="2" t="str">
        <f>_xlfn.XLOOKUP(Data[[#This Row],[Main SKU]],MD_Main_SKU[Main SKU],MD_Main_SKU[SKU name_gom])</f>
        <v>iSS01</v>
      </c>
      <c r="K238" s="2" t="str">
        <f>_xlfn.XLOOKUP(Data[[#This Row],[Material-Nhập]],MD_Main_SKU[Main SKU],MD_Main_SKU[SKU name_gom])</f>
        <v>WSS03</v>
      </c>
    </row>
    <row r="239" spans="1:11" x14ac:dyDescent="0.35">
      <c r="A239">
        <v>2025</v>
      </c>
      <c r="B239">
        <v>2</v>
      </c>
      <c r="C239" t="s">
        <v>22</v>
      </c>
      <c r="D239" t="s">
        <v>23</v>
      </c>
      <c r="E239" t="s">
        <v>22</v>
      </c>
      <c r="F239" t="s">
        <v>23</v>
      </c>
      <c r="G239" s="2">
        <v>5500</v>
      </c>
      <c r="H239" s="2">
        <v>0</v>
      </c>
      <c r="I239" s="2">
        <v>5500</v>
      </c>
      <c r="J239" s="2" t="str">
        <f>_xlfn.XLOOKUP(Data[[#This Row],[Main SKU]],MD_Main_SKU[Main SKU],MD_Main_SKU[SKU name_gom])</f>
        <v>WSS03</v>
      </c>
      <c r="K239" s="2" t="str">
        <f>_xlfn.XLOOKUP(Data[[#This Row],[Material-Nhập]],MD_Main_SKU[Main SKU],MD_Main_SKU[SKU name_gom])</f>
        <v>WSS03</v>
      </c>
    </row>
    <row r="240" spans="1:11" x14ac:dyDescent="0.35">
      <c r="A240">
        <v>2025</v>
      </c>
      <c r="B240">
        <v>2</v>
      </c>
      <c r="C240" t="s">
        <v>22</v>
      </c>
      <c r="D240" t="s">
        <v>23</v>
      </c>
      <c r="E240" t="s">
        <v>34</v>
      </c>
      <c r="F240" t="s">
        <v>35</v>
      </c>
      <c r="G240" s="2">
        <v>0</v>
      </c>
      <c r="H240" s="2">
        <v>2200</v>
      </c>
      <c r="I240" s="2">
        <v>2200</v>
      </c>
      <c r="J240" s="2" t="str">
        <f>_xlfn.XLOOKUP(Data[[#This Row],[Main SKU]],MD_Main_SKU[Main SKU],MD_Main_SKU[SKU name_gom])</f>
        <v>WSS03</v>
      </c>
      <c r="K240" s="2" t="str">
        <f>_xlfn.XLOOKUP(Data[[#This Row],[Material-Nhập]],MD_Main_SKU[Main SKU],MD_Main_SKU[SKU name_gom])</f>
        <v>WSS03-PL</v>
      </c>
    </row>
    <row r="241" spans="1:11" x14ac:dyDescent="0.35">
      <c r="A241">
        <v>2025</v>
      </c>
      <c r="B241">
        <v>2</v>
      </c>
      <c r="C241" t="s">
        <v>26</v>
      </c>
      <c r="D241" t="s">
        <v>27</v>
      </c>
      <c r="E241" t="s">
        <v>22</v>
      </c>
      <c r="F241" t="s">
        <v>23</v>
      </c>
      <c r="G241" s="2">
        <v>0</v>
      </c>
      <c r="H241" s="2">
        <v>6600</v>
      </c>
      <c r="I241" s="2">
        <v>6600</v>
      </c>
      <c r="J241" s="2" t="str">
        <f>_xlfn.XLOOKUP(Data[[#This Row],[Main SKU]],MD_Main_SKU[Main SKU],MD_Main_SKU[SKU name_gom])</f>
        <v>iSS01</v>
      </c>
      <c r="K241" s="2" t="str">
        <f>_xlfn.XLOOKUP(Data[[#This Row],[Material-Nhập]],MD_Main_SKU[Main SKU],MD_Main_SKU[SKU name_gom])</f>
        <v>WSS03</v>
      </c>
    </row>
    <row r="242" spans="1:11" x14ac:dyDescent="0.35">
      <c r="A242">
        <v>2025</v>
      </c>
      <c r="B242">
        <v>2</v>
      </c>
      <c r="C242" t="s">
        <v>26</v>
      </c>
      <c r="D242" t="s">
        <v>27</v>
      </c>
      <c r="E242" t="s">
        <v>24</v>
      </c>
      <c r="F242" t="s">
        <v>25</v>
      </c>
      <c r="G242" s="2">
        <v>0</v>
      </c>
      <c r="H242" s="2">
        <v>6600</v>
      </c>
      <c r="I242" s="2">
        <v>6600</v>
      </c>
      <c r="J242" s="2" t="str">
        <f>_xlfn.XLOOKUP(Data[[#This Row],[Main SKU]],MD_Main_SKU[Main SKU],MD_Main_SKU[SKU name_gom])</f>
        <v>iSS01</v>
      </c>
      <c r="K242" s="2" t="str">
        <f>_xlfn.XLOOKUP(Data[[#This Row],[Material-Nhập]],MD_Main_SKU[Main SKU],MD_Main_SKU[SKU name_gom])</f>
        <v>WSS01</v>
      </c>
    </row>
    <row r="243" spans="1:11" x14ac:dyDescent="0.35">
      <c r="A243">
        <v>2025</v>
      </c>
      <c r="B243">
        <v>2</v>
      </c>
      <c r="C243" t="s">
        <v>26</v>
      </c>
      <c r="D243" t="s">
        <v>27</v>
      </c>
      <c r="E243" t="s">
        <v>26</v>
      </c>
      <c r="F243" t="s">
        <v>27</v>
      </c>
      <c r="G243" s="2">
        <v>155100</v>
      </c>
      <c r="H243" s="2">
        <v>0</v>
      </c>
      <c r="I243" s="2">
        <v>155100</v>
      </c>
      <c r="J243" s="2" t="str">
        <f>_xlfn.XLOOKUP(Data[[#This Row],[Main SKU]],MD_Main_SKU[Main SKU],MD_Main_SKU[SKU name_gom])</f>
        <v>iSS01</v>
      </c>
      <c r="K243" s="2" t="str">
        <f>_xlfn.XLOOKUP(Data[[#This Row],[Material-Nhập]],MD_Main_SKU[Main SKU],MD_Main_SKU[SKU name_gom])</f>
        <v>iSS01</v>
      </c>
    </row>
    <row r="244" spans="1:11" x14ac:dyDescent="0.35">
      <c r="A244">
        <v>2025</v>
      </c>
      <c r="B244">
        <v>2</v>
      </c>
      <c r="C244" t="s">
        <v>26</v>
      </c>
      <c r="D244" t="s">
        <v>27</v>
      </c>
      <c r="E244" t="s">
        <v>50</v>
      </c>
      <c r="F244" t="s">
        <v>51</v>
      </c>
      <c r="G244" s="2">
        <v>0</v>
      </c>
      <c r="H244" s="2">
        <v>24200</v>
      </c>
      <c r="I244" s="2">
        <v>24200</v>
      </c>
      <c r="J244" s="2" t="str">
        <f>_xlfn.XLOOKUP(Data[[#This Row],[Main SKU]],MD_Main_SKU[Main SKU],MD_Main_SKU[SKU name_gom])</f>
        <v>iSS01</v>
      </c>
      <c r="K244" s="2" t="str">
        <f>_xlfn.XLOOKUP(Data[[#This Row],[Material-Nhập]],MD_Main_SKU[Main SKU],MD_Main_SKU[SKU name_gom])</f>
        <v>iSS01-PL</v>
      </c>
    </row>
    <row r="245" spans="1:11" x14ac:dyDescent="0.35">
      <c r="A245">
        <v>2025</v>
      </c>
      <c r="B245">
        <v>2</v>
      </c>
      <c r="C245" t="s">
        <v>26</v>
      </c>
      <c r="D245" t="s">
        <v>27</v>
      </c>
      <c r="E245" t="s">
        <v>34</v>
      </c>
      <c r="F245" t="s">
        <v>35</v>
      </c>
      <c r="G245" s="2">
        <v>0</v>
      </c>
      <c r="H245" s="2">
        <v>2200</v>
      </c>
      <c r="I245" s="2">
        <v>2200</v>
      </c>
      <c r="J245" s="2" t="str">
        <f>_xlfn.XLOOKUP(Data[[#This Row],[Main SKU]],MD_Main_SKU[Main SKU],MD_Main_SKU[SKU name_gom])</f>
        <v>iSS01</v>
      </c>
      <c r="K245" s="2" t="str">
        <f>_xlfn.XLOOKUP(Data[[#This Row],[Material-Nhập]],MD_Main_SKU[Main SKU],MD_Main_SKU[SKU name_gom])</f>
        <v>WSS03-PL</v>
      </c>
    </row>
    <row r="246" spans="1:11" x14ac:dyDescent="0.35">
      <c r="A246">
        <v>2025</v>
      </c>
      <c r="B246">
        <v>2</v>
      </c>
      <c r="C246" t="s">
        <v>44</v>
      </c>
      <c r="D246" t="s">
        <v>45</v>
      </c>
      <c r="E246" t="s">
        <v>14</v>
      </c>
      <c r="F246" t="s">
        <v>15</v>
      </c>
      <c r="G246" s="2">
        <v>0</v>
      </c>
      <c r="H246" s="2">
        <v>1100</v>
      </c>
      <c r="I246" s="2">
        <v>1100</v>
      </c>
      <c r="J246" s="2" t="str">
        <f>_xlfn.XLOOKUP(Data[[#This Row],[Main SKU]],MD_Main_SKU[Main SKU],MD_Main_SKU[SKU name_gom])</f>
        <v>iSS01</v>
      </c>
      <c r="K246" s="2" t="str">
        <f>_xlfn.XLOOKUP(Data[[#This Row],[Material-Nhập]],MD_Main_SKU[Main SKU],MD_Main_SKU[SKU name_gom])</f>
        <v>iSS01084</v>
      </c>
    </row>
    <row r="247" spans="1:11" x14ac:dyDescent="0.35">
      <c r="A247">
        <v>2025</v>
      </c>
      <c r="B247">
        <v>2</v>
      </c>
      <c r="C247" t="s">
        <v>44</v>
      </c>
      <c r="D247" t="s">
        <v>45</v>
      </c>
      <c r="E247" t="s">
        <v>18</v>
      </c>
      <c r="F247" t="s">
        <v>19</v>
      </c>
      <c r="G247" s="2">
        <v>0</v>
      </c>
      <c r="H247" s="2">
        <v>11000</v>
      </c>
      <c r="I247" s="2">
        <v>11000</v>
      </c>
      <c r="J247" s="2" t="str">
        <f>_xlfn.XLOOKUP(Data[[#This Row],[Main SKU]],MD_Main_SKU[Main SKU],MD_Main_SKU[SKU name_gom])</f>
        <v>iSS01</v>
      </c>
      <c r="K247" s="2" t="str">
        <f>_xlfn.XLOOKUP(Data[[#This Row],[Material-Nhập]],MD_Main_SKU[Main SKU],MD_Main_SKU[SKU name_gom])</f>
        <v>iSS01</v>
      </c>
    </row>
    <row r="248" spans="1:11" x14ac:dyDescent="0.35">
      <c r="A248">
        <v>2025</v>
      </c>
      <c r="B248">
        <v>2</v>
      </c>
      <c r="C248" t="s">
        <v>44</v>
      </c>
      <c r="D248" t="s">
        <v>45</v>
      </c>
      <c r="E248" t="s">
        <v>22</v>
      </c>
      <c r="F248" t="s">
        <v>23</v>
      </c>
      <c r="G248" s="2">
        <v>0</v>
      </c>
      <c r="H248" s="2">
        <v>6599.9999999999991</v>
      </c>
      <c r="I248" s="2">
        <v>6599.9999999999991</v>
      </c>
      <c r="J248" s="2" t="str">
        <f>_xlfn.XLOOKUP(Data[[#This Row],[Main SKU]],MD_Main_SKU[Main SKU],MD_Main_SKU[SKU name_gom])</f>
        <v>iSS01</v>
      </c>
      <c r="K248" s="2" t="str">
        <f>_xlfn.XLOOKUP(Data[[#This Row],[Material-Nhập]],MD_Main_SKU[Main SKU],MD_Main_SKU[SKU name_gom])</f>
        <v>WSS03</v>
      </c>
    </row>
    <row r="249" spans="1:11" x14ac:dyDescent="0.35">
      <c r="A249">
        <v>2025</v>
      </c>
      <c r="B249">
        <v>2</v>
      </c>
      <c r="C249" t="s">
        <v>44</v>
      </c>
      <c r="D249" t="s">
        <v>45</v>
      </c>
      <c r="E249" t="s">
        <v>44</v>
      </c>
      <c r="F249" t="s">
        <v>45</v>
      </c>
      <c r="G249" s="2">
        <v>222640</v>
      </c>
      <c r="H249" s="2">
        <v>0</v>
      </c>
      <c r="I249" s="2">
        <v>222640</v>
      </c>
      <c r="J249" s="2" t="str">
        <f>_xlfn.XLOOKUP(Data[[#This Row],[Main SKU]],MD_Main_SKU[Main SKU],MD_Main_SKU[SKU name_gom])</f>
        <v>iSS01</v>
      </c>
      <c r="K249" s="2" t="str">
        <f>_xlfn.XLOOKUP(Data[[#This Row],[Material-Nhập]],MD_Main_SKU[Main SKU],MD_Main_SKU[SKU name_gom])</f>
        <v>iSS01</v>
      </c>
    </row>
    <row r="250" spans="1:11" x14ac:dyDescent="0.35">
      <c r="A250">
        <v>2025</v>
      </c>
      <c r="B250">
        <v>2</v>
      </c>
      <c r="C250" t="s">
        <v>44</v>
      </c>
      <c r="D250" t="s">
        <v>45</v>
      </c>
      <c r="E250" t="s">
        <v>34</v>
      </c>
      <c r="F250" t="s">
        <v>35</v>
      </c>
      <c r="G250" s="2">
        <v>0</v>
      </c>
      <c r="H250" s="2">
        <v>3300</v>
      </c>
      <c r="I250" s="2">
        <v>3300</v>
      </c>
      <c r="J250" s="2" t="str">
        <f>_xlfn.XLOOKUP(Data[[#This Row],[Main SKU]],MD_Main_SKU[Main SKU],MD_Main_SKU[SKU name_gom])</f>
        <v>iSS01</v>
      </c>
      <c r="K250" s="2" t="str">
        <f>_xlfn.XLOOKUP(Data[[#This Row],[Material-Nhập]],MD_Main_SKU[Main SKU],MD_Main_SKU[SKU name_gom])</f>
        <v>WSS03-PL</v>
      </c>
    </row>
    <row r="251" spans="1:11" x14ac:dyDescent="0.35">
      <c r="A251">
        <v>2025</v>
      </c>
      <c r="B251">
        <v>2</v>
      </c>
      <c r="C251" t="s">
        <v>48</v>
      </c>
      <c r="D251" t="s">
        <v>49</v>
      </c>
      <c r="E251" t="s">
        <v>48</v>
      </c>
      <c r="F251" t="s">
        <v>49</v>
      </c>
      <c r="G251" s="2">
        <v>3980</v>
      </c>
      <c r="H251" s="2">
        <v>0</v>
      </c>
      <c r="I251" s="2">
        <v>3980</v>
      </c>
      <c r="J251" s="2" t="str">
        <f>_xlfn.XLOOKUP(Data[[#This Row],[Main SKU]],MD_Main_SKU[Main SKU],MD_Main_SKU[SKU name_gom])</f>
        <v>WSS01</v>
      </c>
      <c r="K251" s="2" t="str">
        <f>_xlfn.XLOOKUP(Data[[#This Row],[Material-Nhập]],MD_Main_SKU[Main SKU],MD_Main_SKU[SKU name_gom])</f>
        <v>WSS01</v>
      </c>
    </row>
    <row r="252" spans="1:11" x14ac:dyDescent="0.35">
      <c r="A252">
        <v>2025</v>
      </c>
      <c r="B252">
        <v>3</v>
      </c>
      <c r="C252" t="s">
        <v>16</v>
      </c>
      <c r="D252" t="s">
        <v>17</v>
      </c>
      <c r="E252" t="s">
        <v>16</v>
      </c>
      <c r="F252" t="s">
        <v>17</v>
      </c>
      <c r="G252" s="2">
        <v>1379399.9999999995</v>
      </c>
      <c r="H252" s="2">
        <v>0</v>
      </c>
      <c r="I252" s="2">
        <v>1379399.9999999995</v>
      </c>
      <c r="J252" s="2" t="str">
        <f>_xlfn.XLOOKUP(Data[[#This Row],[Main SKU]],MD_Main_SKU[Main SKU],MD_Main_SKU[SKU name_gom])</f>
        <v>WSS01</v>
      </c>
      <c r="K252" s="2" t="str">
        <f>_xlfn.XLOOKUP(Data[[#This Row],[Material-Nhập]],MD_Main_SKU[Main SKU],MD_Main_SKU[SKU name_gom])</f>
        <v>WSS01</v>
      </c>
    </row>
    <row r="253" spans="1:11" x14ac:dyDescent="0.35">
      <c r="A253">
        <v>2025</v>
      </c>
      <c r="B253">
        <v>3</v>
      </c>
      <c r="C253" t="s">
        <v>16</v>
      </c>
      <c r="D253" t="s">
        <v>17</v>
      </c>
      <c r="E253" t="s">
        <v>18</v>
      </c>
      <c r="F253" t="s">
        <v>19</v>
      </c>
      <c r="G253" s="2">
        <v>0</v>
      </c>
      <c r="H253" s="2">
        <v>35200</v>
      </c>
      <c r="I253" s="2">
        <v>35200</v>
      </c>
      <c r="J253" s="2" t="str">
        <f>_xlfn.XLOOKUP(Data[[#This Row],[Main SKU]],MD_Main_SKU[Main SKU],MD_Main_SKU[SKU name_gom])</f>
        <v>WSS01</v>
      </c>
      <c r="K253" s="2" t="str">
        <f>_xlfn.XLOOKUP(Data[[#This Row],[Material-Nhập]],MD_Main_SKU[Main SKU],MD_Main_SKU[SKU name_gom])</f>
        <v>iSS01</v>
      </c>
    </row>
    <row r="254" spans="1:11" x14ac:dyDescent="0.35">
      <c r="A254">
        <v>2025</v>
      </c>
      <c r="B254">
        <v>3</v>
      </c>
      <c r="C254" t="s">
        <v>16</v>
      </c>
      <c r="D254" t="s">
        <v>17</v>
      </c>
      <c r="E254" t="s">
        <v>22</v>
      </c>
      <c r="F254" t="s">
        <v>23</v>
      </c>
      <c r="G254" s="2">
        <v>0</v>
      </c>
      <c r="H254" s="2">
        <v>8800.0000000000018</v>
      </c>
      <c r="I254" s="2">
        <v>8800.0000000000018</v>
      </c>
      <c r="J254" s="2" t="str">
        <f>_xlfn.XLOOKUP(Data[[#This Row],[Main SKU]],MD_Main_SKU[Main SKU],MD_Main_SKU[SKU name_gom])</f>
        <v>WSS01</v>
      </c>
      <c r="K254" s="2" t="str">
        <f>_xlfn.XLOOKUP(Data[[#This Row],[Material-Nhập]],MD_Main_SKU[Main SKU],MD_Main_SKU[SKU name_gom])</f>
        <v>WSS03</v>
      </c>
    </row>
    <row r="255" spans="1:11" x14ac:dyDescent="0.35">
      <c r="A255">
        <v>2025</v>
      </c>
      <c r="B255">
        <v>3</v>
      </c>
      <c r="C255" t="s">
        <v>16</v>
      </c>
      <c r="D255" t="s">
        <v>17</v>
      </c>
      <c r="E255" t="s">
        <v>40</v>
      </c>
      <c r="F255" t="s">
        <v>41</v>
      </c>
      <c r="G255" s="2">
        <v>0</v>
      </c>
      <c r="H255" s="2">
        <v>8800</v>
      </c>
      <c r="I255" s="2">
        <v>8800</v>
      </c>
      <c r="J255" s="2" t="str">
        <f>_xlfn.XLOOKUP(Data[[#This Row],[Main SKU]],MD_Main_SKU[Main SKU],MD_Main_SKU[SKU name_gom])</f>
        <v>WSS01</v>
      </c>
      <c r="K255" s="2" t="str">
        <f>_xlfn.XLOOKUP(Data[[#This Row],[Material-Nhập]],MD_Main_SKU[Main SKU],MD_Main_SKU[SKU name_gom])</f>
        <v>WSS01-PL</v>
      </c>
    </row>
    <row r="256" spans="1:11" x14ac:dyDescent="0.35">
      <c r="A256">
        <v>2025</v>
      </c>
      <c r="B256">
        <v>3</v>
      </c>
      <c r="C256" t="s">
        <v>16</v>
      </c>
      <c r="D256" t="s">
        <v>17</v>
      </c>
      <c r="E256" t="s">
        <v>34</v>
      </c>
      <c r="F256" t="s">
        <v>35</v>
      </c>
      <c r="G256" s="2">
        <v>0</v>
      </c>
      <c r="H256" s="2">
        <v>3300</v>
      </c>
      <c r="I256" s="2">
        <v>3300</v>
      </c>
      <c r="J256" s="2" t="str">
        <f>_xlfn.XLOOKUP(Data[[#This Row],[Main SKU]],MD_Main_SKU[Main SKU],MD_Main_SKU[SKU name_gom])</f>
        <v>WSS01</v>
      </c>
      <c r="K256" s="2" t="str">
        <f>_xlfn.XLOOKUP(Data[[#This Row],[Material-Nhập]],MD_Main_SKU[Main SKU],MD_Main_SKU[SKU name_gom])</f>
        <v>WSS03-PL</v>
      </c>
    </row>
    <row r="257" spans="1:11" x14ac:dyDescent="0.35">
      <c r="A257">
        <v>2025</v>
      </c>
      <c r="B257">
        <v>3</v>
      </c>
      <c r="C257" t="s">
        <v>18</v>
      </c>
      <c r="D257" t="s">
        <v>19</v>
      </c>
      <c r="E257" t="s">
        <v>14</v>
      </c>
      <c r="F257" t="s">
        <v>15</v>
      </c>
      <c r="G257" s="2">
        <v>0</v>
      </c>
      <c r="H257" s="2">
        <v>11000</v>
      </c>
      <c r="I257" s="2">
        <v>11000</v>
      </c>
      <c r="J257" s="2" t="str">
        <f>_xlfn.XLOOKUP(Data[[#This Row],[Main SKU]],MD_Main_SKU[Main SKU],MD_Main_SKU[SKU name_gom])</f>
        <v>iSS01</v>
      </c>
      <c r="K257" s="2" t="str">
        <f>_xlfn.XLOOKUP(Data[[#This Row],[Material-Nhập]],MD_Main_SKU[Main SKU],MD_Main_SKU[SKU name_gom])</f>
        <v>iSS01084</v>
      </c>
    </row>
    <row r="258" spans="1:11" x14ac:dyDescent="0.35">
      <c r="A258">
        <v>2025</v>
      </c>
      <c r="B258">
        <v>3</v>
      </c>
      <c r="C258" t="s">
        <v>18</v>
      </c>
      <c r="D258" t="s">
        <v>19</v>
      </c>
      <c r="E258" t="s">
        <v>18</v>
      </c>
      <c r="F258" t="s">
        <v>19</v>
      </c>
      <c r="G258" s="2">
        <v>817300</v>
      </c>
      <c r="H258" s="2">
        <v>0</v>
      </c>
      <c r="I258" s="2">
        <v>817300</v>
      </c>
      <c r="J258" s="2" t="str">
        <f>_xlfn.XLOOKUP(Data[[#This Row],[Main SKU]],MD_Main_SKU[Main SKU],MD_Main_SKU[SKU name_gom])</f>
        <v>iSS01</v>
      </c>
      <c r="K258" s="2" t="str">
        <f>_xlfn.XLOOKUP(Data[[#This Row],[Material-Nhập]],MD_Main_SKU[Main SKU],MD_Main_SKU[SKU name_gom])</f>
        <v>iSS01</v>
      </c>
    </row>
    <row r="259" spans="1:11" x14ac:dyDescent="0.35">
      <c r="A259">
        <v>2025</v>
      </c>
      <c r="B259">
        <v>3</v>
      </c>
      <c r="C259" t="s">
        <v>18</v>
      </c>
      <c r="D259" t="s">
        <v>19</v>
      </c>
      <c r="E259" t="s">
        <v>22</v>
      </c>
      <c r="F259" t="s">
        <v>23</v>
      </c>
      <c r="G259" s="2">
        <v>0</v>
      </c>
      <c r="H259" s="2">
        <v>16500.000000000004</v>
      </c>
      <c r="I259" s="2">
        <v>16500.000000000004</v>
      </c>
      <c r="J259" s="2" t="str">
        <f>_xlfn.XLOOKUP(Data[[#This Row],[Main SKU]],MD_Main_SKU[Main SKU],MD_Main_SKU[SKU name_gom])</f>
        <v>iSS01</v>
      </c>
      <c r="K259" s="2" t="str">
        <f>_xlfn.XLOOKUP(Data[[#This Row],[Material-Nhập]],MD_Main_SKU[Main SKU],MD_Main_SKU[SKU name_gom])</f>
        <v>WSS03</v>
      </c>
    </row>
    <row r="260" spans="1:11" x14ac:dyDescent="0.35">
      <c r="A260">
        <v>2025</v>
      </c>
      <c r="B260">
        <v>3</v>
      </c>
      <c r="C260" t="s">
        <v>18</v>
      </c>
      <c r="D260" t="s">
        <v>19</v>
      </c>
      <c r="E260" t="s">
        <v>40</v>
      </c>
      <c r="F260" t="s">
        <v>41</v>
      </c>
      <c r="G260" s="2">
        <v>0</v>
      </c>
      <c r="H260" s="2">
        <v>1100</v>
      </c>
      <c r="I260" s="2">
        <v>1100</v>
      </c>
      <c r="J260" s="2" t="str">
        <f>_xlfn.XLOOKUP(Data[[#This Row],[Main SKU]],MD_Main_SKU[Main SKU],MD_Main_SKU[SKU name_gom])</f>
        <v>iSS01</v>
      </c>
      <c r="K260" s="2" t="str">
        <f>_xlfn.XLOOKUP(Data[[#This Row],[Material-Nhập]],MD_Main_SKU[Main SKU],MD_Main_SKU[SKU name_gom])</f>
        <v>WSS01-PL</v>
      </c>
    </row>
    <row r="261" spans="1:11" x14ac:dyDescent="0.35">
      <c r="A261">
        <v>2025</v>
      </c>
      <c r="B261">
        <v>3</v>
      </c>
      <c r="C261" t="s">
        <v>18</v>
      </c>
      <c r="D261" t="s">
        <v>19</v>
      </c>
      <c r="E261" t="s">
        <v>34</v>
      </c>
      <c r="F261" t="s">
        <v>35</v>
      </c>
      <c r="G261" s="2">
        <v>0</v>
      </c>
      <c r="H261" s="2">
        <v>1100</v>
      </c>
      <c r="I261" s="2">
        <v>1100</v>
      </c>
      <c r="J261" s="2" t="str">
        <f>_xlfn.XLOOKUP(Data[[#This Row],[Main SKU]],MD_Main_SKU[Main SKU],MD_Main_SKU[SKU name_gom])</f>
        <v>iSS01</v>
      </c>
      <c r="K261" s="2" t="str">
        <f>_xlfn.XLOOKUP(Data[[#This Row],[Material-Nhập]],MD_Main_SKU[Main SKU],MD_Main_SKU[SKU name_gom])</f>
        <v>WSS03-PL</v>
      </c>
    </row>
    <row r="262" spans="1:11" x14ac:dyDescent="0.35">
      <c r="A262">
        <v>2025</v>
      </c>
      <c r="B262">
        <v>3</v>
      </c>
      <c r="C262" t="s">
        <v>22</v>
      </c>
      <c r="D262" t="s">
        <v>23</v>
      </c>
      <c r="E262" t="s">
        <v>22</v>
      </c>
      <c r="F262" t="s">
        <v>23</v>
      </c>
      <c r="G262" s="2">
        <v>379500</v>
      </c>
      <c r="H262" s="2">
        <v>0</v>
      </c>
      <c r="I262" s="2">
        <v>379500</v>
      </c>
      <c r="J262" s="2" t="str">
        <f>_xlfn.XLOOKUP(Data[[#This Row],[Main SKU]],MD_Main_SKU[Main SKU],MD_Main_SKU[SKU name_gom])</f>
        <v>WSS03</v>
      </c>
      <c r="K262" s="2" t="str">
        <f>_xlfn.XLOOKUP(Data[[#This Row],[Material-Nhập]],MD_Main_SKU[Main SKU],MD_Main_SKU[SKU name_gom])</f>
        <v>WSS03</v>
      </c>
    </row>
    <row r="263" spans="1:11" x14ac:dyDescent="0.35">
      <c r="A263">
        <v>2025</v>
      </c>
      <c r="B263">
        <v>3</v>
      </c>
      <c r="C263" t="s">
        <v>26</v>
      </c>
      <c r="D263" t="s">
        <v>27</v>
      </c>
      <c r="E263" t="s">
        <v>22</v>
      </c>
      <c r="F263" t="s">
        <v>23</v>
      </c>
      <c r="G263" s="2">
        <v>0</v>
      </c>
      <c r="H263" s="2">
        <v>1015</v>
      </c>
      <c r="I263" s="2">
        <v>1015</v>
      </c>
      <c r="J263" s="2" t="str">
        <f>_xlfn.XLOOKUP(Data[[#This Row],[Main SKU]],MD_Main_SKU[Main SKU],MD_Main_SKU[SKU name_gom])</f>
        <v>iSS01</v>
      </c>
      <c r="K263" s="2" t="str">
        <f>_xlfn.XLOOKUP(Data[[#This Row],[Material-Nhập]],MD_Main_SKU[Main SKU],MD_Main_SKU[SKU name_gom])</f>
        <v>WSS03</v>
      </c>
    </row>
    <row r="264" spans="1:11" x14ac:dyDescent="0.35">
      <c r="A264">
        <v>2025</v>
      </c>
      <c r="B264">
        <v>3</v>
      </c>
      <c r="C264" t="s">
        <v>26</v>
      </c>
      <c r="D264" t="s">
        <v>27</v>
      </c>
      <c r="E264" t="s">
        <v>24</v>
      </c>
      <c r="F264" t="s">
        <v>25</v>
      </c>
      <c r="G264" s="2">
        <v>0</v>
      </c>
      <c r="H264" s="2">
        <v>2200</v>
      </c>
      <c r="I264" s="2">
        <v>2200</v>
      </c>
      <c r="J264" s="2" t="str">
        <f>_xlfn.XLOOKUP(Data[[#This Row],[Main SKU]],MD_Main_SKU[Main SKU],MD_Main_SKU[SKU name_gom])</f>
        <v>iSS01</v>
      </c>
      <c r="K264" s="2" t="str">
        <f>_xlfn.XLOOKUP(Data[[#This Row],[Material-Nhập]],MD_Main_SKU[Main SKU],MD_Main_SKU[SKU name_gom])</f>
        <v>WSS01</v>
      </c>
    </row>
    <row r="265" spans="1:11" x14ac:dyDescent="0.35">
      <c r="A265">
        <v>2025</v>
      </c>
      <c r="B265">
        <v>3</v>
      </c>
      <c r="C265" t="s">
        <v>26</v>
      </c>
      <c r="D265" t="s">
        <v>27</v>
      </c>
      <c r="E265" t="s">
        <v>26</v>
      </c>
      <c r="F265" t="s">
        <v>27</v>
      </c>
      <c r="G265" s="2">
        <v>386099.99999999994</v>
      </c>
      <c r="H265" s="2">
        <v>0</v>
      </c>
      <c r="I265" s="2">
        <v>386099.99999999994</v>
      </c>
      <c r="J265" s="2" t="str">
        <f>_xlfn.XLOOKUP(Data[[#This Row],[Main SKU]],MD_Main_SKU[Main SKU],MD_Main_SKU[SKU name_gom])</f>
        <v>iSS01</v>
      </c>
      <c r="K265" s="2" t="str">
        <f>_xlfn.XLOOKUP(Data[[#This Row],[Material-Nhập]],MD_Main_SKU[Main SKU],MD_Main_SKU[SKU name_gom])</f>
        <v>iSS01</v>
      </c>
    </row>
    <row r="266" spans="1:11" x14ac:dyDescent="0.35">
      <c r="A266">
        <v>2025</v>
      </c>
      <c r="B266">
        <v>4</v>
      </c>
      <c r="C266" t="s">
        <v>14</v>
      </c>
      <c r="D266" t="s">
        <v>15</v>
      </c>
      <c r="E266" t="s">
        <v>14</v>
      </c>
      <c r="F266" t="s">
        <v>15</v>
      </c>
      <c r="G266" s="2">
        <v>3300</v>
      </c>
      <c r="H266" s="2">
        <v>0</v>
      </c>
      <c r="I266" s="2">
        <v>3300</v>
      </c>
      <c r="J266" s="2" t="str">
        <f>_xlfn.XLOOKUP(Data[[#This Row],[Main SKU]],MD_Main_SKU[Main SKU],MD_Main_SKU[SKU name_gom])</f>
        <v>iSS01084</v>
      </c>
      <c r="K266" s="2" t="str">
        <f>_xlfn.XLOOKUP(Data[[#This Row],[Material-Nhập]],MD_Main_SKU[Main SKU],MD_Main_SKU[SKU name_gom])</f>
        <v>iSS01084</v>
      </c>
    </row>
    <row r="267" spans="1:11" x14ac:dyDescent="0.35">
      <c r="A267">
        <v>2025</v>
      </c>
      <c r="B267">
        <v>4</v>
      </c>
      <c r="C267" t="s">
        <v>14</v>
      </c>
      <c r="D267" t="s">
        <v>15</v>
      </c>
      <c r="E267" t="s">
        <v>22</v>
      </c>
      <c r="F267" t="s">
        <v>23</v>
      </c>
      <c r="G267" s="2">
        <v>0</v>
      </c>
      <c r="H267" s="2">
        <v>1100</v>
      </c>
      <c r="I267" s="2">
        <v>1100</v>
      </c>
      <c r="J267" s="2" t="str">
        <f>_xlfn.XLOOKUP(Data[[#This Row],[Main SKU]],MD_Main_SKU[Main SKU],MD_Main_SKU[SKU name_gom])</f>
        <v>iSS01084</v>
      </c>
      <c r="K267" s="2" t="str">
        <f>_xlfn.XLOOKUP(Data[[#This Row],[Material-Nhập]],MD_Main_SKU[Main SKU],MD_Main_SKU[SKU name_gom])</f>
        <v>WSS03</v>
      </c>
    </row>
    <row r="268" spans="1:11" x14ac:dyDescent="0.35">
      <c r="A268">
        <v>2025</v>
      </c>
      <c r="B268">
        <v>4</v>
      </c>
      <c r="C268" t="s">
        <v>16</v>
      </c>
      <c r="D268" t="s">
        <v>17</v>
      </c>
      <c r="E268" t="s">
        <v>14</v>
      </c>
      <c r="F268" t="s">
        <v>15</v>
      </c>
      <c r="G268" s="2">
        <v>0</v>
      </c>
      <c r="H268" s="2">
        <v>2200</v>
      </c>
      <c r="I268" s="2">
        <v>2200</v>
      </c>
      <c r="J268" s="2" t="str">
        <f>_xlfn.XLOOKUP(Data[[#This Row],[Main SKU]],MD_Main_SKU[Main SKU],MD_Main_SKU[SKU name_gom])</f>
        <v>WSS01</v>
      </c>
      <c r="K268" s="2" t="str">
        <f>_xlfn.XLOOKUP(Data[[#This Row],[Material-Nhập]],MD_Main_SKU[Main SKU],MD_Main_SKU[SKU name_gom])</f>
        <v>iSS01084</v>
      </c>
    </row>
    <row r="269" spans="1:11" x14ac:dyDescent="0.35">
      <c r="A269">
        <v>2025</v>
      </c>
      <c r="B269">
        <v>4</v>
      </c>
      <c r="C269" t="s">
        <v>16</v>
      </c>
      <c r="D269" t="s">
        <v>17</v>
      </c>
      <c r="E269" t="s">
        <v>16</v>
      </c>
      <c r="F269" t="s">
        <v>17</v>
      </c>
      <c r="G269" s="2">
        <v>2603700.0000000005</v>
      </c>
      <c r="H269" s="2">
        <v>5500</v>
      </c>
      <c r="I269" s="2">
        <v>2609200.0000000005</v>
      </c>
      <c r="J269" s="2" t="str">
        <f>_xlfn.XLOOKUP(Data[[#This Row],[Main SKU]],MD_Main_SKU[Main SKU],MD_Main_SKU[SKU name_gom])</f>
        <v>WSS01</v>
      </c>
      <c r="K269" s="2" t="str">
        <f>_xlfn.XLOOKUP(Data[[#This Row],[Material-Nhập]],MD_Main_SKU[Main SKU],MD_Main_SKU[SKU name_gom])</f>
        <v>WSS01</v>
      </c>
    </row>
    <row r="270" spans="1:11" x14ac:dyDescent="0.35">
      <c r="A270">
        <v>2025</v>
      </c>
      <c r="B270">
        <v>4</v>
      </c>
      <c r="C270" t="s">
        <v>16</v>
      </c>
      <c r="D270" t="s">
        <v>17</v>
      </c>
      <c r="E270" t="s">
        <v>18</v>
      </c>
      <c r="F270" t="s">
        <v>19</v>
      </c>
      <c r="G270" s="2">
        <v>0</v>
      </c>
      <c r="H270" s="2">
        <v>132000.00000000006</v>
      </c>
      <c r="I270" s="2">
        <v>132000.00000000006</v>
      </c>
      <c r="J270" s="2" t="str">
        <f>_xlfn.XLOOKUP(Data[[#This Row],[Main SKU]],MD_Main_SKU[Main SKU],MD_Main_SKU[SKU name_gom])</f>
        <v>WSS01</v>
      </c>
      <c r="K270" s="2" t="str">
        <f>_xlfn.XLOOKUP(Data[[#This Row],[Material-Nhập]],MD_Main_SKU[Main SKU],MD_Main_SKU[SKU name_gom])</f>
        <v>iSS01</v>
      </c>
    </row>
    <row r="271" spans="1:11" x14ac:dyDescent="0.35">
      <c r="A271">
        <v>2025</v>
      </c>
      <c r="B271">
        <v>4</v>
      </c>
      <c r="C271" t="s">
        <v>16</v>
      </c>
      <c r="D271" t="s">
        <v>17</v>
      </c>
      <c r="E271" t="s">
        <v>22</v>
      </c>
      <c r="F271" t="s">
        <v>23</v>
      </c>
      <c r="G271" s="2">
        <v>0</v>
      </c>
      <c r="H271" s="2">
        <v>14300.000000000002</v>
      </c>
      <c r="I271" s="2">
        <v>14300.000000000002</v>
      </c>
      <c r="J271" s="2" t="str">
        <f>_xlfn.XLOOKUP(Data[[#This Row],[Main SKU]],MD_Main_SKU[Main SKU],MD_Main_SKU[SKU name_gom])</f>
        <v>WSS01</v>
      </c>
      <c r="K271" s="2" t="str">
        <f>_xlfn.XLOOKUP(Data[[#This Row],[Material-Nhập]],MD_Main_SKU[Main SKU],MD_Main_SKU[SKU name_gom])</f>
        <v>WSS03</v>
      </c>
    </row>
    <row r="272" spans="1:11" x14ac:dyDescent="0.35">
      <c r="A272">
        <v>2025</v>
      </c>
      <c r="B272">
        <v>4</v>
      </c>
      <c r="C272" t="s">
        <v>16</v>
      </c>
      <c r="D272" t="s">
        <v>17</v>
      </c>
      <c r="E272" t="s">
        <v>40</v>
      </c>
      <c r="F272" t="s">
        <v>41</v>
      </c>
      <c r="G272" s="2">
        <v>0</v>
      </c>
      <c r="H272" s="2">
        <v>6600.0000000000009</v>
      </c>
      <c r="I272" s="2">
        <v>6600.0000000000009</v>
      </c>
      <c r="J272" s="2" t="str">
        <f>_xlfn.XLOOKUP(Data[[#This Row],[Main SKU]],MD_Main_SKU[Main SKU],MD_Main_SKU[SKU name_gom])</f>
        <v>WSS01</v>
      </c>
      <c r="K272" s="2" t="str">
        <f>_xlfn.XLOOKUP(Data[[#This Row],[Material-Nhập]],MD_Main_SKU[Main SKU],MD_Main_SKU[SKU name_gom])</f>
        <v>WSS01-PL</v>
      </c>
    </row>
    <row r="273" spans="1:11" x14ac:dyDescent="0.35">
      <c r="A273">
        <v>2025</v>
      </c>
      <c r="B273">
        <v>4</v>
      </c>
      <c r="C273" t="s">
        <v>16</v>
      </c>
      <c r="D273" t="s">
        <v>17</v>
      </c>
      <c r="E273" t="s">
        <v>34</v>
      </c>
      <c r="F273" t="s">
        <v>35</v>
      </c>
      <c r="G273" s="2">
        <v>0</v>
      </c>
      <c r="H273" s="2">
        <v>11000</v>
      </c>
      <c r="I273" s="2">
        <v>11000</v>
      </c>
      <c r="J273" s="2" t="str">
        <f>_xlfn.XLOOKUP(Data[[#This Row],[Main SKU]],MD_Main_SKU[Main SKU],MD_Main_SKU[SKU name_gom])</f>
        <v>WSS01</v>
      </c>
      <c r="K273" s="2" t="str">
        <f>_xlfn.XLOOKUP(Data[[#This Row],[Material-Nhập]],MD_Main_SKU[Main SKU],MD_Main_SKU[SKU name_gom])</f>
        <v>WSS03-PL</v>
      </c>
    </row>
    <row r="274" spans="1:11" x14ac:dyDescent="0.35">
      <c r="A274">
        <v>2025</v>
      </c>
      <c r="B274">
        <v>4</v>
      </c>
      <c r="C274" t="s">
        <v>18</v>
      </c>
      <c r="D274" t="s">
        <v>19</v>
      </c>
      <c r="E274" t="s">
        <v>16</v>
      </c>
      <c r="F274" t="s">
        <v>17</v>
      </c>
      <c r="G274" s="2">
        <v>0</v>
      </c>
      <c r="H274" s="2">
        <v>27499.999999999996</v>
      </c>
      <c r="I274" s="2">
        <v>27499.999999999996</v>
      </c>
      <c r="J274" s="2" t="str">
        <f>_xlfn.XLOOKUP(Data[[#This Row],[Main SKU]],MD_Main_SKU[Main SKU],MD_Main_SKU[SKU name_gom])</f>
        <v>iSS01</v>
      </c>
      <c r="K274" s="2" t="str">
        <f>_xlfn.XLOOKUP(Data[[#This Row],[Material-Nhập]],MD_Main_SKU[Main SKU],MD_Main_SKU[SKU name_gom])</f>
        <v>WSS01</v>
      </c>
    </row>
    <row r="275" spans="1:11" x14ac:dyDescent="0.35">
      <c r="A275">
        <v>2025</v>
      </c>
      <c r="B275">
        <v>4</v>
      </c>
      <c r="C275" t="s">
        <v>18</v>
      </c>
      <c r="D275" t="s">
        <v>19</v>
      </c>
      <c r="E275" t="s">
        <v>18</v>
      </c>
      <c r="F275" t="s">
        <v>19</v>
      </c>
      <c r="G275" s="2">
        <v>504136.00000000006</v>
      </c>
      <c r="H275" s="2">
        <v>0</v>
      </c>
      <c r="I275" s="2">
        <v>504136.00000000006</v>
      </c>
      <c r="J275" s="2" t="str">
        <f>_xlfn.XLOOKUP(Data[[#This Row],[Main SKU]],MD_Main_SKU[Main SKU],MD_Main_SKU[SKU name_gom])</f>
        <v>iSS01</v>
      </c>
      <c r="K275" s="2" t="str">
        <f>_xlfn.XLOOKUP(Data[[#This Row],[Material-Nhập]],MD_Main_SKU[Main SKU],MD_Main_SKU[SKU name_gom])</f>
        <v>iSS01</v>
      </c>
    </row>
    <row r="276" spans="1:11" x14ac:dyDescent="0.35">
      <c r="A276">
        <v>2025</v>
      </c>
      <c r="B276">
        <v>4</v>
      </c>
      <c r="C276" t="s">
        <v>18</v>
      </c>
      <c r="D276" t="s">
        <v>19</v>
      </c>
      <c r="E276" t="s">
        <v>22</v>
      </c>
      <c r="F276" t="s">
        <v>23</v>
      </c>
      <c r="G276" s="2">
        <v>0</v>
      </c>
      <c r="H276" s="2">
        <v>10494.999999999996</v>
      </c>
      <c r="I276" s="2">
        <v>10494.999999999996</v>
      </c>
      <c r="J276" s="2" t="str">
        <f>_xlfn.XLOOKUP(Data[[#This Row],[Main SKU]],MD_Main_SKU[Main SKU],MD_Main_SKU[SKU name_gom])</f>
        <v>iSS01</v>
      </c>
      <c r="K276" s="2" t="str">
        <f>_xlfn.XLOOKUP(Data[[#This Row],[Material-Nhập]],MD_Main_SKU[Main SKU],MD_Main_SKU[SKU name_gom])</f>
        <v>WSS03</v>
      </c>
    </row>
    <row r="277" spans="1:11" x14ac:dyDescent="0.35">
      <c r="A277">
        <v>2025</v>
      </c>
      <c r="B277">
        <v>4</v>
      </c>
      <c r="C277" t="s">
        <v>18</v>
      </c>
      <c r="D277" t="s">
        <v>19</v>
      </c>
      <c r="E277" t="s">
        <v>40</v>
      </c>
      <c r="F277" t="s">
        <v>41</v>
      </c>
      <c r="G277" s="2">
        <v>0</v>
      </c>
      <c r="H277" s="2">
        <v>7700</v>
      </c>
      <c r="I277" s="2">
        <v>7700</v>
      </c>
      <c r="J277" s="2" t="str">
        <f>_xlfn.XLOOKUP(Data[[#This Row],[Main SKU]],MD_Main_SKU[Main SKU],MD_Main_SKU[SKU name_gom])</f>
        <v>iSS01</v>
      </c>
      <c r="K277" s="2" t="str">
        <f>_xlfn.XLOOKUP(Data[[#This Row],[Material-Nhập]],MD_Main_SKU[Main SKU],MD_Main_SKU[SKU name_gom])</f>
        <v>WSS01-PL</v>
      </c>
    </row>
    <row r="278" spans="1:11" x14ac:dyDescent="0.35">
      <c r="A278">
        <v>2025</v>
      </c>
      <c r="B278">
        <v>4</v>
      </c>
      <c r="C278" t="s">
        <v>22</v>
      </c>
      <c r="D278" t="s">
        <v>23</v>
      </c>
      <c r="E278" t="s">
        <v>22</v>
      </c>
      <c r="F278" t="s">
        <v>23</v>
      </c>
      <c r="G278" s="2">
        <v>88000</v>
      </c>
      <c r="H278" s="2">
        <v>0</v>
      </c>
      <c r="I278" s="2">
        <v>88000</v>
      </c>
      <c r="J278" s="2" t="str">
        <f>_xlfn.XLOOKUP(Data[[#This Row],[Main SKU]],MD_Main_SKU[Main SKU],MD_Main_SKU[SKU name_gom])</f>
        <v>WSS03</v>
      </c>
      <c r="K278" s="2" t="str">
        <f>_xlfn.XLOOKUP(Data[[#This Row],[Material-Nhập]],MD_Main_SKU[Main SKU],MD_Main_SKU[SKU name_gom])</f>
        <v>WSS03</v>
      </c>
    </row>
    <row r="279" spans="1:11" x14ac:dyDescent="0.35">
      <c r="A279">
        <v>2025</v>
      </c>
      <c r="B279">
        <v>4</v>
      </c>
      <c r="C279" t="s">
        <v>52</v>
      </c>
      <c r="D279" t="s">
        <v>53</v>
      </c>
      <c r="E279" t="s">
        <v>52</v>
      </c>
      <c r="F279" t="s">
        <v>53</v>
      </c>
      <c r="G279" s="2">
        <v>4400</v>
      </c>
      <c r="H279" s="2">
        <v>0</v>
      </c>
      <c r="I279" s="2">
        <v>4400</v>
      </c>
      <c r="J279" s="2" t="str">
        <f>_xlfn.XLOOKUP(Data[[#This Row],[Main SKU]],MD_Main_SKU[Main SKU],MD_Main_SKU[SKU name_gom])</f>
        <v>iSS01</v>
      </c>
      <c r="K279" s="2" t="str">
        <f>_xlfn.XLOOKUP(Data[[#This Row],[Material-Nhập]],MD_Main_SKU[Main SKU],MD_Main_SKU[SKU name_gom])</f>
        <v>iSS01</v>
      </c>
    </row>
    <row r="280" spans="1:11" x14ac:dyDescent="0.35">
      <c r="A280">
        <v>2025</v>
      </c>
      <c r="B280">
        <v>4</v>
      </c>
      <c r="C280" t="s">
        <v>26</v>
      </c>
      <c r="D280" t="s">
        <v>27</v>
      </c>
      <c r="E280" t="s">
        <v>22</v>
      </c>
      <c r="F280" t="s">
        <v>23</v>
      </c>
      <c r="G280" s="2">
        <v>0</v>
      </c>
      <c r="H280" s="2">
        <v>2250</v>
      </c>
      <c r="I280" s="2">
        <v>2250</v>
      </c>
      <c r="J280" s="2" t="str">
        <f>_xlfn.XLOOKUP(Data[[#This Row],[Main SKU]],MD_Main_SKU[Main SKU],MD_Main_SKU[SKU name_gom])</f>
        <v>iSS01</v>
      </c>
      <c r="K280" s="2" t="str">
        <f>_xlfn.XLOOKUP(Data[[#This Row],[Material-Nhập]],MD_Main_SKU[Main SKU],MD_Main_SKU[SKU name_gom])</f>
        <v>WSS03</v>
      </c>
    </row>
    <row r="281" spans="1:11" x14ac:dyDescent="0.35">
      <c r="A281">
        <v>2025</v>
      </c>
      <c r="B281">
        <v>4</v>
      </c>
      <c r="C281" t="s">
        <v>26</v>
      </c>
      <c r="D281" t="s">
        <v>27</v>
      </c>
      <c r="E281" t="s">
        <v>24</v>
      </c>
      <c r="F281" t="s">
        <v>25</v>
      </c>
      <c r="G281" s="2">
        <v>0</v>
      </c>
      <c r="H281" s="2">
        <v>12100</v>
      </c>
      <c r="I281" s="2">
        <v>12100</v>
      </c>
      <c r="J281" s="2" t="str">
        <f>_xlfn.XLOOKUP(Data[[#This Row],[Main SKU]],MD_Main_SKU[Main SKU],MD_Main_SKU[SKU name_gom])</f>
        <v>iSS01</v>
      </c>
      <c r="K281" s="2" t="str">
        <f>_xlfn.XLOOKUP(Data[[#This Row],[Material-Nhập]],MD_Main_SKU[Main SKU],MD_Main_SKU[SKU name_gom])</f>
        <v>WSS01</v>
      </c>
    </row>
    <row r="282" spans="1:11" x14ac:dyDescent="0.35">
      <c r="A282">
        <v>2025</v>
      </c>
      <c r="B282">
        <v>4</v>
      </c>
      <c r="C282" t="s">
        <v>26</v>
      </c>
      <c r="D282" t="s">
        <v>27</v>
      </c>
      <c r="E282" t="s">
        <v>26</v>
      </c>
      <c r="F282" t="s">
        <v>27</v>
      </c>
      <c r="G282" s="2">
        <v>931700</v>
      </c>
      <c r="H282" s="2">
        <v>0</v>
      </c>
      <c r="I282" s="2">
        <v>931700</v>
      </c>
      <c r="J282" s="2" t="str">
        <f>_xlfn.XLOOKUP(Data[[#This Row],[Main SKU]],MD_Main_SKU[Main SKU],MD_Main_SKU[SKU name_gom])</f>
        <v>iSS01</v>
      </c>
      <c r="K282" s="2" t="str">
        <f>_xlfn.XLOOKUP(Data[[#This Row],[Material-Nhập]],MD_Main_SKU[Main SKU],MD_Main_SKU[SKU name_gom])</f>
        <v>iSS01</v>
      </c>
    </row>
    <row r="283" spans="1:11" x14ac:dyDescent="0.35">
      <c r="A283">
        <v>2025</v>
      </c>
      <c r="B283">
        <v>4</v>
      </c>
      <c r="C283" t="s">
        <v>26</v>
      </c>
      <c r="D283" t="s">
        <v>27</v>
      </c>
      <c r="E283" t="s">
        <v>50</v>
      </c>
      <c r="F283" t="s">
        <v>51</v>
      </c>
      <c r="G283" s="2">
        <v>0</v>
      </c>
      <c r="H283" s="2">
        <v>31900.000000000011</v>
      </c>
      <c r="I283" s="2">
        <v>31900.000000000011</v>
      </c>
      <c r="J283" s="2" t="str">
        <f>_xlfn.XLOOKUP(Data[[#This Row],[Main SKU]],MD_Main_SKU[Main SKU],MD_Main_SKU[SKU name_gom])</f>
        <v>iSS01</v>
      </c>
      <c r="K283" s="2" t="str">
        <f>_xlfn.XLOOKUP(Data[[#This Row],[Material-Nhập]],MD_Main_SKU[Main SKU],MD_Main_SKU[SKU name_gom])</f>
        <v>iSS01-PL</v>
      </c>
    </row>
    <row r="284" spans="1:11" x14ac:dyDescent="0.35">
      <c r="A284">
        <v>2025</v>
      </c>
      <c r="B284">
        <v>4</v>
      </c>
      <c r="C284" t="s">
        <v>26</v>
      </c>
      <c r="D284" t="s">
        <v>27</v>
      </c>
      <c r="E284" t="s">
        <v>34</v>
      </c>
      <c r="F284" t="s">
        <v>35</v>
      </c>
      <c r="G284" s="2">
        <v>0</v>
      </c>
      <c r="H284" s="2">
        <v>11050.000000000002</v>
      </c>
      <c r="I284" s="2">
        <v>11050.000000000002</v>
      </c>
      <c r="J284" s="2" t="str">
        <f>_xlfn.XLOOKUP(Data[[#This Row],[Main SKU]],MD_Main_SKU[Main SKU],MD_Main_SKU[SKU name_gom])</f>
        <v>iSS01</v>
      </c>
      <c r="K284" s="2" t="str">
        <f>_xlfn.XLOOKUP(Data[[#This Row],[Material-Nhập]],MD_Main_SKU[Main SKU],MD_Main_SKU[SKU name_gom])</f>
        <v>WSS03-PL</v>
      </c>
    </row>
    <row r="285" spans="1:11" x14ac:dyDescent="0.35">
      <c r="A285">
        <v>2025</v>
      </c>
      <c r="B285">
        <v>4</v>
      </c>
      <c r="C285" t="s">
        <v>44</v>
      </c>
      <c r="D285" t="s">
        <v>45</v>
      </c>
      <c r="E285" t="s">
        <v>18</v>
      </c>
      <c r="F285" t="s">
        <v>19</v>
      </c>
      <c r="G285" s="2">
        <v>0</v>
      </c>
      <c r="H285" s="2">
        <v>1100</v>
      </c>
      <c r="I285" s="2">
        <v>1100</v>
      </c>
      <c r="J285" s="2" t="str">
        <f>_xlfn.XLOOKUP(Data[[#This Row],[Main SKU]],MD_Main_SKU[Main SKU],MD_Main_SKU[SKU name_gom])</f>
        <v>iSS01</v>
      </c>
      <c r="K285" s="2" t="str">
        <f>_xlfn.XLOOKUP(Data[[#This Row],[Material-Nhập]],MD_Main_SKU[Main SKU],MD_Main_SKU[SKU name_gom])</f>
        <v>iSS01</v>
      </c>
    </row>
    <row r="286" spans="1:11" x14ac:dyDescent="0.35">
      <c r="A286">
        <v>2025</v>
      </c>
      <c r="B286">
        <v>4</v>
      </c>
      <c r="C286" t="s">
        <v>44</v>
      </c>
      <c r="D286" t="s">
        <v>45</v>
      </c>
      <c r="E286" t="s">
        <v>44</v>
      </c>
      <c r="F286" t="s">
        <v>45</v>
      </c>
      <c r="G286" s="2">
        <v>61600</v>
      </c>
      <c r="H286" s="2">
        <v>0</v>
      </c>
      <c r="I286" s="2">
        <v>61600</v>
      </c>
      <c r="J286" s="2" t="str">
        <f>_xlfn.XLOOKUP(Data[[#This Row],[Main SKU]],MD_Main_SKU[Main SKU],MD_Main_SKU[SKU name_gom])</f>
        <v>iSS01</v>
      </c>
      <c r="K286" s="2" t="str">
        <f>_xlfn.XLOOKUP(Data[[#This Row],[Material-Nhập]],MD_Main_SKU[Main SKU],MD_Main_SKU[SKU name_gom])</f>
        <v>iSS01</v>
      </c>
    </row>
    <row r="287" spans="1:11" x14ac:dyDescent="0.35">
      <c r="A287">
        <v>2025</v>
      </c>
      <c r="B287">
        <v>4</v>
      </c>
      <c r="C287" t="s">
        <v>44</v>
      </c>
      <c r="D287" t="s">
        <v>45</v>
      </c>
      <c r="E287" t="s">
        <v>46</v>
      </c>
      <c r="F287" t="s">
        <v>47</v>
      </c>
      <c r="G287" s="2">
        <v>0</v>
      </c>
      <c r="H287" s="2">
        <v>1100</v>
      </c>
      <c r="I287" s="2">
        <v>1100</v>
      </c>
      <c r="J287" s="2" t="str">
        <f>_xlfn.XLOOKUP(Data[[#This Row],[Main SKU]],MD_Main_SKU[Main SKU],MD_Main_SKU[SKU name_gom])</f>
        <v>iSS01</v>
      </c>
      <c r="K287" s="2" t="str">
        <f>_xlfn.XLOOKUP(Data[[#This Row],[Material-Nhập]],MD_Main_SKU[Main SKU],MD_Main_SKU[SKU name_gom])</f>
        <v>iSS01-PL</v>
      </c>
    </row>
    <row r="288" spans="1:11" x14ac:dyDescent="0.35">
      <c r="A288">
        <v>2025</v>
      </c>
      <c r="B288">
        <v>4</v>
      </c>
      <c r="C288" t="s">
        <v>44</v>
      </c>
      <c r="D288" t="s">
        <v>45</v>
      </c>
      <c r="E288" t="s">
        <v>34</v>
      </c>
      <c r="F288" t="s">
        <v>35</v>
      </c>
      <c r="G288" s="2">
        <v>0</v>
      </c>
      <c r="H288" s="2">
        <v>1100</v>
      </c>
      <c r="I288" s="2">
        <v>1100</v>
      </c>
      <c r="J288" s="2" t="str">
        <f>_xlfn.XLOOKUP(Data[[#This Row],[Main SKU]],MD_Main_SKU[Main SKU],MD_Main_SKU[SKU name_gom])</f>
        <v>iSS01</v>
      </c>
      <c r="K288" s="2" t="str">
        <f>_xlfn.XLOOKUP(Data[[#This Row],[Material-Nhập]],MD_Main_SKU[Main SKU],MD_Main_SKU[SKU name_gom])</f>
        <v>WSS03-PL</v>
      </c>
    </row>
    <row r="289" spans="1:11" x14ac:dyDescent="0.35">
      <c r="A289">
        <v>2025</v>
      </c>
      <c r="B289">
        <v>4</v>
      </c>
      <c r="C289" t="s">
        <v>54</v>
      </c>
      <c r="D289" t="s">
        <v>55</v>
      </c>
      <c r="E289" t="s">
        <v>54</v>
      </c>
      <c r="F289" t="s">
        <v>55</v>
      </c>
      <c r="G289" s="2">
        <v>18700</v>
      </c>
      <c r="H289" s="2">
        <v>0</v>
      </c>
      <c r="I289" s="2">
        <v>18700</v>
      </c>
      <c r="J289" s="2" t="str">
        <f>_xlfn.XLOOKUP(Data[[#This Row],[Main SKU]],MD_Main_SKU[Main SKU],MD_Main_SKU[SKU name_gom])</f>
        <v>WSS01</v>
      </c>
      <c r="K289" s="2" t="str">
        <f>_xlfn.XLOOKUP(Data[[#This Row],[Material-Nhập]],MD_Main_SKU[Main SKU],MD_Main_SKU[SKU name_gom])</f>
        <v>WSS01</v>
      </c>
    </row>
    <row r="290" spans="1:11" x14ac:dyDescent="0.35">
      <c r="A290">
        <v>2025</v>
      </c>
      <c r="B290">
        <v>4</v>
      </c>
      <c r="C290" t="s">
        <v>54</v>
      </c>
      <c r="D290" t="s">
        <v>55</v>
      </c>
      <c r="E290" t="s">
        <v>56</v>
      </c>
      <c r="F290" t="s">
        <v>57</v>
      </c>
      <c r="G290" s="2">
        <v>0</v>
      </c>
      <c r="H290" s="2">
        <v>5500</v>
      </c>
      <c r="I290" s="2">
        <v>5500</v>
      </c>
      <c r="J290" s="2" t="str">
        <f>_xlfn.XLOOKUP(Data[[#This Row],[Main SKU]],MD_Main_SKU[Main SKU],MD_Main_SKU[SKU name_gom])</f>
        <v>WSS01</v>
      </c>
      <c r="K290" s="2" t="str">
        <f>_xlfn.XLOOKUP(Data[[#This Row],[Material-Nhập]],MD_Main_SKU[Main SKU],MD_Main_SKU[SKU name_gom])</f>
        <v>WSS01-PL</v>
      </c>
    </row>
    <row r="291" spans="1:11" x14ac:dyDescent="0.35">
      <c r="A291">
        <v>2025</v>
      </c>
      <c r="B291">
        <v>5</v>
      </c>
      <c r="C291" t="s">
        <v>14</v>
      </c>
      <c r="D291" t="s">
        <v>15</v>
      </c>
      <c r="E291" t="s">
        <v>14</v>
      </c>
      <c r="F291" t="s">
        <v>15</v>
      </c>
      <c r="G291" s="2">
        <v>329999.99999999994</v>
      </c>
      <c r="H291" s="2">
        <v>0</v>
      </c>
      <c r="I291" s="2">
        <v>329999.99999999994</v>
      </c>
      <c r="J291" s="2" t="str">
        <f>_xlfn.XLOOKUP(Data[[#This Row],[Main SKU]],MD_Main_SKU[Main SKU],MD_Main_SKU[SKU name_gom])</f>
        <v>iSS01084</v>
      </c>
      <c r="K291" s="2" t="str">
        <f>_xlfn.XLOOKUP(Data[[#This Row],[Material-Nhập]],MD_Main_SKU[Main SKU],MD_Main_SKU[SKU name_gom])</f>
        <v>iSS01084</v>
      </c>
    </row>
    <row r="292" spans="1:11" x14ac:dyDescent="0.35">
      <c r="A292">
        <v>2025</v>
      </c>
      <c r="B292">
        <v>5</v>
      </c>
      <c r="C292" t="s">
        <v>14</v>
      </c>
      <c r="D292" t="s">
        <v>15</v>
      </c>
      <c r="E292" t="s">
        <v>18</v>
      </c>
      <c r="F292" t="s">
        <v>19</v>
      </c>
      <c r="G292" s="2">
        <v>0</v>
      </c>
      <c r="H292" s="2">
        <v>86900</v>
      </c>
      <c r="I292" s="2">
        <v>86900</v>
      </c>
      <c r="J292" s="2" t="str">
        <f>_xlfn.XLOOKUP(Data[[#This Row],[Main SKU]],MD_Main_SKU[Main SKU],MD_Main_SKU[SKU name_gom])</f>
        <v>iSS01084</v>
      </c>
      <c r="K292" s="2" t="str">
        <f>_xlfn.XLOOKUP(Data[[#This Row],[Material-Nhập]],MD_Main_SKU[Main SKU],MD_Main_SKU[SKU name_gom])</f>
        <v>iSS01</v>
      </c>
    </row>
    <row r="293" spans="1:11" x14ac:dyDescent="0.35">
      <c r="A293">
        <v>2025</v>
      </c>
      <c r="B293">
        <v>5</v>
      </c>
      <c r="C293" t="s">
        <v>14</v>
      </c>
      <c r="D293" t="s">
        <v>15</v>
      </c>
      <c r="E293" t="s">
        <v>22</v>
      </c>
      <c r="F293" t="s">
        <v>23</v>
      </c>
      <c r="G293" s="2">
        <v>0</v>
      </c>
      <c r="H293" s="2">
        <v>12100</v>
      </c>
      <c r="I293" s="2">
        <v>12100</v>
      </c>
      <c r="J293" s="2" t="str">
        <f>_xlfn.XLOOKUP(Data[[#This Row],[Main SKU]],MD_Main_SKU[Main SKU],MD_Main_SKU[SKU name_gom])</f>
        <v>iSS01084</v>
      </c>
      <c r="K293" s="2" t="str">
        <f>_xlfn.XLOOKUP(Data[[#This Row],[Material-Nhập]],MD_Main_SKU[Main SKU],MD_Main_SKU[SKU name_gom])</f>
        <v>WSS03</v>
      </c>
    </row>
    <row r="294" spans="1:11" x14ac:dyDescent="0.35">
      <c r="A294">
        <v>2025</v>
      </c>
      <c r="B294">
        <v>5</v>
      </c>
      <c r="C294" t="s">
        <v>14</v>
      </c>
      <c r="D294" t="s">
        <v>15</v>
      </c>
      <c r="E294" t="s">
        <v>40</v>
      </c>
      <c r="F294" t="s">
        <v>41</v>
      </c>
      <c r="G294" s="2">
        <v>0</v>
      </c>
      <c r="H294" s="2">
        <v>14300</v>
      </c>
      <c r="I294" s="2">
        <v>14300</v>
      </c>
      <c r="J294" s="2" t="str">
        <f>_xlfn.XLOOKUP(Data[[#This Row],[Main SKU]],MD_Main_SKU[Main SKU],MD_Main_SKU[SKU name_gom])</f>
        <v>iSS01084</v>
      </c>
      <c r="K294" s="2" t="str">
        <f>_xlfn.XLOOKUP(Data[[#This Row],[Material-Nhập]],MD_Main_SKU[Main SKU],MD_Main_SKU[SKU name_gom])</f>
        <v>WSS01-PL</v>
      </c>
    </row>
    <row r="295" spans="1:11" x14ac:dyDescent="0.35">
      <c r="A295">
        <v>2025</v>
      </c>
      <c r="B295">
        <v>5</v>
      </c>
      <c r="C295" t="s">
        <v>14</v>
      </c>
      <c r="D295" t="s">
        <v>15</v>
      </c>
      <c r="E295" t="s">
        <v>38</v>
      </c>
      <c r="F295" t="s">
        <v>39</v>
      </c>
      <c r="G295" s="2">
        <v>0</v>
      </c>
      <c r="H295" s="2">
        <v>1100</v>
      </c>
      <c r="I295" s="2">
        <v>1100</v>
      </c>
      <c r="J295" s="2" t="str">
        <f>_xlfn.XLOOKUP(Data[[#This Row],[Main SKU]],MD_Main_SKU[Main SKU],MD_Main_SKU[SKU name_gom])</f>
        <v>iSS01084</v>
      </c>
      <c r="K295" s="2" t="str">
        <f>_xlfn.XLOOKUP(Data[[#This Row],[Material-Nhập]],MD_Main_SKU[Main SKU],MD_Main_SKU[SKU name_gom])</f>
        <v>iSS01084-PL</v>
      </c>
    </row>
    <row r="296" spans="1:11" x14ac:dyDescent="0.35">
      <c r="A296">
        <v>2025</v>
      </c>
      <c r="B296">
        <v>5</v>
      </c>
      <c r="C296" t="s">
        <v>16</v>
      </c>
      <c r="D296" t="s">
        <v>17</v>
      </c>
      <c r="E296" t="s">
        <v>16</v>
      </c>
      <c r="F296" t="s">
        <v>17</v>
      </c>
      <c r="G296" s="2">
        <v>1454200</v>
      </c>
      <c r="H296" s="2">
        <v>0</v>
      </c>
      <c r="I296" s="2">
        <v>1454200</v>
      </c>
      <c r="J296" s="2" t="str">
        <f>_xlfn.XLOOKUP(Data[[#This Row],[Main SKU]],MD_Main_SKU[Main SKU],MD_Main_SKU[SKU name_gom])</f>
        <v>WSS01</v>
      </c>
      <c r="K296" s="2" t="str">
        <f>_xlfn.XLOOKUP(Data[[#This Row],[Material-Nhập]],MD_Main_SKU[Main SKU],MD_Main_SKU[SKU name_gom])</f>
        <v>WSS01</v>
      </c>
    </row>
    <row r="297" spans="1:11" x14ac:dyDescent="0.35">
      <c r="A297">
        <v>2025</v>
      </c>
      <c r="B297">
        <v>5</v>
      </c>
      <c r="C297" t="s">
        <v>16</v>
      </c>
      <c r="D297" t="s">
        <v>17</v>
      </c>
      <c r="E297" t="s">
        <v>18</v>
      </c>
      <c r="F297" t="s">
        <v>19</v>
      </c>
      <c r="G297" s="2">
        <v>0</v>
      </c>
      <c r="H297" s="2">
        <v>153999.99999999997</v>
      </c>
      <c r="I297" s="2">
        <v>153999.99999999997</v>
      </c>
      <c r="J297" s="2" t="str">
        <f>_xlfn.XLOOKUP(Data[[#This Row],[Main SKU]],MD_Main_SKU[Main SKU],MD_Main_SKU[SKU name_gom])</f>
        <v>WSS01</v>
      </c>
      <c r="K297" s="2" t="str">
        <f>_xlfn.XLOOKUP(Data[[#This Row],[Material-Nhập]],MD_Main_SKU[Main SKU],MD_Main_SKU[SKU name_gom])</f>
        <v>iSS01</v>
      </c>
    </row>
    <row r="298" spans="1:11" x14ac:dyDescent="0.35">
      <c r="A298">
        <v>2025</v>
      </c>
      <c r="B298">
        <v>5</v>
      </c>
      <c r="C298" t="s">
        <v>16</v>
      </c>
      <c r="D298" t="s">
        <v>17</v>
      </c>
      <c r="E298" t="s">
        <v>22</v>
      </c>
      <c r="F298" t="s">
        <v>23</v>
      </c>
      <c r="G298" s="2">
        <v>0</v>
      </c>
      <c r="H298" s="2">
        <v>11000.000000000002</v>
      </c>
      <c r="I298" s="2">
        <v>11000.000000000002</v>
      </c>
      <c r="J298" s="2" t="str">
        <f>_xlfn.XLOOKUP(Data[[#This Row],[Main SKU]],MD_Main_SKU[Main SKU],MD_Main_SKU[SKU name_gom])</f>
        <v>WSS01</v>
      </c>
      <c r="K298" s="2" t="str">
        <f>_xlfn.XLOOKUP(Data[[#This Row],[Material-Nhập]],MD_Main_SKU[Main SKU],MD_Main_SKU[SKU name_gom])</f>
        <v>WSS03</v>
      </c>
    </row>
    <row r="299" spans="1:11" x14ac:dyDescent="0.35">
      <c r="A299">
        <v>2025</v>
      </c>
      <c r="B299">
        <v>5</v>
      </c>
      <c r="C299" t="s">
        <v>16</v>
      </c>
      <c r="D299" t="s">
        <v>17</v>
      </c>
      <c r="E299" t="s">
        <v>40</v>
      </c>
      <c r="F299" t="s">
        <v>41</v>
      </c>
      <c r="G299" s="2">
        <v>0</v>
      </c>
      <c r="H299" s="2">
        <v>18700</v>
      </c>
      <c r="I299" s="2">
        <v>18700</v>
      </c>
      <c r="J299" s="2" t="str">
        <f>_xlfn.XLOOKUP(Data[[#This Row],[Main SKU]],MD_Main_SKU[Main SKU],MD_Main_SKU[SKU name_gom])</f>
        <v>WSS01</v>
      </c>
      <c r="K299" s="2" t="str">
        <f>_xlfn.XLOOKUP(Data[[#This Row],[Material-Nhập]],MD_Main_SKU[Main SKU],MD_Main_SKU[SKU name_gom])</f>
        <v>WSS01-PL</v>
      </c>
    </row>
    <row r="300" spans="1:11" x14ac:dyDescent="0.35">
      <c r="A300">
        <v>2025</v>
      </c>
      <c r="B300">
        <v>5</v>
      </c>
      <c r="C300" t="s">
        <v>16</v>
      </c>
      <c r="D300" t="s">
        <v>17</v>
      </c>
      <c r="E300" t="s">
        <v>34</v>
      </c>
      <c r="F300" t="s">
        <v>35</v>
      </c>
      <c r="G300" s="2">
        <v>0</v>
      </c>
      <c r="H300" s="2">
        <v>6599.9999999999991</v>
      </c>
      <c r="I300" s="2">
        <v>6599.9999999999991</v>
      </c>
      <c r="J300" s="2" t="str">
        <f>_xlfn.XLOOKUP(Data[[#This Row],[Main SKU]],MD_Main_SKU[Main SKU],MD_Main_SKU[SKU name_gom])</f>
        <v>WSS01</v>
      </c>
      <c r="K300" s="2" t="str">
        <f>_xlfn.XLOOKUP(Data[[#This Row],[Material-Nhập]],MD_Main_SKU[Main SKU],MD_Main_SKU[SKU name_gom])</f>
        <v>WSS03-PL</v>
      </c>
    </row>
    <row r="301" spans="1:11" x14ac:dyDescent="0.35">
      <c r="A301">
        <v>2025</v>
      </c>
      <c r="B301">
        <v>5</v>
      </c>
      <c r="C301" t="s">
        <v>18</v>
      </c>
      <c r="D301" t="s">
        <v>19</v>
      </c>
      <c r="E301" t="s">
        <v>14</v>
      </c>
      <c r="F301" t="s">
        <v>15</v>
      </c>
      <c r="G301" s="2">
        <v>0</v>
      </c>
      <c r="H301" s="2">
        <v>2200</v>
      </c>
      <c r="I301" s="2">
        <v>2200</v>
      </c>
      <c r="J301" s="2" t="str">
        <f>_xlfn.XLOOKUP(Data[[#This Row],[Main SKU]],MD_Main_SKU[Main SKU],MD_Main_SKU[SKU name_gom])</f>
        <v>iSS01</v>
      </c>
      <c r="K301" s="2" t="str">
        <f>_xlfn.XLOOKUP(Data[[#This Row],[Material-Nhập]],MD_Main_SKU[Main SKU],MD_Main_SKU[SKU name_gom])</f>
        <v>iSS01084</v>
      </c>
    </row>
    <row r="302" spans="1:11" x14ac:dyDescent="0.35">
      <c r="A302">
        <v>2025</v>
      </c>
      <c r="B302">
        <v>5</v>
      </c>
      <c r="C302" t="s">
        <v>18</v>
      </c>
      <c r="D302" t="s">
        <v>19</v>
      </c>
      <c r="E302" t="s">
        <v>16</v>
      </c>
      <c r="F302" t="s">
        <v>17</v>
      </c>
      <c r="G302" s="2">
        <v>0</v>
      </c>
      <c r="H302" s="2">
        <v>7700</v>
      </c>
      <c r="I302" s="2">
        <v>7700</v>
      </c>
      <c r="J302" s="2" t="str">
        <f>_xlfn.XLOOKUP(Data[[#This Row],[Main SKU]],MD_Main_SKU[Main SKU],MD_Main_SKU[SKU name_gom])</f>
        <v>iSS01</v>
      </c>
      <c r="K302" s="2" t="str">
        <f>_xlfn.XLOOKUP(Data[[#This Row],[Material-Nhập]],MD_Main_SKU[Main SKU],MD_Main_SKU[SKU name_gom])</f>
        <v>WSS01</v>
      </c>
    </row>
    <row r="303" spans="1:11" x14ac:dyDescent="0.35">
      <c r="A303">
        <v>2025</v>
      </c>
      <c r="B303">
        <v>5</v>
      </c>
      <c r="C303" t="s">
        <v>18</v>
      </c>
      <c r="D303" t="s">
        <v>19</v>
      </c>
      <c r="E303" t="s">
        <v>18</v>
      </c>
      <c r="F303" t="s">
        <v>19</v>
      </c>
      <c r="G303" s="2">
        <v>520300.00000000006</v>
      </c>
      <c r="H303" s="2">
        <v>0</v>
      </c>
      <c r="I303" s="2">
        <v>520300.00000000006</v>
      </c>
      <c r="J303" s="2" t="str">
        <f>_xlfn.XLOOKUP(Data[[#This Row],[Main SKU]],MD_Main_SKU[Main SKU],MD_Main_SKU[SKU name_gom])</f>
        <v>iSS01</v>
      </c>
      <c r="K303" s="2" t="str">
        <f>_xlfn.XLOOKUP(Data[[#This Row],[Material-Nhập]],MD_Main_SKU[Main SKU],MD_Main_SKU[SKU name_gom])</f>
        <v>iSS01</v>
      </c>
    </row>
    <row r="304" spans="1:11" x14ac:dyDescent="0.35">
      <c r="A304">
        <v>2025</v>
      </c>
      <c r="B304">
        <v>5</v>
      </c>
      <c r="C304" t="s">
        <v>18</v>
      </c>
      <c r="D304" t="s">
        <v>19</v>
      </c>
      <c r="E304" t="s">
        <v>22</v>
      </c>
      <c r="F304" t="s">
        <v>23</v>
      </c>
      <c r="G304" s="2">
        <v>0</v>
      </c>
      <c r="H304" s="2">
        <v>17600</v>
      </c>
      <c r="I304" s="2">
        <v>17600</v>
      </c>
      <c r="J304" s="2" t="str">
        <f>_xlfn.XLOOKUP(Data[[#This Row],[Main SKU]],MD_Main_SKU[Main SKU],MD_Main_SKU[SKU name_gom])</f>
        <v>iSS01</v>
      </c>
      <c r="K304" s="2" t="str">
        <f>_xlfn.XLOOKUP(Data[[#This Row],[Material-Nhập]],MD_Main_SKU[Main SKU],MD_Main_SKU[SKU name_gom])</f>
        <v>WSS03</v>
      </c>
    </row>
    <row r="305" spans="1:11" x14ac:dyDescent="0.35">
      <c r="A305">
        <v>2025</v>
      </c>
      <c r="B305">
        <v>5</v>
      </c>
      <c r="C305" t="s">
        <v>18</v>
      </c>
      <c r="D305" t="s">
        <v>19</v>
      </c>
      <c r="E305" t="s">
        <v>40</v>
      </c>
      <c r="F305" t="s">
        <v>41</v>
      </c>
      <c r="G305" s="2">
        <v>0</v>
      </c>
      <c r="H305" s="2">
        <v>2200</v>
      </c>
      <c r="I305" s="2">
        <v>2200</v>
      </c>
      <c r="J305" s="2" t="str">
        <f>_xlfn.XLOOKUP(Data[[#This Row],[Main SKU]],MD_Main_SKU[Main SKU],MD_Main_SKU[SKU name_gom])</f>
        <v>iSS01</v>
      </c>
      <c r="K305" s="2" t="str">
        <f>_xlfn.XLOOKUP(Data[[#This Row],[Material-Nhập]],MD_Main_SKU[Main SKU],MD_Main_SKU[SKU name_gom])</f>
        <v>WSS01-PL</v>
      </c>
    </row>
    <row r="306" spans="1:11" x14ac:dyDescent="0.35">
      <c r="A306">
        <v>2025</v>
      </c>
      <c r="B306">
        <v>5</v>
      </c>
      <c r="C306" t="s">
        <v>18</v>
      </c>
      <c r="D306" t="s">
        <v>19</v>
      </c>
      <c r="E306" t="s">
        <v>42</v>
      </c>
      <c r="F306" t="s">
        <v>43</v>
      </c>
      <c r="G306" s="2">
        <v>0</v>
      </c>
      <c r="H306" s="2">
        <v>4400</v>
      </c>
      <c r="I306" s="2">
        <v>4400</v>
      </c>
      <c r="J306" s="2" t="str">
        <f>_xlfn.XLOOKUP(Data[[#This Row],[Main SKU]],MD_Main_SKU[Main SKU],MD_Main_SKU[SKU name_gom])</f>
        <v>iSS01</v>
      </c>
      <c r="K306" s="2" t="str">
        <f>_xlfn.XLOOKUP(Data[[#This Row],[Material-Nhập]],MD_Main_SKU[Main SKU],MD_Main_SKU[SKU name_gom])</f>
        <v>iSS01-PL</v>
      </c>
    </row>
    <row r="307" spans="1:11" x14ac:dyDescent="0.35">
      <c r="A307">
        <v>2025</v>
      </c>
      <c r="B307">
        <v>5</v>
      </c>
      <c r="C307" t="s">
        <v>18</v>
      </c>
      <c r="D307" t="s">
        <v>19</v>
      </c>
      <c r="E307" t="s">
        <v>34</v>
      </c>
      <c r="F307" t="s">
        <v>35</v>
      </c>
      <c r="G307" s="2">
        <v>0</v>
      </c>
      <c r="H307" s="2">
        <v>1100</v>
      </c>
      <c r="I307" s="2">
        <v>1100</v>
      </c>
      <c r="J307" s="2" t="str">
        <f>_xlfn.XLOOKUP(Data[[#This Row],[Main SKU]],MD_Main_SKU[Main SKU],MD_Main_SKU[SKU name_gom])</f>
        <v>iSS01</v>
      </c>
      <c r="K307" s="2" t="str">
        <f>_xlfn.XLOOKUP(Data[[#This Row],[Material-Nhập]],MD_Main_SKU[Main SKU],MD_Main_SKU[SKU name_gom])</f>
        <v>WSS03-PL</v>
      </c>
    </row>
    <row r="308" spans="1:11" x14ac:dyDescent="0.35">
      <c r="A308">
        <v>2025</v>
      </c>
      <c r="B308">
        <v>5</v>
      </c>
      <c r="C308" t="s">
        <v>26</v>
      </c>
      <c r="D308" t="s">
        <v>27</v>
      </c>
      <c r="E308" t="s">
        <v>22</v>
      </c>
      <c r="F308" t="s">
        <v>23</v>
      </c>
      <c r="G308" s="2">
        <v>0</v>
      </c>
      <c r="H308" s="2">
        <v>1100</v>
      </c>
      <c r="I308" s="2">
        <v>1100</v>
      </c>
      <c r="J308" s="2" t="str">
        <f>_xlfn.XLOOKUP(Data[[#This Row],[Main SKU]],MD_Main_SKU[Main SKU],MD_Main_SKU[SKU name_gom])</f>
        <v>iSS01</v>
      </c>
      <c r="K308" s="2" t="str">
        <f>_xlfn.XLOOKUP(Data[[#This Row],[Material-Nhập]],MD_Main_SKU[Main SKU],MD_Main_SKU[SKU name_gom])</f>
        <v>WSS03</v>
      </c>
    </row>
    <row r="309" spans="1:11" x14ac:dyDescent="0.35">
      <c r="A309">
        <v>2025</v>
      </c>
      <c r="B309">
        <v>5</v>
      </c>
      <c r="C309" t="s">
        <v>26</v>
      </c>
      <c r="D309" t="s">
        <v>27</v>
      </c>
      <c r="E309" t="s">
        <v>24</v>
      </c>
      <c r="F309" t="s">
        <v>25</v>
      </c>
      <c r="G309" s="2">
        <v>0</v>
      </c>
      <c r="H309" s="2">
        <v>15400</v>
      </c>
      <c r="I309" s="2">
        <v>15400</v>
      </c>
      <c r="J309" s="2" t="str">
        <f>_xlfn.XLOOKUP(Data[[#This Row],[Main SKU]],MD_Main_SKU[Main SKU],MD_Main_SKU[SKU name_gom])</f>
        <v>iSS01</v>
      </c>
      <c r="K309" s="2" t="str">
        <f>_xlfn.XLOOKUP(Data[[#This Row],[Material-Nhập]],MD_Main_SKU[Main SKU],MD_Main_SKU[SKU name_gom])</f>
        <v>WSS01</v>
      </c>
    </row>
    <row r="310" spans="1:11" x14ac:dyDescent="0.35">
      <c r="A310">
        <v>2025</v>
      </c>
      <c r="B310">
        <v>5</v>
      </c>
      <c r="C310" t="s">
        <v>26</v>
      </c>
      <c r="D310" t="s">
        <v>27</v>
      </c>
      <c r="E310" t="s">
        <v>26</v>
      </c>
      <c r="F310" t="s">
        <v>27</v>
      </c>
      <c r="G310" s="2">
        <v>793100</v>
      </c>
      <c r="H310" s="2">
        <v>0</v>
      </c>
      <c r="I310" s="2">
        <v>793100</v>
      </c>
      <c r="J310" s="2" t="str">
        <f>_xlfn.XLOOKUP(Data[[#This Row],[Main SKU]],MD_Main_SKU[Main SKU],MD_Main_SKU[SKU name_gom])</f>
        <v>iSS01</v>
      </c>
      <c r="K310" s="2" t="str">
        <f>_xlfn.XLOOKUP(Data[[#This Row],[Material-Nhập]],MD_Main_SKU[Main SKU],MD_Main_SKU[SKU name_gom])</f>
        <v>iSS01</v>
      </c>
    </row>
    <row r="311" spans="1:11" x14ac:dyDescent="0.35">
      <c r="A311">
        <v>2025</v>
      </c>
      <c r="B311">
        <v>5</v>
      </c>
      <c r="C311" t="s">
        <v>26</v>
      </c>
      <c r="D311" t="s">
        <v>27</v>
      </c>
      <c r="E311" t="s">
        <v>50</v>
      </c>
      <c r="F311" t="s">
        <v>51</v>
      </c>
      <c r="G311" s="2">
        <v>0</v>
      </c>
      <c r="H311" s="2">
        <v>6600</v>
      </c>
      <c r="I311" s="2">
        <v>6600</v>
      </c>
      <c r="J311" s="2" t="str">
        <f>_xlfn.XLOOKUP(Data[[#This Row],[Main SKU]],MD_Main_SKU[Main SKU],MD_Main_SKU[SKU name_gom])</f>
        <v>iSS01</v>
      </c>
      <c r="K311" s="2" t="str">
        <f>_xlfn.XLOOKUP(Data[[#This Row],[Material-Nhập]],MD_Main_SKU[Main SKU],MD_Main_SKU[SKU name_gom])</f>
        <v>iSS01-PL</v>
      </c>
    </row>
    <row r="312" spans="1:11" x14ac:dyDescent="0.35">
      <c r="A312">
        <v>2025</v>
      </c>
      <c r="B312">
        <v>5</v>
      </c>
      <c r="C312" t="s">
        <v>44</v>
      </c>
      <c r="D312" t="s">
        <v>45</v>
      </c>
      <c r="E312" t="s">
        <v>44</v>
      </c>
      <c r="F312" t="s">
        <v>45</v>
      </c>
      <c r="G312" s="2">
        <v>8800</v>
      </c>
      <c r="H312" s="2">
        <v>0</v>
      </c>
      <c r="I312" s="2">
        <v>8800</v>
      </c>
      <c r="J312" s="2" t="str">
        <f>_xlfn.XLOOKUP(Data[[#This Row],[Main SKU]],MD_Main_SKU[Main SKU],MD_Main_SKU[SKU name_gom])</f>
        <v>iSS01</v>
      </c>
      <c r="K312" s="2" t="str">
        <f>_xlfn.XLOOKUP(Data[[#This Row],[Material-Nhập]],MD_Main_SKU[Main SKU],MD_Main_SKU[SKU name_gom])</f>
        <v>iSS01</v>
      </c>
    </row>
    <row r="313" spans="1:11" x14ac:dyDescent="0.35">
      <c r="A313">
        <v>2025</v>
      </c>
      <c r="B313">
        <v>5</v>
      </c>
      <c r="C313" t="s">
        <v>54</v>
      </c>
      <c r="D313" t="s">
        <v>55</v>
      </c>
      <c r="E313" t="s">
        <v>54</v>
      </c>
      <c r="F313" t="s">
        <v>55</v>
      </c>
      <c r="G313" s="2">
        <v>27500</v>
      </c>
      <c r="H313" s="2">
        <v>0</v>
      </c>
      <c r="I313" s="2">
        <v>27500</v>
      </c>
      <c r="J313" s="2" t="str">
        <f>_xlfn.XLOOKUP(Data[[#This Row],[Main SKU]],MD_Main_SKU[Main SKU],MD_Main_SKU[SKU name_gom])</f>
        <v>WSS01</v>
      </c>
      <c r="K313" s="2" t="str">
        <f>_xlfn.XLOOKUP(Data[[#This Row],[Material-Nhập]],MD_Main_SKU[Main SKU],MD_Main_SKU[SKU name_gom])</f>
        <v>WSS01</v>
      </c>
    </row>
    <row r="314" spans="1:11" x14ac:dyDescent="0.35">
      <c r="A314">
        <v>2025</v>
      </c>
      <c r="B314">
        <v>6</v>
      </c>
      <c r="C314" t="s">
        <v>8</v>
      </c>
      <c r="D314" t="s">
        <v>9</v>
      </c>
      <c r="E314" t="s">
        <v>8</v>
      </c>
      <c r="F314" t="s">
        <v>9</v>
      </c>
      <c r="G314" s="2">
        <v>70400</v>
      </c>
      <c r="H314" s="2">
        <v>0</v>
      </c>
      <c r="I314" s="2">
        <v>70400</v>
      </c>
      <c r="J314" s="2" t="str">
        <f>_xlfn.XLOOKUP(Data[[#This Row],[Main SKU]],MD_Main_SKU[Main SKU],MD_Main_SKU[SKU name_gom])</f>
        <v>WSS01</v>
      </c>
      <c r="K314" s="2" t="str">
        <f>_xlfn.XLOOKUP(Data[[#This Row],[Material-Nhập]],MD_Main_SKU[Main SKU],MD_Main_SKU[SKU name_gom])</f>
        <v>WSS01</v>
      </c>
    </row>
    <row r="315" spans="1:11" x14ac:dyDescent="0.35">
      <c r="A315">
        <v>2025</v>
      </c>
      <c r="B315">
        <v>6</v>
      </c>
      <c r="C315" t="s">
        <v>8</v>
      </c>
      <c r="D315" t="s">
        <v>9</v>
      </c>
      <c r="E315" t="s">
        <v>22</v>
      </c>
      <c r="F315" t="s">
        <v>23</v>
      </c>
      <c r="G315" s="2">
        <v>0</v>
      </c>
      <c r="H315" s="2">
        <v>1100</v>
      </c>
      <c r="I315" s="2">
        <v>1100</v>
      </c>
      <c r="J315" s="2" t="str">
        <f>_xlfn.XLOOKUP(Data[[#This Row],[Main SKU]],MD_Main_SKU[Main SKU],MD_Main_SKU[SKU name_gom])</f>
        <v>WSS01</v>
      </c>
      <c r="K315" s="2" t="str">
        <f>_xlfn.XLOOKUP(Data[[#This Row],[Material-Nhập]],MD_Main_SKU[Main SKU],MD_Main_SKU[SKU name_gom])</f>
        <v>WSS03</v>
      </c>
    </row>
    <row r="316" spans="1:11" x14ac:dyDescent="0.35">
      <c r="A316">
        <v>2025</v>
      </c>
      <c r="B316">
        <v>6</v>
      </c>
      <c r="C316" t="s">
        <v>14</v>
      </c>
      <c r="D316" t="s">
        <v>15</v>
      </c>
      <c r="E316" t="s">
        <v>14</v>
      </c>
      <c r="F316" t="s">
        <v>15</v>
      </c>
      <c r="G316" s="2">
        <v>461999.99999999994</v>
      </c>
      <c r="H316" s="2">
        <v>0</v>
      </c>
      <c r="I316" s="2">
        <v>461999.99999999994</v>
      </c>
      <c r="J316" s="2" t="str">
        <f>_xlfn.XLOOKUP(Data[[#This Row],[Main SKU]],MD_Main_SKU[Main SKU],MD_Main_SKU[SKU name_gom])</f>
        <v>iSS01084</v>
      </c>
      <c r="K316" s="2" t="str">
        <f>_xlfn.XLOOKUP(Data[[#This Row],[Material-Nhập]],MD_Main_SKU[Main SKU],MD_Main_SKU[SKU name_gom])</f>
        <v>iSS01084</v>
      </c>
    </row>
    <row r="317" spans="1:11" x14ac:dyDescent="0.35">
      <c r="A317">
        <v>2025</v>
      </c>
      <c r="B317">
        <v>6</v>
      </c>
      <c r="C317" t="s">
        <v>14</v>
      </c>
      <c r="D317" t="s">
        <v>15</v>
      </c>
      <c r="E317" t="s">
        <v>18</v>
      </c>
      <c r="F317" t="s">
        <v>19</v>
      </c>
      <c r="G317" s="2">
        <v>0</v>
      </c>
      <c r="H317" s="2">
        <v>8800</v>
      </c>
      <c r="I317" s="2">
        <v>8800</v>
      </c>
      <c r="J317" s="2" t="str">
        <f>_xlfn.XLOOKUP(Data[[#This Row],[Main SKU]],MD_Main_SKU[Main SKU],MD_Main_SKU[SKU name_gom])</f>
        <v>iSS01084</v>
      </c>
      <c r="K317" s="2" t="str">
        <f>_xlfn.XLOOKUP(Data[[#This Row],[Material-Nhập]],MD_Main_SKU[Main SKU],MD_Main_SKU[SKU name_gom])</f>
        <v>iSS01</v>
      </c>
    </row>
    <row r="318" spans="1:11" x14ac:dyDescent="0.35">
      <c r="A318">
        <v>2025</v>
      </c>
      <c r="B318">
        <v>6</v>
      </c>
      <c r="C318" t="s">
        <v>14</v>
      </c>
      <c r="D318" t="s">
        <v>15</v>
      </c>
      <c r="E318" t="s">
        <v>22</v>
      </c>
      <c r="F318" t="s">
        <v>23</v>
      </c>
      <c r="G318" s="2">
        <v>0</v>
      </c>
      <c r="H318" s="2">
        <v>6600</v>
      </c>
      <c r="I318" s="2">
        <v>6600</v>
      </c>
      <c r="J318" s="2" t="str">
        <f>_xlfn.XLOOKUP(Data[[#This Row],[Main SKU]],MD_Main_SKU[Main SKU],MD_Main_SKU[SKU name_gom])</f>
        <v>iSS01084</v>
      </c>
      <c r="K318" s="2" t="str">
        <f>_xlfn.XLOOKUP(Data[[#This Row],[Material-Nhập]],MD_Main_SKU[Main SKU],MD_Main_SKU[SKU name_gom])</f>
        <v>WSS03</v>
      </c>
    </row>
    <row r="319" spans="1:11" x14ac:dyDescent="0.35">
      <c r="A319">
        <v>2025</v>
      </c>
      <c r="B319">
        <v>6</v>
      </c>
      <c r="C319" t="s">
        <v>14</v>
      </c>
      <c r="D319" t="s">
        <v>15</v>
      </c>
      <c r="E319" t="s">
        <v>40</v>
      </c>
      <c r="F319" t="s">
        <v>41</v>
      </c>
      <c r="G319" s="2">
        <v>0</v>
      </c>
      <c r="H319" s="2">
        <v>2200</v>
      </c>
      <c r="I319" s="2">
        <v>2200</v>
      </c>
      <c r="J319" s="2" t="str">
        <f>_xlfn.XLOOKUP(Data[[#This Row],[Main SKU]],MD_Main_SKU[Main SKU],MD_Main_SKU[SKU name_gom])</f>
        <v>iSS01084</v>
      </c>
      <c r="K319" s="2" t="str">
        <f>_xlfn.XLOOKUP(Data[[#This Row],[Material-Nhập]],MD_Main_SKU[Main SKU],MD_Main_SKU[SKU name_gom])</f>
        <v>WSS01-PL</v>
      </c>
    </row>
    <row r="320" spans="1:11" x14ac:dyDescent="0.35">
      <c r="A320">
        <v>2025</v>
      </c>
      <c r="B320">
        <v>6</v>
      </c>
      <c r="C320" t="s">
        <v>14</v>
      </c>
      <c r="D320" t="s">
        <v>15</v>
      </c>
      <c r="E320" t="s">
        <v>42</v>
      </c>
      <c r="F320" t="s">
        <v>43</v>
      </c>
      <c r="G320" s="2">
        <v>0</v>
      </c>
      <c r="H320" s="2">
        <v>4400</v>
      </c>
      <c r="I320" s="2">
        <v>4400</v>
      </c>
      <c r="J320" s="2" t="str">
        <f>_xlfn.XLOOKUP(Data[[#This Row],[Main SKU]],MD_Main_SKU[Main SKU],MD_Main_SKU[SKU name_gom])</f>
        <v>iSS01084</v>
      </c>
      <c r="K320" s="2" t="str">
        <f>_xlfn.XLOOKUP(Data[[#This Row],[Material-Nhập]],MD_Main_SKU[Main SKU],MD_Main_SKU[SKU name_gom])</f>
        <v>iSS01-PL</v>
      </c>
    </row>
    <row r="321" spans="1:11" x14ac:dyDescent="0.35">
      <c r="A321">
        <v>2025</v>
      </c>
      <c r="B321">
        <v>6</v>
      </c>
      <c r="C321" t="s">
        <v>14</v>
      </c>
      <c r="D321" t="s">
        <v>15</v>
      </c>
      <c r="E321" t="s">
        <v>38</v>
      </c>
      <c r="F321" t="s">
        <v>39</v>
      </c>
      <c r="G321" s="2">
        <v>0</v>
      </c>
      <c r="H321" s="2">
        <v>6600</v>
      </c>
      <c r="I321" s="2">
        <v>6600</v>
      </c>
      <c r="J321" s="2" t="str">
        <f>_xlfn.XLOOKUP(Data[[#This Row],[Main SKU]],MD_Main_SKU[Main SKU],MD_Main_SKU[SKU name_gom])</f>
        <v>iSS01084</v>
      </c>
      <c r="K321" s="2" t="str">
        <f>_xlfn.XLOOKUP(Data[[#This Row],[Material-Nhập]],MD_Main_SKU[Main SKU],MD_Main_SKU[SKU name_gom])</f>
        <v>iSS01084-PL</v>
      </c>
    </row>
    <row r="322" spans="1:11" x14ac:dyDescent="0.35">
      <c r="A322">
        <v>2025</v>
      </c>
      <c r="B322">
        <v>6</v>
      </c>
      <c r="C322" t="s">
        <v>14</v>
      </c>
      <c r="D322" t="s">
        <v>15</v>
      </c>
      <c r="E322" t="s">
        <v>34</v>
      </c>
      <c r="F322" t="s">
        <v>35</v>
      </c>
      <c r="G322" s="2">
        <v>0</v>
      </c>
      <c r="H322" s="2">
        <v>6600</v>
      </c>
      <c r="I322" s="2">
        <v>6600</v>
      </c>
      <c r="J322" s="2" t="str">
        <f>_xlfn.XLOOKUP(Data[[#This Row],[Main SKU]],MD_Main_SKU[Main SKU],MD_Main_SKU[SKU name_gom])</f>
        <v>iSS01084</v>
      </c>
      <c r="K322" s="2" t="str">
        <f>_xlfn.XLOOKUP(Data[[#This Row],[Material-Nhập]],MD_Main_SKU[Main SKU],MD_Main_SKU[SKU name_gom])</f>
        <v>WSS03-PL</v>
      </c>
    </row>
    <row r="323" spans="1:11" x14ac:dyDescent="0.35">
      <c r="A323">
        <v>2025</v>
      </c>
      <c r="B323">
        <v>6</v>
      </c>
      <c r="C323" t="s">
        <v>16</v>
      </c>
      <c r="D323" t="s">
        <v>17</v>
      </c>
      <c r="E323" t="s">
        <v>14</v>
      </c>
      <c r="F323" t="s">
        <v>15</v>
      </c>
      <c r="G323" s="2">
        <v>0</v>
      </c>
      <c r="H323" s="2">
        <v>16500.000000000004</v>
      </c>
      <c r="I323" s="2">
        <v>16500.000000000004</v>
      </c>
      <c r="J323" s="2" t="str">
        <f>_xlfn.XLOOKUP(Data[[#This Row],[Main SKU]],MD_Main_SKU[Main SKU],MD_Main_SKU[SKU name_gom])</f>
        <v>WSS01</v>
      </c>
      <c r="K323" s="2" t="str">
        <f>_xlfn.XLOOKUP(Data[[#This Row],[Material-Nhập]],MD_Main_SKU[Main SKU],MD_Main_SKU[SKU name_gom])</f>
        <v>iSS01084</v>
      </c>
    </row>
    <row r="324" spans="1:11" x14ac:dyDescent="0.35">
      <c r="A324">
        <v>2025</v>
      </c>
      <c r="B324">
        <v>6</v>
      </c>
      <c r="C324" t="s">
        <v>16</v>
      </c>
      <c r="D324" t="s">
        <v>17</v>
      </c>
      <c r="E324" t="s">
        <v>16</v>
      </c>
      <c r="F324" t="s">
        <v>17</v>
      </c>
      <c r="G324" s="2">
        <v>1256199.9999999998</v>
      </c>
      <c r="H324" s="2">
        <v>0</v>
      </c>
      <c r="I324" s="2">
        <v>1256199.9999999998</v>
      </c>
      <c r="J324" s="2" t="str">
        <f>_xlfn.XLOOKUP(Data[[#This Row],[Main SKU]],MD_Main_SKU[Main SKU],MD_Main_SKU[SKU name_gom])</f>
        <v>WSS01</v>
      </c>
      <c r="K324" s="2" t="str">
        <f>_xlfn.XLOOKUP(Data[[#This Row],[Material-Nhập]],MD_Main_SKU[Main SKU],MD_Main_SKU[SKU name_gom])</f>
        <v>WSS01</v>
      </c>
    </row>
    <row r="325" spans="1:11" x14ac:dyDescent="0.35">
      <c r="A325">
        <v>2025</v>
      </c>
      <c r="B325">
        <v>6</v>
      </c>
      <c r="C325" t="s">
        <v>16</v>
      </c>
      <c r="D325" t="s">
        <v>17</v>
      </c>
      <c r="E325" t="s">
        <v>18</v>
      </c>
      <c r="F325" t="s">
        <v>19</v>
      </c>
      <c r="G325" s="2">
        <v>0</v>
      </c>
      <c r="H325" s="2">
        <v>91300</v>
      </c>
      <c r="I325" s="2">
        <v>91300</v>
      </c>
      <c r="J325" s="2" t="str">
        <f>_xlfn.XLOOKUP(Data[[#This Row],[Main SKU]],MD_Main_SKU[Main SKU],MD_Main_SKU[SKU name_gom])</f>
        <v>WSS01</v>
      </c>
      <c r="K325" s="2" t="str">
        <f>_xlfn.XLOOKUP(Data[[#This Row],[Material-Nhập]],MD_Main_SKU[Main SKU],MD_Main_SKU[SKU name_gom])</f>
        <v>iSS01</v>
      </c>
    </row>
    <row r="326" spans="1:11" x14ac:dyDescent="0.35">
      <c r="A326">
        <v>2025</v>
      </c>
      <c r="B326">
        <v>6</v>
      </c>
      <c r="C326" t="s">
        <v>16</v>
      </c>
      <c r="D326" t="s">
        <v>17</v>
      </c>
      <c r="E326" t="s">
        <v>22</v>
      </c>
      <c r="F326" t="s">
        <v>23</v>
      </c>
      <c r="G326" s="2">
        <v>0</v>
      </c>
      <c r="H326" s="2">
        <v>11000.000000000002</v>
      </c>
      <c r="I326" s="2">
        <v>11000.000000000002</v>
      </c>
      <c r="J326" s="2" t="str">
        <f>_xlfn.XLOOKUP(Data[[#This Row],[Main SKU]],MD_Main_SKU[Main SKU],MD_Main_SKU[SKU name_gom])</f>
        <v>WSS01</v>
      </c>
      <c r="K326" s="2" t="str">
        <f>_xlfn.XLOOKUP(Data[[#This Row],[Material-Nhập]],MD_Main_SKU[Main SKU],MD_Main_SKU[SKU name_gom])</f>
        <v>WSS03</v>
      </c>
    </row>
    <row r="327" spans="1:11" x14ac:dyDescent="0.35">
      <c r="A327">
        <v>2025</v>
      </c>
      <c r="B327">
        <v>6</v>
      </c>
      <c r="C327" t="s">
        <v>16</v>
      </c>
      <c r="D327" t="s">
        <v>17</v>
      </c>
      <c r="E327" t="s">
        <v>40</v>
      </c>
      <c r="F327" t="s">
        <v>41</v>
      </c>
      <c r="G327" s="2">
        <v>0</v>
      </c>
      <c r="H327" s="2">
        <v>27500.000000000004</v>
      </c>
      <c r="I327" s="2">
        <v>27500.000000000004</v>
      </c>
      <c r="J327" s="2" t="str">
        <f>_xlfn.XLOOKUP(Data[[#This Row],[Main SKU]],MD_Main_SKU[Main SKU],MD_Main_SKU[SKU name_gom])</f>
        <v>WSS01</v>
      </c>
      <c r="K327" s="2" t="str">
        <f>_xlfn.XLOOKUP(Data[[#This Row],[Material-Nhập]],MD_Main_SKU[Main SKU],MD_Main_SKU[SKU name_gom])</f>
        <v>WSS01-PL</v>
      </c>
    </row>
    <row r="328" spans="1:11" x14ac:dyDescent="0.35">
      <c r="A328">
        <v>2025</v>
      </c>
      <c r="B328">
        <v>6</v>
      </c>
      <c r="C328" t="s">
        <v>16</v>
      </c>
      <c r="D328" t="s">
        <v>17</v>
      </c>
      <c r="E328" t="s">
        <v>38</v>
      </c>
      <c r="F328" t="s">
        <v>39</v>
      </c>
      <c r="G328" s="2">
        <v>0</v>
      </c>
      <c r="H328" s="2">
        <v>2199.9999999999995</v>
      </c>
      <c r="I328" s="2">
        <v>2199.9999999999995</v>
      </c>
      <c r="J328" s="2" t="str">
        <f>_xlfn.XLOOKUP(Data[[#This Row],[Main SKU]],MD_Main_SKU[Main SKU],MD_Main_SKU[SKU name_gom])</f>
        <v>WSS01</v>
      </c>
      <c r="K328" s="2" t="str">
        <f>_xlfn.XLOOKUP(Data[[#This Row],[Material-Nhập]],MD_Main_SKU[Main SKU],MD_Main_SKU[SKU name_gom])</f>
        <v>iSS01084-PL</v>
      </c>
    </row>
    <row r="329" spans="1:11" x14ac:dyDescent="0.35">
      <c r="A329">
        <v>2025</v>
      </c>
      <c r="B329">
        <v>6</v>
      </c>
      <c r="C329" t="s">
        <v>16</v>
      </c>
      <c r="D329" t="s">
        <v>17</v>
      </c>
      <c r="E329" t="s">
        <v>34</v>
      </c>
      <c r="F329" t="s">
        <v>35</v>
      </c>
      <c r="G329" s="2">
        <v>0</v>
      </c>
      <c r="H329" s="2">
        <v>7700.0000000000018</v>
      </c>
      <c r="I329" s="2">
        <v>7700.0000000000018</v>
      </c>
      <c r="J329" s="2" t="str">
        <f>_xlfn.XLOOKUP(Data[[#This Row],[Main SKU]],MD_Main_SKU[Main SKU],MD_Main_SKU[SKU name_gom])</f>
        <v>WSS01</v>
      </c>
      <c r="K329" s="2" t="str">
        <f>_xlfn.XLOOKUP(Data[[#This Row],[Material-Nhập]],MD_Main_SKU[Main SKU],MD_Main_SKU[SKU name_gom])</f>
        <v>WSS03-PL</v>
      </c>
    </row>
    <row r="330" spans="1:11" x14ac:dyDescent="0.35">
      <c r="A330">
        <v>2025</v>
      </c>
      <c r="B330">
        <v>6</v>
      </c>
      <c r="C330" t="s">
        <v>18</v>
      </c>
      <c r="D330" t="s">
        <v>19</v>
      </c>
      <c r="E330" t="s">
        <v>14</v>
      </c>
      <c r="F330" t="s">
        <v>15</v>
      </c>
      <c r="G330" s="2">
        <v>0</v>
      </c>
      <c r="H330" s="2">
        <v>37400</v>
      </c>
      <c r="I330" s="2">
        <v>37400</v>
      </c>
      <c r="J330" s="2" t="str">
        <f>_xlfn.XLOOKUP(Data[[#This Row],[Main SKU]],MD_Main_SKU[Main SKU],MD_Main_SKU[SKU name_gom])</f>
        <v>iSS01</v>
      </c>
      <c r="K330" s="2" t="str">
        <f>_xlfn.XLOOKUP(Data[[#This Row],[Material-Nhập]],MD_Main_SKU[Main SKU],MD_Main_SKU[SKU name_gom])</f>
        <v>iSS01084</v>
      </c>
    </row>
    <row r="331" spans="1:11" x14ac:dyDescent="0.35">
      <c r="A331">
        <v>2025</v>
      </c>
      <c r="B331">
        <v>6</v>
      </c>
      <c r="C331" t="s">
        <v>18</v>
      </c>
      <c r="D331" t="s">
        <v>19</v>
      </c>
      <c r="E331" t="s">
        <v>16</v>
      </c>
      <c r="F331" t="s">
        <v>17</v>
      </c>
      <c r="G331" s="2">
        <v>0</v>
      </c>
      <c r="H331" s="2">
        <v>6600</v>
      </c>
      <c r="I331" s="2">
        <v>6600</v>
      </c>
      <c r="J331" s="2" t="str">
        <f>_xlfn.XLOOKUP(Data[[#This Row],[Main SKU]],MD_Main_SKU[Main SKU],MD_Main_SKU[SKU name_gom])</f>
        <v>iSS01</v>
      </c>
      <c r="K331" s="2" t="str">
        <f>_xlfn.XLOOKUP(Data[[#This Row],[Material-Nhập]],MD_Main_SKU[Main SKU],MD_Main_SKU[SKU name_gom])</f>
        <v>WSS01</v>
      </c>
    </row>
    <row r="332" spans="1:11" x14ac:dyDescent="0.35">
      <c r="A332">
        <v>2025</v>
      </c>
      <c r="B332">
        <v>6</v>
      </c>
      <c r="C332" t="s">
        <v>18</v>
      </c>
      <c r="D332" t="s">
        <v>19</v>
      </c>
      <c r="E332" t="s">
        <v>18</v>
      </c>
      <c r="F332" t="s">
        <v>19</v>
      </c>
      <c r="G332" s="2">
        <v>730400</v>
      </c>
      <c r="H332" s="2">
        <v>0</v>
      </c>
      <c r="I332" s="2">
        <v>730400</v>
      </c>
      <c r="J332" s="2" t="str">
        <f>_xlfn.XLOOKUP(Data[[#This Row],[Main SKU]],MD_Main_SKU[Main SKU],MD_Main_SKU[SKU name_gom])</f>
        <v>iSS01</v>
      </c>
      <c r="K332" s="2" t="str">
        <f>_xlfn.XLOOKUP(Data[[#This Row],[Material-Nhập]],MD_Main_SKU[Main SKU],MD_Main_SKU[SKU name_gom])</f>
        <v>iSS01</v>
      </c>
    </row>
    <row r="333" spans="1:11" x14ac:dyDescent="0.35">
      <c r="A333">
        <v>2025</v>
      </c>
      <c r="B333">
        <v>6</v>
      </c>
      <c r="C333" t="s">
        <v>18</v>
      </c>
      <c r="D333" t="s">
        <v>19</v>
      </c>
      <c r="E333" t="s">
        <v>22</v>
      </c>
      <c r="F333" t="s">
        <v>23</v>
      </c>
      <c r="G333" s="2">
        <v>0</v>
      </c>
      <c r="H333" s="2">
        <v>3300</v>
      </c>
      <c r="I333" s="2">
        <v>3300</v>
      </c>
      <c r="J333" s="2" t="str">
        <f>_xlfn.XLOOKUP(Data[[#This Row],[Main SKU]],MD_Main_SKU[Main SKU],MD_Main_SKU[SKU name_gom])</f>
        <v>iSS01</v>
      </c>
      <c r="K333" s="2" t="str">
        <f>_xlfn.XLOOKUP(Data[[#This Row],[Material-Nhập]],MD_Main_SKU[Main SKU],MD_Main_SKU[SKU name_gom])</f>
        <v>WSS03</v>
      </c>
    </row>
    <row r="334" spans="1:11" x14ac:dyDescent="0.35">
      <c r="A334">
        <v>2025</v>
      </c>
      <c r="B334">
        <v>6</v>
      </c>
      <c r="C334" t="s">
        <v>18</v>
      </c>
      <c r="D334" t="s">
        <v>19</v>
      </c>
      <c r="E334" t="s">
        <v>34</v>
      </c>
      <c r="F334" t="s">
        <v>35</v>
      </c>
      <c r="G334" s="2">
        <v>0</v>
      </c>
      <c r="H334" s="2">
        <v>1100</v>
      </c>
      <c r="I334" s="2">
        <v>1100</v>
      </c>
      <c r="J334" s="2" t="str">
        <f>_xlfn.XLOOKUP(Data[[#This Row],[Main SKU]],MD_Main_SKU[Main SKU],MD_Main_SKU[SKU name_gom])</f>
        <v>iSS01</v>
      </c>
      <c r="K334" s="2" t="str">
        <f>_xlfn.XLOOKUP(Data[[#This Row],[Material-Nhập]],MD_Main_SKU[Main SKU],MD_Main_SKU[SKU name_gom])</f>
        <v>WSS03-PL</v>
      </c>
    </row>
    <row r="335" spans="1:11" x14ac:dyDescent="0.35">
      <c r="A335">
        <v>2025</v>
      </c>
      <c r="B335">
        <v>6</v>
      </c>
      <c r="C335" t="s">
        <v>26</v>
      </c>
      <c r="D335" t="s">
        <v>27</v>
      </c>
      <c r="E335" t="s">
        <v>22</v>
      </c>
      <c r="F335" t="s">
        <v>23</v>
      </c>
      <c r="G335" s="2">
        <v>0</v>
      </c>
      <c r="H335" s="2">
        <v>1100</v>
      </c>
      <c r="I335" s="2">
        <v>1100</v>
      </c>
      <c r="J335" s="2" t="str">
        <f>_xlfn.XLOOKUP(Data[[#This Row],[Main SKU]],MD_Main_SKU[Main SKU],MD_Main_SKU[SKU name_gom])</f>
        <v>iSS01</v>
      </c>
      <c r="K335" s="2" t="str">
        <f>_xlfn.XLOOKUP(Data[[#This Row],[Material-Nhập]],MD_Main_SKU[Main SKU],MD_Main_SKU[SKU name_gom])</f>
        <v>WSS03</v>
      </c>
    </row>
    <row r="336" spans="1:11" x14ac:dyDescent="0.35">
      <c r="A336">
        <v>2025</v>
      </c>
      <c r="B336">
        <v>6</v>
      </c>
      <c r="C336" t="s">
        <v>26</v>
      </c>
      <c r="D336" t="s">
        <v>27</v>
      </c>
      <c r="E336" t="s">
        <v>24</v>
      </c>
      <c r="F336" t="s">
        <v>25</v>
      </c>
      <c r="G336" s="2">
        <v>0</v>
      </c>
      <c r="H336" s="2">
        <v>20900</v>
      </c>
      <c r="I336" s="2">
        <v>20900</v>
      </c>
      <c r="J336" s="2" t="str">
        <f>_xlfn.XLOOKUP(Data[[#This Row],[Main SKU]],MD_Main_SKU[Main SKU],MD_Main_SKU[SKU name_gom])</f>
        <v>iSS01</v>
      </c>
      <c r="K336" s="2" t="str">
        <f>_xlfn.XLOOKUP(Data[[#This Row],[Material-Nhập]],MD_Main_SKU[Main SKU],MD_Main_SKU[SKU name_gom])</f>
        <v>WSS01</v>
      </c>
    </row>
    <row r="337" spans="1:11" x14ac:dyDescent="0.35">
      <c r="A337">
        <v>2025</v>
      </c>
      <c r="B337">
        <v>6</v>
      </c>
      <c r="C337" t="s">
        <v>26</v>
      </c>
      <c r="D337" t="s">
        <v>27</v>
      </c>
      <c r="E337" t="s">
        <v>26</v>
      </c>
      <c r="F337" t="s">
        <v>27</v>
      </c>
      <c r="G337" s="2">
        <v>1174800</v>
      </c>
      <c r="H337" s="2">
        <v>0</v>
      </c>
      <c r="I337" s="2">
        <v>1174800</v>
      </c>
      <c r="J337" s="2" t="str">
        <f>_xlfn.XLOOKUP(Data[[#This Row],[Main SKU]],MD_Main_SKU[Main SKU],MD_Main_SKU[SKU name_gom])</f>
        <v>iSS01</v>
      </c>
      <c r="K337" s="2" t="str">
        <f>_xlfn.XLOOKUP(Data[[#This Row],[Material-Nhập]],MD_Main_SKU[Main SKU],MD_Main_SKU[SKU name_gom])</f>
        <v>iSS01</v>
      </c>
    </row>
    <row r="338" spans="1:11" x14ac:dyDescent="0.35">
      <c r="A338">
        <v>2025</v>
      </c>
      <c r="B338">
        <v>6</v>
      </c>
      <c r="C338" t="s">
        <v>26</v>
      </c>
      <c r="D338" t="s">
        <v>27</v>
      </c>
      <c r="E338" t="s">
        <v>58</v>
      </c>
      <c r="F338" t="s">
        <v>59</v>
      </c>
      <c r="G338" s="2">
        <v>0</v>
      </c>
      <c r="H338" s="2">
        <v>2200</v>
      </c>
      <c r="I338" s="2">
        <v>2200</v>
      </c>
      <c r="J338" s="2" t="str">
        <f>_xlfn.XLOOKUP(Data[[#This Row],[Main SKU]],MD_Main_SKU[Main SKU],MD_Main_SKU[SKU name_gom])</f>
        <v>iSS01</v>
      </c>
      <c r="K338" s="2" t="str">
        <f>_xlfn.XLOOKUP(Data[[#This Row],[Material-Nhập]],MD_Main_SKU[Main SKU],MD_Main_SKU[SKU name_gom])</f>
        <v>WSS01-PL</v>
      </c>
    </row>
    <row r="339" spans="1:11" x14ac:dyDescent="0.35">
      <c r="A339">
        <v>2025</v>
      </c>
      <c r="B339">
        <v>6</v>
      </c>
      <c r="C339" t="s">
        <v>26</v>
      </c>
      <c r="D339" t="s">
        <v>27</v>
      </c>
      <c r="E339" t="s">
        <v>50</v>
      </c>
      <c r="F339" t="s">
        <v>51</v>
      </c>
      <c r="G339" s="2">
        <v>0</v>
      </c>
      <c r="H339" s="2">
        <v>12100</v>
      </c>
      <c r="I339" s="2">
        <v>12100</v>
      </c>
      <c r="J339" s="2" t="str">
        <f>_xlfn.XLOOKUP(Data[[#This Row],[Main SKU]],MD_Main_SKU[Main SKU],MD_Main_SKU[SKU name_gom])</f>
        <v>iSS01</v>
      </c>
      <c r="K339" s="2" t="str">
        <f>_xlfn.XLOOKUP(Data[[#This Row],[Material-Nhập]],MD_Main_SKU[Main SKU],MD_Main_SKU[SKU name_gom])</f>
        <v>iSS01-PL</v>
      </c>
    </row>
    <row r="340" spans="1:11" x14ac:dyDescent="0.35">
      <c r="A340">
        <v>2025</v>
      </c>
      <c r="B340">
        <v>6</v>
      </c>
      <c r="C340" t="s">
        <v>26</v>
      </c>
      <c r="D340" t="s">
        <v>27</v>
      </c>
      <c r="E340" t="s">
        <v>34</v>
      </c>
      <c r="F340" t="s">
        <v>35</v>
      </c>
      <c r="G340" s="2">
        <v>0</v>
      </c>
      <c r="H340" s="2">
        <v>3300</v>
      </c>
      <c r="I340" s="2">
        <v>3300</v>
      </c>
      <c r="J340" s="2" t="str">
        <f>_xlfn.XLOOKUP(Data[[#This Row],[Main SKU]],MD_Main_SKU[Main SKU],MD_Main_SKU[SKU name_gom])</f>
        <v>iSS01</v>
      </c>
      <c r="K340" s="2" t="str">
        <f>_xlfn.XLOOKUP(Data[[#This Row],[Material-Nhập]],MD_Main_SKU[Main SKU],MD_Main_SKU[SKU name_gom])</f>
        <v>WSS03-PL</v>
      </c>
    </row>
    <row r="341" spans="1:11" x14ac:dyDescent="0.35">
      <c r="A341">
        <v>2025</v>
      </c>
      <c r="B341">
        <v>7</v>
      </c>
      <c r="C341" t="s">
        <v>8</v>
      </c>
      <c r="D341" t="s">
        <v>9</v>
      </c>
      <c r="E341" t="s">
        <v>8</v>
      </c>
      <c r="F341" t="s">
        <v>9</v>
      </c>
      <c r="G341" s="2">
        <v>306900</v>
      </c>
      <c r="H341" s="2">
        <v>0</v>
      </c>
      <c r="I341" s="2">
        <v>306900</v>
      </c>
      <c r="J341" s="2" t="str">
        <f>_xlfn.XLOOKUP(Data[[#This Row],[Main SKU]],MD_Main_SKU[Main SKU],MD_Main_SKU[SKU name_gom])</f>
        <v>WSS01</v>
      </c>
      <c r="K341" s="2" t="str">
        <f>_xlfn.XLOOKUP(Data[[#This Row],[Material-Nhập]],MD_Main_SKU[Main SKU],MD_Main_SKU[SKU name_gom])</f>
        <v>WSS01</v>
      </c>
    </row>
    <row r="342" spans="1:11" x14ac:dyDescent="0.35">
      <c r="A342">
        <v>2025</v>
      </c>
      <c r="B342">
        <v>7</v>
      </c>
      <c r="C342" t="s">
        <v>8</v>
      </c>
      <c r="D342" t="s">
        <v>9</v>
      </c>
      <c r="E342" t="s">
        <v>36</v>
      </c>
      <c r="F342" t="s">
        <v>37</v>
      </c>
      <c r="G342" s="2">
        <v>0</v>
      </c>
      <c r="H342" s="2">
        <v>8800</v>
      </c>
      <c r="I342" s="2">
        <v>8800</v>
      </c>
      <c r="J342" s="2" t="str">
        <f>_xlfn.XLOOKUP(Data[[#This Row],[Main SKU]],MD_Main_SKU[Main SKU],MD_Main_SKU[SKU name_gom])</f>
        <v>WSS01</v>
      </c>
      <c r="K342" s="2" t="str">
        <f>_xlfn.XLOOKUP(Data[[#This Row],[Material-Nhập]],MD_Main_SKU[Main SKU],MD_Main_SKU[SKU name_gom])</f>
        <v>WSS01-PL</v>
      </c>
    </row>
    <row r="343" spans="1:11" x14ac:dyDescent="0.35">
      <c r="A343">
        <v>2025</v>
      </c>
      <c r="B343">
        <v>7</v>
      </c>
      <c r="C343" t="s">
        <v>14</v>
      </c>
      <c r="D343" t="s">
        <v>15</v>
      </c>
      <c r="E343" t="s">
        <v>14</v>
      </c>
      <c r="F343" t="s">
        <v>15</v>
      </c>
      <c r="G343" s="2">
        <v>323400</v>
      </c>
      <c r="H343" s="2">
        <v>0</v>
      </c>
      <c r="I343" s="2">
        <v>323400</v>
      </c>
      <c r="J343" s="2" t="str">
        <f>_xlfn.XLOOKUP(Data[[#This Row],[Main SKU]],MD_Main_SKU[Main SKU],MD_Main_SKU[SKU name_gom])</f>
        <v>iSS01084</v>
      </c>
      <c r="K343" s="2" t="str">
        <f>_xlfn.XLOOKUP(Data[[#This Row],[Material-Nhập]],MD_Main_SKU[Main SKU],MD_Main_SKU[SKU name_gom])</f>
        <v>iSS01084</v>
      </c>
    </row>
    <row r="344" spans="1:11" x14ac:dyDescent="0.35">
      <c r="A344">
        <v>2025</v>
      </c>
      <c r="B344">
        <v>7</v>
      </c>
      <c r="C344" t="s">
        <v>14</v>
      </c>
      <c r="D344" t="s">
        <v>15</v>
      </c>
      <c r="E344" t="s">
        <v>22</v>
      </c>
      <c r="F344" t="s">
        <v>23</v>
      </c>
      <c r="G344" s="2">
        <v>0</v>
      </c>
      <c r="H344" s="2">
        <v>24200</v>
      </c>
      <c r="I344" s="2">
        <v>24200</v>
      </c>
      <c r="J344" s="2" t="str">
        <f>_xlfn.XLOOKUP(Data[[#This Row],[Main SKU]],MD_Main_SKU[Main SKU],MD_Main_SKU[SKU name_gom])</f>
        <v>iSS01084</v>
      </c>
      <c r="K344" s="2" t="str">
        <f>_xlfn.XLOOKUP(Data[[#This Row],[Material-Nhập]],MD_Main_SKU[Main SKU],MD_Main_SKU[SKU name_gom])</f>
        <v>WSS03</v>
      </c>
    </row>
    <row r="345" spans="1:11" x14ac:dyDescent="0.35">
      <c r="A345">
        <v>2025</v>
      </c>
      <c r="B345">
        <v>7</v>
      </c>
      <c r="C345" t="s">
        <v>14</v>
      </c>
      <c r="D345" t="s">
        <v>15</v>
      </c>
      <c r="E345" t="s">
        <v>38</v>
      </c>
      <c r="F345" t="s">
        <v>39</v>
      </c>
      <c r="G345" s="2">
        <v>0</v>
      </c>
      <c r="H345" s="2">
        <v>11000</v>
      </c>
      <c r="I345" s="2">
        <v>11000</v>
      </c>
      <c r="J345" s="2" t="str">
        <f>_xlfn.XLOOKUP(Data[[#This Row],[Main SKU]],MD_Main_SKU[Main SKU],MD_Main_SKU[SKU name_gom])</f>
        <v>iSS01084</v>
      </c>
      <c r="K345" s="2" t="str">
        <f>_xlfn.XLOOKUP(Data[[#This Row],[Material-Nhập]],MD_Main_SKU[Main SKU],MD_Main_SKU[SKU name_gom])</f>
        <v>iSS01084-PL</v>
      </c>
    </row>
    <row r="346" spans="1:11" x14ac:dyDescent="0.35">
      <c r="A346">
        <v>2025</v>
      </c>
      <c r="B346">
        <v>7</v>
      </c>
      <c r="C346" t="s">
        <v>14</v>
      </c>
      <c r="D346" t="s">
        <v>15</v>
      </c>
      <c r="E346" t="s">
        <v>34</v>
      </c>
      <c r="F346" t="s">
        <v>35</v>
      </c>
      <c r="G346" s="2">
        <v>0</v>
      </c>
      <c r="H346" s="2">
        <v>6599.9999999999991</v>
      </c>
      <c r="I346" s="2">
        <v>6599.9999999999991</v>
      </c>
      <c r="J346" s="2" t="str">
        <f>_xlfn.XLOOKUP(Data[[#This Row],[Main SKU]],MD_Main_SKU[Main SKU],MD_Main_SKU[SKU name_gom])</f>
        <v>iSS01084</v>
      </c>
      <c r="K346" s="2" t="str">
        <f>_xlfn.XLOOKUP(Data[[#This Row],[Material-Nhập]],MD_Main_SKU[Main SKU],MD_Main_SKU[SKU name_gom])</f>
        <v>WSS03-PL</v>
      </c>
    </row>
    <row r="347" spans="1:11" x14ac:dyDescent="0.35">
      <c r="A347">
        <v>2025</v>
      </c>
      <c r="B347">
        <v>7</v>
      </c>
      <c r="C347" t="s">
        <v>16</v>
      </c>
      <c r="D347" t="s">
        <v>17</v>
      </c>
      <c r="E347" t="s">
        <v>14</v>
      </c>
      <c r="F347" t="s">
        <v>15</v>
      </c>
      <c r="G347" s="2">
        <v>0</v>
      </c>
      <c r="H347" s="2">
        <v>1100</v>
      </c>
      <c r="I347" s="2">
        <v>1100</v>
      </c>
      <c r="J347" s="2" t="str">
        <f>_xlfn.XLOOKUP(Data[[#This Row],[Main SKU]],MD_Main_SKU[Main SKU],MD_Main_SKU[SKU name_gom])</f>
        <v>WSS01</v>
      </c>
      <c r="K347" s="2" t="str">
        <f>_xlfn.XLOOKUP(Data[[#This Row],[Material-Nhập]],MD_Main_SKU[Main SKU],MD_Main_SKU[SKU name_gom])</f>
        <v>iSS01084</v>
      </c>
    </row>
    <row r="348" spans="1:11" x14ac:dyDescent="0.35">
      <c r="A348">
        <v>2025</v>
      </c>
      <c r="B348">
        <v>7</v>
      </c>
      <c r="C348" t="s">
        <v>16</v>
      </c>
      <c r="D348" t="s">
        <v>17</v>
      </c>
      <c r="E348" t="s">
        <v>16</v>
      </c>
      <c r="F348" t="s">
        <v>17</v>
      </c>
      <c r="G348" s="2">
        <v>1500400</v>
      </c>
      <c r="H348" s="2">
        <v>0</v>
      </c>
      <c r="I348" s="2">
        <v>1500400</v>
      </c>
      <c r="J348" s="2" t="str">
        <f>_xlfn.XLOOKUP(Data[[#This Row],[Main SKU]],MD_Main_SKU[Main SKU],MD_Main_SKU[SKU name_gom])</f>
        <v>WSS01</v>
      </c>
      <c r="K348" s="2" t="str">
        <f>_xlfn.XLOOKUP(Data[[#This Row],[Material-Nhập]],MD_Main_SKU[Main SKU],MD_Main_SKU[SKU name_gom])</f>
        <v>WSS01</v>
      </c>
    </row>
    <row r="349" spans="1:11" x14ac:dyDescent="0.35">
      <c r="A349">
        <v>2025</v>
      </c>
      <c r="B349">
        <v>7</v>
      </c>
      <c r="C349" t="s">
        <v>16</v>
      </c>
      <c r="D349" t="s">
        <v>17</v>
      </c>
      <c r="E349" t="s">
        <v>18</v>
      </c>
      <c r="F349" t="s">
        <v>19</v>
      </c>
      <c r="G349" s="2">
        <v>0</v>
      </c>
      <c r="H349" s="2">
        <v>78100.000000000015</v>
      </c>
      <c r="I349" s="2">
        <v>78100.000000000015</v>
      </c>
      <c r="J349" s="2" t="str">
        <f>_xlfn.XLOOKUP(Data[[#This Row],[Main SKU]],MD_Main_SKU[Main SKU],MD_Main_SKU[SKU name_gom])</f>
        <v>WSS01</v>
      </c>
      <c r="K349" s="2" t="str">
        <f>_xlfn.XLOOKUP(Data[[#This Row],[Material-Nhập]],MD_Main_SKU[Main SKU],MD_Main_SKU[SKU name_gom])</f>
        <v>iSS01</v>
      </c>
    </row>
    <row r="350" spans="1:11" x14ac:dyDescent="0.35">
      <c r="A350">
        <v>2025</v>
      </c>
      <c r="B350">
        <v>7</v>
      </c>
      <c r="C350" t="s">
        <v>16</v>
      </c>
      <c r="D350" t="s">
        <v>17</v>
      </c>
      <c r="E350" t="s">
        <v>22</v>
      </c>
      <c r="F350" t="s">
        <v>23</v>
      </c>
      <c r="G350" s="2">
        <v>0</v>
      </c>
      <c r="H350" s="2">
        <v>2200</v>
      </c>
      <c r="I350" s="2">
        <v>2200</v>
      </c>
      <c r="J350" s="2" t="str">
        <f>_xlfn.XLOOKUP(Data[[#This Row],[Main SKU]],MD_Main_SKU[Main SKU],MD_Main_SKU[SKU name_gom])</f>
        <v>WSS01</v>
      </c>
      <c r="K350" s="2" t="str">
        <f>_xlfn.XLOOKUP(Data[[#This Row],[Material-Nhập]],MD_Main_SKU[Main SKU],MD_Main_SKU[SKU name_gom])</f>
        <v>WSS03</v>
      </c>
    </row>
    <row r="351" spans="1:11" x14ac:dyDescent="0.35">
      <c r="A351">
        <v>2025</v>
      </c>
      <c r="B351">
        <v>7</v>
      </c>
      <c r="C351" t="s">
        <v>16</v>
      </c>
      <c r="D351" t="s">
        <v>17</v>
      </c>
      <c r="E351" t="s">
        <v>40</v>
      </c>
      <c r="F351" t="s">
        <v>41</v>
      </c>
      <c r="G351" s="2">
        <v>0</v>
      </c>
      <c r="H351" s="2">
        <v>104500.00000000001</v>
      </c>
      <c r="I351" s="2">
        <v>104500.00000000001</v>
      </c>
      <c r="J351" s="2" t="str">
        <f>_xlfn.XLOOKUP(Data[[#This Row],[Main SKU]],MD_Main_SKU[Main SKU],MD_Main_SKU[SKU name_gom])</f>
        <v>WSS01</v>
      </c>
      <c r="K351" s="2" t="str">
        <f>_xlfn.XLOOKUP(Data[[#This Row],[Material-Nhập]],MD_Main_SKU[Main SKU],MD_Main_SKU[SKU name_gom])</f>
        <v>WSS01-PL</v>
      </c>
    </row>
    <row r="352" spans="1:11" x14ac:dyDescent="0.35">
      <c r="A352">
        <v>2025</v>
      </c>
      <c r="B352">
        <v>7</v>
      </c>
      <c r="C352" t="s">
        <v>16</v>
      </c>
      <c r="D352" t="s">
        <v>17</v>
      </c>
      <c r="E352" t="s">
        <v>34</v>
      </c>
      <c r="F352" t="s">
        <v>35</v>
      </c>
      <c r="G352" s="2">
        <v>0</v>
      </c>
      <c r="H352" s="2">
        <v>9900</v>
      </c>
      <c r="I352" s="2">
        <v>9900</v>
      </c>
      <c r="J352" s="2" t="str">
        <f>_xlfn.XLOOKUP(Data[[#This Row],[Main SKU]],MD_Main_SKU[Main SKU],MD_Main_SKU[SKU name_gom])</f>
        <v>WSS01</v>
      </c>
      <c r="K352" s="2" t="str">
        <f>_xlfn.XLOOKUP(Data[[#This Row],[Material-Nhập]],MD_Main_SKU[Main SKU],MD_Main_SKU[SKU name_gom])</f>
        <v>WSS03-PL</v>
      </c>
    </row>
    <row r="353" spans="1:11" x14ac:dyDescent="0.35">
      <c r="A353">
        <v>2025</v>
      </c>
      <c r="B353">
        <v>7</v>
      </c>
      <c r="C353" t="s">
        <v>18</v>
      </c>
      <c r="D353" t="s">
        <v>19</v>
      </c>
      <c r="E353" t="s">
        <v>16</v>
      </c>
      <c r="F353" t="s">
        <v>17</v>
      </c>
      <c r="G353" s="2">
        <v>0</v>
      </c>
      <c r="H353" s="2">
        <v>9900</v>
      </c>
      <c r="I353" s="2">
        <v>9900</v>
      </c>
      <c r="J353" s="2" t="str">
        <f>_xlfn.XLOOKUP(Data[[#This Row],[Main SKU]],MD_Main_SKU[Main SKU],MD_Main_SKU[SKU name_gom])</f>
        <v>iSS01</v>
      </c>
      <c r="K353" s="2" t="str">
        <f>_xlfn.XLOOKUP(Data[[#This Row],[Material-Nhập]],MD_Main_SKU[Main SKU],MD_Main_SKU[SKU name_gom])</f>
        <v>WSS01</v>
      </c>
    </row>
    <row r="354" spans="1:11" x14ac:dyDescent="0.35">
      <c r="A354">
        <v>2025</v>
      </c>
      <c r="B354">
        <v>7</v>
      </c>
      <c r="C354" t="s">
        <v>18</v>
      </c>
      <c r="D354" t="s">
        <v>19</v>
      </c>
      <c r="E354" t="s">
        <v>18</v>
      </c>
      <c r="F354" t="s">
        <v>19</v>
      </c>
      <c r="G354" s="2">
        <v>23100</v>
      </c>
      <c r="H354" s="2">
        <v>0</v>
      </c>
      <c r="I354" s="2">
        <v>23100</v>
      </c>
      <c r="J354" s="2" t="str">
        <f>_xlfn.XLOOKUP(Data[[#This Row],[Main SKU]],MD_Main_SKU[Main SKU],MD_Main_SKU[SKU name_gom])</f>
        <v>iSS01</v>
      </c>
      <c r="K354" s="2" t="str">
        <f>_xlfn.XLOOKUP(Data[[#This Row],[Material-Nhập]],MD_Main_SKU[Main SKU],MD_Main_SKU[SKU name_gom])</f>
        <v>iSS01</v>
      </c>
    </row>
    <row r="355" spans="1:11" x14ac:dyDescent="0.35">
      <c r="A355">
        <v>2025</v>
      </c>
      <c r="B355">
        <v>7</v>
      </c>
      <c r="C355" t="s">
        <v>26</v>
      </c>
      <c r="D355" t="s">
        <v>27</v>
      </c>
      <c r="E355" t="s">
        <v>22</v>
      </c>
      <c r="F355" t="s">
        <v>23</v>
      </c>
      <c r="G355" s="2">
        <v>0</v>
      </c>
      <c r="H355" s="2">
        <v>19800.000000000007</v>
      </c>
      <c r="I355" s="2">
        <v>19800.000000000007</v>
      </c>
      <c r="J355" s="2" t="str">
        <f>_xlfn.XLOOKUP(Data[[#This Row],[Main SKU]],MD_Main_SKU[Main SKU],MD_Main_SKU[SKU name_gom])</f>
        <v>iSS01</v>
      </c>
      <c r="K355" s="2" t="str">
        <f>_xlfn.XLOOKUP(Data[[#This Row],[Material-Nhập]],MD_Main_SKU[Main SKU],MD_Main_SKU[SKU name_gom])</f>
        <v>WSS03</v>
      </c>
    </row>
    <row r="356" spans="1:11" x14ac:dyDescent="0.35">
      <c r="A356">
        <v>2025</v>
      </c>
      <c r="B356">
        <v>7</v>
      </c>
      <c r="C356" t="s">
        <v>26</v>
      </c>
      <c r="D356" t="s">
        <v>27</v>
      </c>
      <c r="E356" t="s">
        <v>24</v>
      </c>
      <c r="F356" t="s">
        <v>25</v>
      </c>
      <c r="G356" s="2">
        <v>0</v>
      </c>
      <c r="H356" s="2">
        <v>58300</v>
      </c>
      <c r="I356" s="2">
        <v>58300</v>
      </c>
      <c r="J356" s="2" t="str">
        <f>_xlfn.XLOOKUP(Data[[#This Row],[Main SKU]],MD_Main_SKU[Main SKU],MD_Main_SKU[SKU name_gom])</f>
        <v>iSS01</v>
      </c>
      <c r="K356" s="2" t="str">
        <f>_xlfn.XLOOKUP(Data[[#This Row],[Material-Nhập]],MD_Main_SKU[Main SKU],MD_Main_SKU[SKU name_gom])</f>
        <v>WSS01</v>
      </c>
    </row>
    <row r="357" spans="1:11" x14ac:dyDescent="0.35">
      <c r="A357">
        <v>2025</v>
      </c>
      <c r="B357">
        <v>7</v>
      </c>
      <c r="C357" t="s">
        <v>26</v>
      </c>
      <c r="D357" t="s">
        <v>27</v>
      </c>
      <c r="E357" t="s">
        <v>26</v>
      </c>
      <c r="F357" t="s">
        <v>27</v>
      </c>
      <c r="G357" s="2">
        <v>1068100</v>
      </c>
      <c r="H357" s="2">
        <v>0</v>
      </c>
      <c r="I357" s="2">
        <v>1068100</v>
      </c>
      <c r="J357" s="2" t="str">
        <f>_xlfn.XLOOKUP(Data[[#This Row],[Main SKU]],MD_Main_SKU[Main SKU],MD_Main_SKU[SKU name_gom])</f>
        <v>iSS01</v>
      </c>
      <c r="K357" s="2" t="str">
        <f>_xlfn.XLOOKUP(Data[[#This Row],[Material-Nhập]],MD_Main_SKU[Main SKU],MD_Main_SKU[SKU name_gom])</f>
        <v>iSS01</v>
      </c>
    </row>
    <row r="358" spans="1:11" x14ac:dyDescent="0.35">
      <c r="A358">
        <v>2025</v>
      </c>
      <c r="B358">
        <v>7</v>
      </c>
      <c r="C358" t="s">
        <v>26</v>
      </c>
      <c r="D358" t="s">
        <v>27</v>
      </c>
      <c r="E358" t="s">
        <v>50</v>
      </c>
      <c r="F358" t="s">
        <v>51</v>
      </c>
      <c r="G358" s="2">
        <v>0</v>
      </c>
      <c r="H358" s="2">
        <v>12100</v>
      </c>
      <c r="I358" s="2">
        <v>12100</v>
      </c>
      <c r="J358" s="2" t="str">
        <f>_xlfn.XLOOKUP(Data[[#This Row],[Main SKU]],MD_Main_SKU[Main SKU],MD_Main_SKU[SKU name_gom])</f>
        <v>iSS01</v>
      </c>
      <c r="K358" s="2" t="str">
        <f>_xlfn.XLOOKUP(Data[[#This Row],[Material-Nhập]],MD_Main_SKU[Main SKU],MD_Main_SKU[SKU name_gom])</f>
        <v>iSS01-PL</v>
      </c>
    </row>
    <row r="359" spans="1:11" x14ac:dyDescent="0.35">
      <c r="A359">
        <v>2025</v>
      </c>
      <c r="B359">
        <v>7</v>
      </c>
      <c r="C359" t="s">
        <v>48</v>
      </c>
      <c r="D359" t="s">
        <v>49</v>
      </c>
      <c r="E359" t="s">
        <v>22</v>
      </c>
      <c r="F359" t="s">
        <v>23</v>
      </c>
      <c r="G359" s="2">
        <v>0</v>
      </c>
      <c r="H359" s="2">
        <v>2200</v>
      </c>
      <c r="I359" s="2">
        <v>2200</v>
      </c>
      <c r="J359" s="2" t="str">
        <f>_xlfn.XLOOKUP(Data[[#This Row],[Main SKU]],MD_Main_SKU[Main SKU],MD_Main_SKU[SKU name_gom])</f>
        <v>WSS01</v>
      </c>
      <c r="K359" s="2" t="str">
        <f>_xlfn.XLOOKUP(Data[[#This Row],[Material-Nhập]],MD_Main_SKU[Main SKU],MD_Main_SKU[SKU name_gom])</f>
        <v>WSS03</v>
      </c>
    </row>
    <row r="360" spans="1:11" x14ac:dyDescent="0.35">
      <c r="A360">
        <v>2025</v>
      </c>
      <c r="B360">
        <v>7</v>
      </c>
      <c r="C360" t="s">
        <v>48</v>
      </c>
      <c r="D360" t="s">
        <v>49</v>
      </c>
      <c r="E360" t="s">
        <v>48</v>
      </c>
      <c r="F360" t="s">
        <v>49</v>
      </c>
      <c r="G360" s="2">
        <v>167200</v>
      </c>
      <c r="H360" s="2">
        <v>0</v>
      </c>
      <c r="I360" s="2">
        <v>167200</v>
      </c>
      <c r="J360" s="2" t="str">
        <f>_xlfn.XLOOKUP(Data[[#This Row],[Main SKU]],MD_Main_SKU[Main SKU],MD_Main_SKU[SKU name_gom])</f>
        <v>WSS01</v>
      </c>
      <c r="K360" s="2" t="str">
        <f>_xlfn.XLOOKUP(Data[[#This Row],[Material-Nhập]],MD_Main_SKU[Main SKU],MD_Main_SKU[SKU name_gom])</f>
        <v>WSS01</v>
      </c>
    </row>
    <row r="361" spans="1:11" x14ac:dyDescent="0.35">
      <c r="A361">
        <v>2025</v>
      </c>
      <c r="B361">
        <v>8</v>
      </c>
      <c r="C361" t="s">
        <v>8</v>
      </c>
      <c r="D361" t="s">
        <v>9</v>
      </c>
      <c r="E361" t="s">
        <v>8</v>
      </c>
      <c r="F361" t="s">
        <v>9</v>
      </c>
      <c r="G361" s="2">
        <v>178200</v>
      </c>
      <c r="H361" s="2">
        <v>0</v>
      </c>
      <c r="I361" s="2">
        <v>178200</v>
      </c>
      <c r="J361" s="2" t="str">
        <f>_xlfn.XLOOKUP(Data[[#This Row],[Main SKU]],MD_Main_SKU[Main SKU],MD_Main_SKU[SKU name_gom])</f>
        <v>WSS01</v>
      </c>
      <c r="K361" s="2" t="str">
        <f>_xlfn.XLOOKUP(Data[[#This Row],[Material-Nhập]],MD_Main_SKU[Main SKU],MD_Main_SKU[SKU name_gom])</f>
        <v>WSS01</v>
      </c>
    </row>
    <row r="362" spans="1:11" x14ac:dyDescent="0.35">
      <c r="A362">
        <v>2025</v>
      </c>
      <c r="B362">
        <v>8</v>
      </c>
      <c r="C362" t="s">
        <v>8</v>
      </c>
      <c r="D362" t="s">
        <v>9</v>
      </c>
      <c r="E362" t="s">
        <v>22</v>
      </c>
      <c r="F362" t="s">
        <v>23</v>
      </c>
      <c r="G362" s="2">
        <v>0</v>
      </c>
      <c r="H362" s="2">
        <v>6600</v>
      </c>
      <c r="I362" s="2">
        <v>6600</v>
      </c>
      <c r="J362" s="2" t="str">
        <f>_xlfn.XLOOKUP(Data[[#This Row],[Main SKU]],MD_Main_SKU[Main SKU],MD_Main_SKU[SKU name_gom])</f>
        <v>WSS01</v>
      </c>
      <c r="K362" s="2" t="str">
        <f>_xlfn.XLOOKUP(Data[[#This Row],[Material-Nhập]],MD_Main_SKU[Main SKU],MD_Main_SKU[SKU name_gom])</f>
        <v>WSS03</v>
      </c>
    </row>
    <row r="363" spans="1:11" x14ac:dyDescent="0.35">
      <c r="A363">
        <v>2025</v>
      </c>
      <c r="B363">
        <v>8</v>
      </c>
      <c r="C363" t="s">
        <v>8</v>
      </c>
      <c r="D363" t="s">
        <v>9</v>
      </c>
      <c r="E363" t="s">
        <v>36</v>
      </c>
      <c r="F363" t="s">
        <v>37</v>
      </c>
      <c r="G363" s="2">
        <v>0</v>
      </c>
      <c r="H363" s="2">
        <v>2200</v>
      </c>
      <c r="I363" s="2">
        <v>2200</v>
      </c>
      <c r="J363" s="2" t="str">
        <f>_xlfn.XLOOKUP(Data[[#This Row],[Main SKU]],MD_Main_SKU[Main SKU],MD_Main_SKU[SKU name_gom])</f>
        <v>WSS01</v>
      </c>
      <c r="K363" s="2" t="str">
        <f>_xlfn.XLOOKUP(Data[[#This Row],[Material-Nhập]],MD_Main_SKU[Main SKU],MD_Main_SKU[SKU name_gom])</f>
        <v>WSS01-PL</v>
      </c>
    </row>
    <row r="364" spans="1:11" x14ac:dyDescent="0.35">
      <c r="A364">
        <v>2025</v>
      </c>
      <c r="B364">
        <v>8</v>
      </c>
      <c r="C364" t="s">
        <v>14</v>
      </c>
      <c r="D364" t="s">
        <v>15</v>
      </c>
      <c r="E364" t="s">
        <v>14</v>
      </c>
      <c r="F364" t="s">
        <v>15</v>
      </c>
      <c r="G364" s="2">
        <v>624800</v>
      </c>
      <c r="H364" s="2">
        <v>0</v>
      </c>
      <c r="I364" s="2">
        <v>624800</v>
      </c>
      <c r="J364" s="2" t="str">
        <f>_xlfn.XLOOKUP(Data[[#This Row],[Main SKU]],MD_Main_SKU[Main SKU],MD_Main_SKU[SKU name_gom])</f>
        <v>iSS01084</v>
      </c>
      <c r="K364" s="2" t="str">
        <f>_xlfn.XLOOKUP(Data[[#This Row],[Material-Nhập]],MD_Main_SKU[Main SKU],MD_Main_SKU[SKU name_gom])</f>
        <v>iSS01084</v>
      </c>
    </row>
    <row r="365" spans="1:11" x14ac:dyDescent="0.35">
      <c r="A365">
        <v>2025</v>
      </c>
      <c r="B365">
        <v>8</v>
      </c>
      <c r="C365" t="s">
        <v>14</v>
      </c>
      <c r="D365" t="s">
        <v>15</v>
      </c>
      <c r="E365" t="s">
        <v>16</v>
      </c>
      <c r="F365" t="s">
        <v>17</v>
      </c>
      <c r="G365" s="2">
        <v>0</v>
      </c>
      <c r="H365" s="2">
        <v>1100</v>
      </c>
      <c r="I365" s="2">
        <v>1100</v>
      </c>
      <c r="J365" s="2" t="str">
        <f>_xlfn.XLOOKUP(Data[[#This Row],[Main SKU]],MD_Main_SKU[Main SKU],MD_Main_SKU[SKU name_gom])</f>
        <v>iSS01084</v>
      </c>
      <c r="K365" s="2" t="str">
        <f>_xlfn.XLOOKUP(Data[[#This Row],[Material-Nhập]],MD_Main_SKU[Main SKU],MD_Main_SKU[SKU name_gom])</f>
        <v>WSS01</v>
      </c>
    </row>
    <row r="366" spans="1:11" x14ac:dyDescent="0.35">
      <c r="A366">
        <v>2025</v>
      </c>
      <c r="B366">
        <v>8</v>
      </c>
      <c r="C366" t="s">
        <v>14</v>
      </c>
      <c r="D366" t="s">
        <v>15</v>
      </c>
      <c r="E366" t="s">
        <v>18</v>
      </c>
      <c r="F366" t="s">
        <v>19</v>
      </c>
      <c r="G366" s="2">
        <v>0</v>
      </c>
      <c r="H366" s="2">
        <v>29700</v>
      </c>
      <c r="I366" s="2">
        <v>29700</v>
      </c>
      <c r="J366" s="2" t="str">
        <f>_xlfn.XLOOKUP(Data[[#This Row],[Main SKU]],MD_Main_SKU[Main SKU],MD_Main_SKU[SKU name_gom])</f>
        <v>iSS01084</v>
      </c>
      <c r="K366" s="2" t="str">
        <f>_xlfn.XLOOKUP(Data[[#This Row],[Material-Nhập]],MD_Main_SKU[Main SKU],MD_Main_SKU[SKU name_gom])</f>
        <v>iSS01</v>
      </c>
    </row>
    <row r="367" spans="1:11" x14ac:dyDescent="0.35">
      <c r="A367">
        <v>2025</v>
      </c>
      <c r="B367">
        <v>8</v>
      </c>
      <c r="C367" t="s">
        <v>14</v>
      </c>
      <c r="D367" t="s">
        <v>15</v>
      </c>
      <c r="E367" t="s">
        <v>22</v>
      </c>
      <c r="F367" t="s">
        <v>23</v>
      </c>
      <c r="G367" s="2">
        <v>0</v>
      </c>
      <c r="H367" s="2">
        <v>40699.999999999993</v>
      </c>
      <c r="I367" s="2">
        <v>40699.999999999993</v>
      </c>
      <c r="J367" s="2" t="str">
        <f>_xlfn.XLOOKUP(Data[[#This Row],[Main SKU]],MD_Main_SKU[Main SKU],MD_Main_SKU[SKU name_gom])</f>
        <v>iSS01084</v>
      </c>
      <c r="K367" s="2" t="str">
        <f>_xlfn.XLOOKUP(Data[[#This Row],[Material-Nhập]],MD_Main_SKU[Main SKU],MD_Main_SKU[SKU name_gom])</f>
        <v>WSS03</v>
      </c>
    </row>
    <row r="368" spans="1:11" x14ac:dyDescent="0.35">
      <c r="A368">
        <v>2025</v>
      </c>
      <c r="B368">
        <v>8</v>
      </c>
      <c r="C368" t="s">
        <v>14</v>
      </c>
      <c r="D368" t="s">
        <v>15</v>
      </c>
      <c r="E368" t="s">
        <v>40</v>
      </c>
      <c r="F368" t="s">
        <v>41</v>
      </c>
      <c r="G368" s="2">
        <v>0</v>
      </c>
      <c r="H368" s="2">
        <v>6599.9999999999991</v>
      </c>
      <c r="I368" s="2">
        <v>6599.9999999999991</v>
      </c>
      <c r="J368" s="2" t="str">
        <f>_xlfn.XLOOKUP(Data[[#This Row],[Main SKU]],MD_Main_SKU[Main SKU],MD_Main_SKU[SKU name_gom])</f>
        <v>iSS01084</v>
      </c>
      <c r="K368" s="2" t="str">
        <f>_xlfn.XLOOKUP(Data[[#This Row],[Material-Nhập]],MD_Main_SKU[Main SKU],MD_Main_SKU[SKU name_gom])</f>
        <v>WSS01-PL</v>
      </c>
    </row>
    <row r="369" spans="1:11" x14ac:dyDescent="0.35">
      <c r="A369">
        <v>2025</v>
      </c>
      <c r="B369">
        <v>8</v>
      </c>
      <c r="C369" t="s">
        <v>14</v>
      </c>
      <c r="D369" t="s">
        <v>15</v>
      </c>
      <c r="E369" t="s">
        <v>42</v>
      </c>
      <c r="F369" t="s">
        <v>43</v>
      </c>
      <c r="G369" s="2">
        <v>0</v>
      </c>
      <c r="H369" s="2">
        <v>1100</v>
      </c>
      <c r="I369" s="2">
        <v>1100</v>
      </c>
      <c r="J369" s="2" t="str">
        <f>_xlfn.XLOOKUP(Data[[#This Row],[Main SKU]],MD_Main_SKU[Main SKU],MD_Main_SKU[SKU name_gom])</f>
        <v>iSS01084</v>
      </c>
      <c r="K369" s="2" t="str">
        <f>_xlfn.XLOOKUP(Data[[#This Row],[Material-Nhập]],MD_Main_SKU[Main SKU],MD_Main_SKU[SKU name_gom])</f>
        <v>iSS01-PL</v>
      </c>
    </row>
    <row r="370" spans="1:11" x14ac:dyDescent="0.35">
      <c r="A370">
        <v>2025</v>
      </c>
      <c r="B370">
        <v>8</v>
      </c>
      <c r="C370" t="s">
        <v>14</v>
      </c>
      <c r="D370" t="s">
        <v>15</v>
      </c>
      <c r="E370" t="s">
        <v>34</v>
      </c>
      <c r="F370" t="s">
        <v>35</v>
      </c>
      <c r="G370" s="2">
        <v>0</v>
      </c>
      <c r="H370" s="2">
        <v>10400</v>
      </c>
      <c r="I370" s="2">
        <v>10400</v>
      </c>
      <c r="J370" s="2" t="str">
        <f>_xlfn.XLOOKUP(Data[[#This Row],[Main SKU]],MD_Main_SKU[Main SKU],MD_Main_SKU[SKU name_gom])</f>
        <v>iSS01084</v>
      </c>
      <c r="K370" s="2" t="str">
        <f>_xlfn.XLOOKUP(Data[[#This Row],[Material-Nhập]],MD_Main_SKU[Main SKU],MD_Main_SKU[SKU name_gom])</f>
        <v>WSS03-PL</v>
      </c>
    </row>
    <row r="371" spans="1:11" x14ac:dyDescent="0.35">
      <c r="A371">
        <v>2025</v>
      </c>
      <c r="B371">
        <v>8</v>
      </c>
      <c r="C371" t="s">
        <v>16</v>
      </c>
      <c r="D371" t="s">
        <v>17</v>
      </c>
      <c r="E371" t="s">
        <v>14</v>
      </c>
      <c r="F371" t="s">
        <v>15</v>
      </c>
      <c r="G371" s="2">
        <v>0</v>
      </c>
      <c r="H371" s="2">
        <v>2200</v>
      </c>
      <c r="I371" s="2">
        <v>2200</v>
      </c>
      <c r="J371" s="2" t="str">
        <f>_xlfn.XLOOKUP(Data[[#This Row],[Main SKU]],MD_Main_SKU[Main SKU],MD_Main_SKU[SKU name_gom])</f>
        <v>WSS01</v>
      </c>
      <c r="K371" s="2" t="str">
        <f>_xlfn.XLOOKUP(Data[[#This Row],[Material-Nhập]],MD_Main_SKU[Main SKU],MD_Main_SKU[SKU name_gom])</f>
        <v>iSS01084</v>
      </c>
    </row>
    <row r="372" spans="1:11" x14ac:dyDescent="0.35">
      <c r="A372">
        <v>2025</v>
      </c>
      <c r="B372">
        <v>8</v>
      </c>
      <c r="C372" t="s">
        <v>16</v>
      </c>
      <c r="D372" t="s">
        <v>17</v>
      </c>
      <c r="E372" t="s">
        <v>16</v>
      </c>
      <c r="F372" t="s">
        <v>17</v>
      </c>
      <c r="G372" s="2">
        <v>1624699.9999999998</v>
      </c>
      <c r="H372" s="2">
        <v>0</v>
      </c>
      <c r="I372" s="2">
        <v>1624699.9999999998</v>
      </c>
      <c r="J372" s="2" t="str">
        <f>_xlfn.XLOOKUP(Data[[#This Row],[Main SKU]],MD_Main_SKU[Main SKU],MD_Main_SKU[SKU name_gom])</f>
        <v>WSS01</v>
      </c>
      <c r="K372" s="2" t="str">
        <f>_xlfn.XLOOKUP(Data[[#This Row],[Material-Nhập]],MD_Main_SKU[Main SKU],MD_Main_SKU[SKU name_gom])</f>
        <v>WSS01</v>
      </c>
    </row>
    <row r="373" spans="1:11" x14ac:dyDescent="0.35">
      <c r="A373">
        <v>2025</v>
      </c>
      <c r="B373">
        <v>8</v>
      </c>
      <c r="C373" t="s">
        <v>16</v>
      </c>
      <c r="D373" t="s">
        <v>17</v>
      </c>
      <c r="E373" t="s">
        <v>18</v>
      </c>
      <c r="F373" t="s">
        <v>19</v>
      </c>
      <c r="G373" s="2">
        <v>0</v>
      </c>
      <c r="H373" s="2">
        <v>192500</v>
      </c>
      <c r="I373" s="2">
        <v>192500</v>
      </c>
      <c r="J373" s="2" t="str">
        <f>_xlfn.XLOOKUP(Data[[#This Row],[Main SKU]],MD_Main_SKU[Main SKU],MD_Main_SKU[SKU name_gom])</f>
        <v>WSS01</v>
      </c>
      <c r="K373" s="2" t="str">
        <f>_xlfn.XLOOKUP(Data[[#This Row],[Material-Nhập]],MD_Main_SKU[Main SKU],MD_Main_SKU[SKU name_gom])</f>
        <v>iSS01</v>
      </c>
    </row>
    <row r="374" spans="1:11" x14ac:dyDescent="0.35">
      <c r="A374">
        <v>2025</v>
      </c>
      <c r="B374">
        <v>8</v>
      </c>
      <c r="C374" t="s">
        <v>16</v>
      </c>
      <c r="D374" t="s">
        <v>17</v>
      </c>
      <c r="E374" t="s">
        <v>22</v>
      </c>
      <c r="F374" t="s">
        <v>23</v>
      </c>
      <c r="G374" s="2">
        <v>0</v>
      </c>
      <c r="H374" s="2">
        <v>8800</v>
      </c>
      <c r="I374" s="2">
        <v>8800</v>
      </c>
      <c r="J374" s="2" t="str">
        <f>_xlfn.XLOOKUP(Data[[#This Row],[Main SKU]],MD_Main_SKU[Main SKU],MD_Main_SKU[SKU name_gom])</f>
        <v>WSS01</v>
      </c>
      <c r="K374" s="2" t="str">
        <f>_xlfn.XLOOKUP(Data[[#This Row],[Material-Nhập]],MD_Main_SKU[Main SKU],MD_Main_SKU[SKU name_gom])</f>
        <v>WSS03</v>
      </c>
    </row>
    <row r="375" spans="1:11" x14ac:dyDescent="0.35">
      <c r="A375">
        <v>2025</v>
      </c>
      <c r="B375">
        <v>8</v>
      </c>
      <c r="C375" t="s">
        <v>16</v>
      </c>
      <c r="D375" t="s">
        <v>17</v>
      </c>
      <c r="E375" t="s">
        <v>40</v>
      </c>
      <c r="F375" t="s">
        <v>41</v>
      </c>
      <c r="G375" s="2">
        <v>0</v>
      </c>
      <c r="H375" s="2">
        <v>92400.000000000015</v>
      </c>
      <c r="I375" s="2">
        <v>92400.000000000015</v>
      </c>
      <c r="J375" s="2" t="str">
        <f>_xlfn.XLOOKUP(Data[[#This Row],[Main SKU]],MD_Main_SKU[Main SKU],MD_Main_SKU[SKU name_gom])</f>
        <v>WSS01</v>
      </c>
      <c r="K375" s="2" t="str">
        <f>_xlfn.XLOOKUP(Data[[#This Row],[Material-Nhập]],MD_Main_SKU[Main SKU],MD_Main_SKU[SKU name_gom])</f>
        <v>WSS01-PL</v>
      </c>
    </row>
    <row r="376" spans="1:11" x14ac:dyDescent="0.35">
      <c r="A376">
        <v>2025</v>
      </c>
      <c r="B376">
        <v>8</v>
      </c>
      <c r="C376" t="s">
        <v>16</v>
      </c>
      <c r="D376" t="s">
        <v>17</v>
      </c>
      <c r="E376" t="s">
        <v>34</v>
      </c>
      <c r="F376" t="s">
        <v>35</v>
      </c>
      <c r="G376" s="2">
        <v>0</v>
      </c>
      <c r="H376" s="2">
        <v>15400</v>
      </c>
      <c r="I376" s="2">
        <v>15400</v>
      </c>
      <c r="J376" s="2" t="str">
        <f>_xlfn.XLOOKUP(Data[[#This Row],[Main SKU]],MD_Main_SKU[Main SKU],MD_Main_SKU[SKU name_gom])</f>
        <v>WSS01</v>
      </c>
      <c r="K376" s="2" t="str">
        <f>_xlfn.XLOOKUP(Data[[#This Row],[Material-Nhập]],MD_Main_SKU[Main SKU],MD_Main_SKU[SKU name_gom])</f>
        <v>WSS03-PL</v>
      </c>
    </row>
    <row r="377" spans="1:11" x14ac:dyDescent="0.35">
      <c r="A377">
        <v>2025</v>
      </c>
      <c r="B377">
        <v>8</v>
      </c>
      <c r="C377" t="s">
        <v>26</v>
      </c>
      <c r="D377" t="s">
        <v>27</v>
      </c>
      <c r="E377" t="s">
        <v>22</v>
      </c>
      <c r="F377" t="s">
        <v>23</v>
      </c>
      <c r="G377" s="2">
        <v>0</v>
      </c>
      <c r="H377" s="2">
        <v>7699.9999999999991</v>
      </c>
      <c r="I377" s="2">
        <v>7699.9999999999991</v>
      </c>
      <c r="J377" s="2" t="str">
        <f>_xlfn.XLOOKUP(Data[[#This Row],[Main SKU]],MD_Main_SKU[Main SKU],MD_Main_SKU[SKU name_gom])</f>
        <v>iSS01</v>
      </c>
      <c r="K377" s="2" t="str">
        <f>_xlfn.XLOOKUP(Data[[#This Row],[Material-Nhập]],MD_Main_SKU[Main SKU],MD_Main_SKU[SKU name_gom])</f>
        <v>WSS03</v>
      </c>
    </row>
    <row r="378" spans="1:11" x14ac:dyDescent="0.35">
      <c r="A378">
        <v>2025</v>
      </c>
      <c r="B378">
        <v>8</v>
      </c>
      <c r="C378" t="s">
        <v>26</v>
      </c>
      <c r="D378" t="s">
        <v>27</v>
      </c>
      <c r="E378" t="s">
        <v>24</v>
      </c>
      <c r="F378" t="s">
        <v>25</v>
      </c>
      <c r="G378" s="2">
        <v>0</v>
      </c>
      <c r="H378" s="2">
        <v>69300</v>
      </c>
      <c r="I378" s="2">
        <v>69300</v>
      </c>
      <c r="J378" s="2" t="str">
        <f>_xlfn.XLOOKUP(Data[[#This Row],[Main SKU]],MD_Main_SKU[Main SKU],MD_Main_SKU[SKU name_gom])</f>
        <v>iSS01</v>
      </c>
      <c r="K378" s="2" t="str">
        <f>_xlfn.XLOOKUP(Data[[#This Row],[Material-Nhập]],MD_Main_SKU[Main SKU],MD_Main_SKU[SKU name_gom])</f>
        <v>WSS01</v>
      </c>
    </row>
    <row r="379" spans="1:11" x14ac:dyDescent="0.35">
      <c r="A379">
        <v>2025</v>
      </c>
      <c r="B379">
        <v>8</v>
      </c>
      <c r="C379" t="s">
        <v>26</v>
      </c>
      <c r="D379" t="s">
        <v>27</v>
      </c>
      <c r="E379" t="s">
        <v>26</v>
      </c>
      <c r="F379" t="s">
        <v>27</v>
      </c>
      <c r="G379" s="2">
        <v>1014200</v>
      </c>
      <c r="H379" s="2">
        <v>0</v>
      </c>
      <c r="I379" s="2">
        <v>1014200</v>
      </c>
      <c r="J379" s="2" t="str">
        <f>_xlfn.XLOOKUP(Data[[#This Row],[Main SKU]],MD_Main_SKU[Main SKU],MD_Main_SKU[SKU name_gom])</f>
        <v>iSS01</v>
      </c>
      <c r="K379" s="2" t="str">
        <f>_xlfn.XLOOKUP(Data[[#This Row],[Material-Nhập]],MD_Main_SKU[Main SKU],MD_Main_SKU[SKU name_gom])</f>
        <v>iSS01</v>
      </c>
    </row>
    <row r="380" spans="1:11" x14ac:dyDescent="0.35">
      <c r="A380">
        <v>2025</v>
      </c>
      <c r="B380">
        <v>8</v>
      </c>
      <c r="C380" t="s">
        <v>26</v>
      </c>
      <c r="D380" t="s">
        <v>27</v>
      </c>
      <c r="E380" t="s">
        <v>58</v>
      </c>
      <c r="F380" t="s">
        <v>59</v>
      </c>
      <c r="G380" s="2">
        <v>0</v>
      </c>
      <c r="H380" s="2">
        <v>3300</v>
      </c>
      <c r="I380" s="2">
        <v>3300</v>
      </c>
      <c r="J380" s="2" t="str">
        <f>_xlfn.XLOOKUP(Data[[#This Row],[Main SKU]],MD_Main_SKU[Main SKU],MD_Main_SKU[SKU name_gom])</f>
        <v>iSS01</v>
      </c>
      <c r="K380" s="2" t="str">
        <f>_xlfn.XLOOKUP(Data[[#This Row],[Material-Nhập]],MD_Main_SKU[Main SKU],MD_Main_SKU[SKU name_gom])</f>
        <v>WSS01-PL</v>
      </c>
    </row>
    <row r="381" spans="1:11" x14ac:dyDescent="0.35">
      <c r="A381">
        <v>2025</v>
      </c>
      <c r="B381">
        <v>8</v>
      </c>
      <c r="C381" t="s">
        <v>26</v>
      </c>
      <c r="D381" t="s">
        <v>27</v>
      </c>
      <c r="E381" t="s">
        <v>50</v>
      </c>
      <c r="F381" t="s">
        <v>51</v>
      </c>
      <c r="G381" s="2">
        <v>0</v>
      </c>
      <c r="H381" s="2">
        <v>14299.999999999998</v>
      </c>
      <c r="I381" s="2">
        <v>14299.999999999998</v>
      </c>
      <c r="J381" s="2" t="str">
        <f>_xlfn.XLOOKUP(Data[[#This Row],[Main SKU]],MD_Main_SKU[Main SKU],MD_Main_SKU[SKU name_gom])</f>
        <v>iSS01</v>
      </c>
      <c r="K381" s="2" t="str">
        <f>_xlfn.XLOOKUP(Data[[#This Row],[Material-Nhập]],MD_Main_SKU[Main SKU],MD_Main_SKU[SKU name_gom])</f>
        <v>iSS01-PL</v>
      </c>
    </row>
    <row r="382" spans="1:11" x14ac:dyDescent="0.35">
      <c r="A382">
        <v>2025</v>
      </c>
      <c r="B382">
        <v>8</v>
      </c>
      <c r="C382" t="s">
        <v>26</v>
      </c>
      <c r="D382" t="s">
        <v>27</v>
      </c>
      <c r="E382" t="s">
        <v>34</v>
      </c>
      <c r="F382" t="s">
        <v>35</v>
      </c>
      <c r="G382" s="2">
        <v>0</v>
      </c>
      <c r="H382" s="2">
        <v>2200</v>
      </c>
      <c r="I382" s="2">
        <v>2200</v>
      </c>
      <c r="J382" s="2" t="str">
        <f>_xlfn.XLOOKUP(Data[[#This Row],[Main SKU]],MD_Main_SKU[Main SKU],MD_Main_SKU[SKU name_gom])</f>
        <v>iSS01</v>
      </c>
      <c r="K382" s="2" t="str">
        <f>_xlfn.XLOOKUP(Data[[#This Row],[Material-Nhập]],MD_Main_SKU[Main SKU],MD_Main_SKU[SKU name_gom])</f>
        <v>WSS03-PL</v>
      </c>
    </row>
    <row r="383" spans="1:11" x14ac:dyDescent="0.35">
      <c r="A383">
        <v>2025</v>
      </c>
      <c r="B383">
        <v>9</v>
      </c>
      <c r="C383" t="s">
        <v>8</v>
      </c>
      <c r="D383" t="s">
        <v>9</v>
      </c>
      <c r="E383" t="s">
        <v>8</v>
      </c>
      <c r="F383" t="s">
        <v>9</v>
      </c>
      <c r="G383" s="2">
        <v>240900</v>
      </c>
      <c r="H383" s="2">
        <v>0</v>
      </c>
      <c r="I383" s="2">
        <v>240900</v>
      </c>
      <c r="J383" s="2" t="str">
        <f>_xlfn.XLOOKUP(Data[[#This Row],[Main SKU]],MD_Main_SKU[Main SKU],MD_Main_SKU[SKU name_gom])</f>
        <v>WSS01</v>
      </c>
      <c r="K383" s="2" t="str">
        <f>_xlfn.XLOOKUP(Data[[#This Row],[Material-Nhập]],MD_Main_SKU[Main SKU],MD_Main_SKU[SKU name_gom])</f>
        <v>WSS01</v>
      </c>
    </row>
    <row r="384" spans="1:11" x14ac:dyDescent="0.35">
      <c r="A384">
        <v>2025</v>
      </c>
      <c r="B384">
        <v>9</v>
      </c>
      <c r="C384" t="s">
        <v>8</v>
      </c>
      <c r="D384" t="s">
        <v>9</v>
      </c>
      <c r="E384" t="s">
        <v>22</v>
      </c>
      <c r="F384" t="s">
        <v>23</v>
      </c>
      <c r="G384" s="2">
        <v>0</v>
      </c>
      <c r="H384" s="2">
        <v>4400</v>
      </c>
      <c r="I384" s="2">
        <v>4400</v>
      </c>
      <c r="J384" s="2" t="str">
        <f>_xlfn.XLOOKUP(Data[[#This Row],[Main SKU]],MD_Main_SKU[Main SKU],MD_Main_SKU[SKU name_gom])</f>
        <v>WSS01</v>
      </c>
      <c r="K384" s="2" t="str">
        <f>_xlfn.XLOOKUP(Data[[#This Row],[Material-Nhập]],MD_Main_SKU[Main SKU],MD_Main_SKU[SKU name_gom])</f>
        <v>WSS03</v>
      </c>
    </row>
    <row r="385" spans="1:11" x14ac:dyDescent="0.35">
      <c r="A385">
        <v>2025</v>
      </c>
      <c r="B385">
        <v>9</v>
      </c>
      <c r="C385" t="s">
        <v>8</v>
      </c>
      <c r="D385" t="s">
        <v>9</v>
      </c>
      <c r="E385" t="s">
        <v>36</v>
      </c>
      <c r="F385" t="s">
        <v>37</v>
      </c>
      <c r="G385" s="2">
        <v>0</v>
      </c>
      <c r="H385" s="2">
        <v>4400</v>
      </c>
      <c r="I385" s="2">
        <v>4400</v>
      </c>
      <c r="J385" s="2" t="str">
        <f>_xlfn.XLOOKUP(Data[[#This Row],[Main SKU]],MD_Main_SKU[Main SKU],MD_Main_SKU[SKU name_gom])</f>
        <v>WSS01</v>
      </c>
      <c r="K385" s="2" t="str">
        <f>_xlfn.XLOOKUP(Data[[#This Row],[Material-Nhập]],MD_Main_SKU[Main SKU],MD_Main_SKU[SKU name_gom])</f>
        <v>WSS01-PL</v>
      </c>
    </row>
    <row r="386" spans="1:11" x14ac:dyDescent="0.35">
      <c r="A386">
        <v>2025</v>
      </c>
      <c r="B386">
        <v>9</v>
      </c>
      <c r="C386" t="s">
        <v>14</v>
      </c>
      <c r="D386" t="s">
        <v>15</v>
      </c>
      <c r="E386" t="s">
        <v>14</v>
      </c>
      <c r="F386" t="s">
        <v>15</v>
      </c>
      <c r="G386" s="2">
        <v>358600</v>
      </c>
      <c r="H386" s="2">
        <v>0</v>
      </c>
      <c r="I386" s="2">
        <v>358600</v>
      </c>
      <c r="J386" s="2" t="str">
        <f>_xlfn.XLOOKUP(Data[[#This Row],[Main SKU]],MD_Main_SKU[Main SKU],MD_Main_SKU[SKU name_gom])</f>
        <v>iSS01084</v>
      </c>
      <c r="K386" s="2" t="str">
        <f>_xlfn.XLOOKUP(Data[[#This Row],[Material-Nhập]],MD_Main_SKU[Main SKU],MD_Main_SKU[SKU name_gom])</f>
        <v>iSS01084</v>
      </c>
    </row>
    <row r="387" spans="1:11" x14ac:dyDescent="0.35">
      <c r="A387">
        <v>2025</v>
      </c>
      <c r="B387">
        <v>9</v>
      </c>
      <c r="C387" t="s">
        <v>14</v>
      </c>
      <c r="D387" t="s">
        <v>15</v>
      </c>
      <c r="E387" t="s">
        <v>16</v>
      </c>
      <c r="F387" t="s">
        <v>17</v>
      </c>
      <c r="G387" s="2">
        <v>0</v>
      </c>
      <c r="H387" s="2">
        <v>3300</v>
      </c>
      <c r="I387" s="2">
        <v>3300</v>
      </c>
      <c r="J387" s="2" t="str">
        <f>_xlfn.XLOOKUP(Data[[#This Row],[Main SKU]],MD_Main_SKU[Main SKU],MD_Main_SKU[SKU name_gom])</f>
        <v>iSS01084</v>
      </c>
      <c r="K387" s="2" t="str">
        <f>_xlfn.XLOOKUP(Data[[#This Row],[Material-Nhập]],MD_Main_SKU[Main SKU],MD_Main_SKU[SKU name_gom])</f>
        <v>WSS01</v>
      </c>
    </row>
    <row r="388" spans="1:11" x14ac:dyDescent="0.35">
      <c r="A388">
        <v>2025</v>
      </c>
      <c r="B388">
        <v>9</v>
      </c>
      <c r="C388" t="s">
        <v>14</v>
      </c>
      <c r="D388" t="s">
        <v>15</v>
      </c>
      <c r="E388" t="s">
        <v>18</v>
      </c>
      <c r="F388" t="s">
        <v>19</v>
      </c>
      <c r="G388" s="2">
        <v>0</v>
      </c>
      <c r="H388" s="2">
        <v>3300</v>
      </c>
      <c r="I388" s="2">
        <v>3300</v>
      </c>
      <c r="J388" s="2" t="str">
        <f>_xlfn.XLOOKUP(Data[[#This Row],[Main SKU]],MD_Main_SKU[Main SKU],MD_Main_SKU[SKU name_gom])</f>
        <v>iSS01084</v>
      </c>
      <c r="K388" s="2" t="str">
        <f>_xlfn.XLOOKUP(Data[[#This Row],[Material-Nhập]],MD_Main_SKU[Main SKU],MD_Main_SKU[SKU name_gom])</f>
        <v>iSS01</v>
      </c>
    </row>
    <row r="389" spans="1:11" x14ac:dyDescent="0.35">
      <c r="A389">
        <v>2025</v>
      </c>
      <c r="B389">
        <v>9</v>
      </c>
      <c r="C389" t="s">
        <v>14</v>
      </c>
      <c r="D389" t="s">
        <v>15</v>
      </c>
      <c r="E389" t="s">
        <v>22</v>
      </c>
      <c r="F389" t="s">
        <v>23</v>
      </c>
      <c r="G389" s="2">
        <v>0</v>
      </c>
      <c r="H389" s="2">
        <v>19800</v>
      </c>
      <c r="I389" s="2">
        <v>19800</v>
      </c>
      <c r="J389" s="2" t="str">
        <f>_xlfn.XLOOKUP(Data[[#This Row],[Main SKU]],MD_Main_SKU[Main SKU],MD_Main_SKU[SKU name_gom])</f>
        <v>iSS01084</v>
      </c>
      <c r="K389" s="2" t="str">
        <f>_xlfn.XLOOKUP(Data[[#This Row],[Material-Nhập]],MD_Main_SKU[Main SKU],MD_Main_SKU[SKU name_gom])</f>
        <v>WSS03</v>
      </c>
    </row>
    <row r="390" spans="1:11" x14ac:dyDescent="0.35">
      <c r="A390">
        <v>2025</v>
      </c>
      <c r="B390">
        <v>9</v>
      </c>
      <c r="C390" t="s">
        <v>14</v>
      </c>
      <c r="D390" t="s">
        <v>15</v>
      </c>
      <c r="E390" t="s">
        <v>34</v>
      </c>
      <c r="F390" t="s">
        <v>35</v>
      </c>
      <c r="G390" s="2">
        <v>0</v>
      </c>
      <c r="H390" s="2">
        <v>1100</v>
      </c>
      <c r="I390" s="2">
        <v>1100</v>
      </c>
      <c r="J390" s="2" t="str">
        <f>_xlfn.XLOOKUP(Data[[#This Row],[Main SKU]],MD_Main_SKU[Main SKU],MD_Main_SKU[SKU name_gom])</f>
        <v>iSS01084</v>
      </c>
      <c r="K390" s="2" t="str">
        <f>_xlfn.XLOOKUP(Data[[#This Row],[Material-Nhập]],MD_Main_SKU[Main SKU],MD_Main_SKU[SKU name_gom])</f>
        <v>WSS03-PL</v>
      </c>
    </row>
    <row r="391" spans="1:11" x14ac:dyDescent="0.35">
      <c r="A391">
        <v>2025</v>
      </c>
      <c r="B391">
        <v>9</v>
      </c>
      <c r="C391" t="s">
        <v>16</v>
      </c>
      <c r="D391" t="s">
        <v>17</v>
      </c>
      <c r="E391" t="s">
        <v>14</v>
      </c>
      <c r="F391" t="s">
        <v>15</v>
      </c>
      <c r="G391" s="2">
        <v>0</v>
      </c>
      <c r="H391" s="2">
        <v>8800</v>
      </c>
      <c r="I391" s="2">
        <v>8800</v>
      </c>
      <c r="J391" s="2" t="str">
        <f>_xlfn.XLOOKUP(Data[[#This Row],[Main SKU]],MD_Main_SKU[Main SKU],MD_Main_SKU[SKU name_gom])</f>
        <v>WSS01</v>
      </c>
      <c r="K391" s="2" t="str">
        <f>_xlfn.XLOOKUP(Data[[#This Row],[Material-Nhập]],MD_Main_SKU[Main SKU],MD_Main_SKU[SKU name_gom])</f>
        <v>iSS01084</v>
      </c>
    </row>
    <row r="392" spans="1:11" x14ac:dyDescent="0.35">
      <c r="A392">
        <v>2025</v>
      </c>
      <c r="B392">
        <v>9</v>
      </c>
      <c r="C392" t="s">
        <v>16</v>
      </c>
      <c r="D392" t="s">
        <v>17</v>
      </c>
      <c r="E392" t="s">
        <v>16</v>
      </c>
      <c r="F392" t="s">
        <v>17</v>
      </c>
      <c r="G392" s="2">
        <v>1272700</v>
      </c>
      <c r="H392" s="2">
        <v>0</v>
      </c>
      <c r="I392" s="2">
        <v>1272700</v>
      </c>
      <c r="J392" s="2" t="str">
        <f>_xlfn.XLOOKUP(Data[[#This Row],[Main SKU]],MD_Main_SKU[Main SKU],MD_Main_SKU[SKU name_gom])</f>
        <v>WSS01</v>
      </c>
      <c r="K392" s="2" t="str">
        <f>_xlfn.XLOOKUP(Data[[#This Row],[Material-Nhập]],MD_Main_SKU[Main SKU],MD_Main_SKU[SKU name_gom])</f>
        <v>WSS01</v>
      </c>
    </row>
    <row r="393" spans="1:11" x14ac:dyDescent="0.35">
      <c r="A393">
        <v>2025</v>
      </c>
      <c r="B393">
        <v>9</v>
      </c>
      <c r="C393" t="s">
        <v>16</v>
      </c>
      <c r="D393" t="s">
        <v>17</v>
      </c>
      <c r="E393" t="s">
        <v>18</v>
      </c>
      <c r="F393" t="s">
        <v>19</v>
      </c>
      <c r="G393" s="2">
        <v>0</v>
      </c>
      <c r="H393" s="2">
        <v>27500</v>
      </c>
      <c r="I393" s="2">
        <v>27500</v>
      </c>
      <c r="J393" s="2" t="str">
        <f>_xlfn.XLOOKUP(Data[[#This Row],[Main SKU]],MD_Main_SKU[Main SKU],MD_Main_SKU[SKU name_gom])</f>
        <v>WSS01</v>
      </c>
      <c r="K393" s="2" t="str">
        <f>_xlfn.XLOOKUP(Data[[#This Row],[Material-Nhập]],MD_Main_SKU[Main SKU],MD_Main_SKU[SKU name_gom])</f>
        <v>iSS01</v>
      </c>
    </row>
    <row r="394" spans="1:11" x14ac:dyDescent="0.35">
      <c r="A394">
        <v>2025</v>
      </c>
      <c r="B394">
        <v>9</v>
      </c>
      <c r="C394" t="s">
        <v>16</v>
      </c>
      <c r="D394" t="s">
        <v>17</v>
      </c>
      <c r="E394" t="s">
        <v>22</v>
      </c>
      <c r="F394" t="s">
        <v>23</v>
      </c>
      <c r="G394" s="2">
        <v>0</v>
      </c>
      <c r="H394" s="2">
        <v>3300</v>
      </c>
      <c r="I394" s="2">
        <v>3300</v>
      </c>
      <c r="J394" s="2" t="str">
        <f>_xlfn.XLOOKUP(Data[[#This Row],[Main SKU]],MD_Main_SKU[Main SKU],MD_Main_SKU[SKU name_gom])</f>
        <v>WSS01</v>
      </c>
      <c r="K394" s="2" t="str">
        <f>_xlfn.XLOOKUP(Data[[#This Row],[Material-Nhập]],MD_Main_SKU[Main SKU],MD_Main_SKU[SKU name_gom])</f>
        <v>WSS03</v>
      </c>
    </row>
    <row r="395" spans="1:11" x14ac:dyDescent="0.35">
      <c r="A395">
        <v>2025</v>
      </c>
      <c r="B395">
        <v>9</v>
      </c>
      <c r="C395" t="s">
        <v>16</v>
      </c>
      <c r="D395" t="s">
        <v>17</v>
      </c>
      <c r="E395" t="s">
        <v>40</v>
      </c>
      <c r="F395" t="s">
        <v>41</v>
      </c>
      <c r="G395" s="2">
        <v>0</v>
      </c>
      <c r="H395" s="2">
        <v>19800</v>
      </c>
      <c r="I395" s="2">
        <v>19800</v>
      </c>
      <c r="J395" s="2" t="str">
        <f>_xlfn.XLOOKUP(Data[[#This Row],[Main SKU]],MD_Main_SKU[Main SKU],MD_Main_SKU[SKU name_gom])</f>
        <v>WSS01</v>
      </c>
      <c r="K395" s="2" t="str">
        <f>_xlfn.XLOOKUP(Data[[#This Row],[Material-Nhập]],MD_Main_SKU[Main SKU],MD_Main_SKU[SKU name_gom])</f>
        <v>WSS01-PL</v>
      </c>
    </row>
    <row r="396" spans="1:11" x14ac:dyDescent="0.35">
      <c r="A396">
        <v>2025</v>
      </c>
      <c r="B396">
        <v>9</v>
      </c>
      <c r="C396" t="s">
        <v>16</v>
      </c>
      <c r="D396" t="s">
        <v>17</v>
      </c>
      <c r="E396" t="s">
        <v>42</v>
      </c>
      <c r="F396" t="s">
        <v>43</v>
      </c>
      <c r="G396" s="2">
        <v>0</v>
      </c>
      <c r="H396" s="2">
        <v>1100</v>
      </c>
      <c r="I396" s="2">
        <v>1100</v>
      </c>
      <c r="J396" s="2" t="str">
        <f>_xlfn.XLOOKUP(Data[[#This Row],[Main SKU]],MD_Main_SKU[Main SKU],MD_Main_SKU[SKU name_gom])</f>
        <v>WSS01</v>
      </c>
      <c r="K396" s="2" t="str">
        <f>_xlfn.XLOOKUP(Data[[#This Row],[Material-Nhập]],MD_Main_SKU[Main SKU],MD_Main_SKU[SKU name_gom])</f>
        <v>iSS01-PL</v>
      </c>
    </row>
    <row r="397" spans="1:11" x14ac:dyDescent="0.35">
      <c r="A397">
        <v>2025</v>
      </c>
      <c r="B397">
        <v>9</v>
      </c>
      <c r="C397" t="s">
        <v>16</v>
      </c>
      <c r="D397" t="s">
        <v>17</v>
      </c>
      <c r="E397" t="s">
        <v>34</v>
      </c>
      <c r="F397" t="s">
        <v>35</v>
      </c>
      <c r="G397" s="2">
        <v>0</v>
      </c>
      <c r="H397" s="2">
        <v>7700.0000000000009</v>
      </c>
      <c r="I397" s="2">
        <v>7700.0000000000009</v>
      </c>
      <c r="J397" s="2" t="str">
        <f>_xlfn.XLOOKUP(Data[[#This Row],[Main SKU]],MD_Main_SKU[Main SKU],MD_Main_SKU[SKU name_gom])</f>
        <v>WSS01</v>
      </c>
      <c r="K397" s="2" t="str">
        <f>_xlfn.XLOOKUP(Data[[#This Row],[Material-Nhập]],MD_Main_SKU[Main SKU],MD_Main_SKU[SKU name_gom])</f>
        <v>WSS03-PL</v>
      </c>
    </row>
    <row r="398" spans="1:11" x14ac:dyDescent="0.35">
      <c r="A398">
        <v>2025</v>
      </c>
      <c r="B398">
        <v>9</v>
      </c>
      <c r="C398" t="s">
        <v>22</v>
      </c>
      <c r="D398" t="s">
        <v>23</v>
      </c>
      <c r="E398" t="s">
        <v>22</v>
      </c>
      <c r="F398" t="s">
        <v>23</v>
      </c>
      <c r="G398" s="2">
        <v>157300</v>
      </c>
      <c r="H398" s="2">
        <v>0</v>
      </c>
      <c r="I398" s="2">
        <v>157300</v>
      </c>
      <c r="J398" s="2" t="str">
        <f>_xlfn.XLOOKUP(Data[[#This Row],[Main SKU]],MD_Main_SKU[Main SKU],MD_Main_SKU[SKU name_gom])</f>
        <v>WSS03</v>
      </c>
      <c r="K398" s="2" t="str">
        <f>_xlfn.XLOOKUP(Data[[#This Row],[Material-Nhập]],MD_Main_SKU[Main SKU],MD_Main_SKU[SKU name_gom])</f>
        <v>WSS03</v>
      </c>
    </row>
    <row r="399" spans="1:11" x14ac:dyDescent="0.35">
      <c r="A399">
        <v>2025</v>
      </c>
      <c r="B399">
        <v>9</v>
      </c>
      <c r="C399" t="s">
        <v>26</v>
      </c>
      <c r="D399" t="s">
        <v>27</v>
      </c>
      <c r="E399" t="s">
        <v>22</v>
      </c>
      <c r="F399" t="s">
        <v>23</v>
      </c>
      <c r="G399" s="2">
        <v>0</v>
      </c>
      <c r="H399" s="2">
        <v>1100</v>
      </c>
      <c r="I399" s="2">
        <v>1100</v>
      </c>
      <c r="J399" s="2" t="str">
        <f>_xlfn.XLOOKUP(Data[[#This Row],[Main SKU]],MD_Main_SKU[Main SKU],MD_Main_SKU[SKU name_gom])</f>
        <v>iSS01</v>
      </c>
      <c r="K399" s="2" t="str">
        <f>_xlfn.XLOOKUP(Data[[#This Row],[Material-Nhập]],MD_Main_SKU[Main SKU],MD_Main_SKU[SKU name_gom])</f>
        <v>WSS03</v>
      </c>
    </row>
    <row r="400" spans="1:11" x14ac:dyDescent="0.35">
      <c r="A400">
        <v>2025</v>
      </c>
      <c r="B400">
        <v>9</v>
      </c>
      <c r="C400" t="s">
        <v>26</v>
      </c>
      <c r="D400" t="s">
        <v>27</v>
      </c>
      <c r="E400" t="s">
        <v>24</v>
      </c>
      <c r="F400" t="s">
        <v>25</v>
      </c>
      <c r="G400" s="2">
        <v>0</v>
      </c>
      <c r="H400" s="2">
        <v>35200.000000000007</v>
      </c>
      <c r="I400" s="2">
        <v>35200.000000000007</v>
      </c>
      <c r="J400" s="2" t="str">
        <f>_xlfn.XLOOKUP(Data[[#This Row],[Main SKU]],MD_Main_SKU[Main SKU],MD_Main_SKU[SKU name_gom])</f>
        <v>iSS01</v>
      </c>
      <c r="K400" s="2" t="str">
        <f>_xlfn.XLOOKUP(Data[[#This Row],[Material-Nhập]],MD_Main_SKU[Main SKU],MD_Main_SKU[SKU name_gom])</f>
        <v>WSS01</v>
      </c>
    </row>
    <row r="401" spans="1:11" x14ac:dyDescent="0.35">
      <c r="A401">
        <v>2025</v>
      </c>
      <c r="B401">
        <v>9</v>
      </c>
      <c r="C401" t="s">
        <v>26</v>
      </c>
      <c r="D401" t="s">
        <v>27</v>
      </c>
      <c r="E401" t="s">
        <v>26</v>
      </c>
      <c r="F401" t="s">
        <v>27</v>
      </c>
      <c r="G401" s="2">
        <v>806300</v>
      </c>
      <c r="H401" s="2">
        <v>0</v>
      </c>
      <c r="I401" s="2">
        <v>806300</v>
      </c>
      <c r="J401" s="2" t="str">
        <f>_xlfn.XLOOKUP(Data[[#This Row],[Main SKU]],MD_Main_SKU[Main SKU],MD_Main_SKU[SKU name_gom])</f>
        <v>iSS01</v>
      </c>
      <c r="K401" s="2" t="str">
        <f>_xlfn.XLOOKUP(Data[[#This Row],[Material-Nhập]],MD_Main_SKU[Main SKU],MD_Main_SKU[SKU name_gom])</f>
        <v>iSS01</v>
      </c>
    </row>
    <row r="402" spans="1:11" x14ac:dyDescent="0.35">
      <c r="A402">
        <v>2025</v>
      </c>
      <c r="B402">
        <v>9</v>
      </c>
      <c r="C402" t="s">
        <v>26</v>
      </c>
      <c r="D402" t="s">
        <v>27</v>
      </c>
      <c r="E402" t="s">
        <v>50</v>
      </c>
      <c r="F402" t="s">
        <v>51</v>
      </c>
      <c r="G402" s="2">
        <v>0</v>
      </c>
      <c r="H402" s="2">
        <v>8800</v>
      </c>
      <c r="I402" s="2">
        <v>8800</v>
      </c>
      <c r="J402" s="2" t="str">
        <f>_xlfn.XLOOKUP(Data[[#This Row],[Main SKU]],MD_Main_SKU[Main SKU],MD_Main_SKU[SKU name_gom])</f>
        <v>iSS01</v>
      </c>
      <c r="K402" s="2" t="str">
        <f>_xlfn.XLOOKUP(Data[[#This Row],[Material-Nhập]],MD_Main_SKU[Main SKU],MD_Main_SKU[SKU name_gom])</f>
        <v>iSS01-PL</v>
      </c>
    </row>
    <row r="403" spans="1:11" x14ac:dyDescent="0.35">
      <c r="A403">
        <v>2025</v>
      </c>
      <c r="B403">
        <v>9</v>
      </c>
      <c r="C403" t="s">
        <v>48</v>
      </c>
      <c r="D403" t="s">
        <v>49</v>
      </c>
      <c r="E403" t="s">
        <v>22</v>
      </c>
      <c r="F403" t="s">
        <v>23</v>
      </c>
      <c r="G403" s="2">
        <v>0</v>
      </c>
      <c r="H403" s="2">
        <v>1100</v>
      </c>
      <c r="I403" s="2">
        <v>1100</v>
      </c>
      <c r="J403" s="2" t="str">
        <f>_xlfn.XLOOKUP(Data[[#This Row],[Main SKU]],MD_Main_SKU[Main SKU],MD_Main_SKU[SKU name_gom])</f>
        <v>WSS01</v>
      </c>
      <c r="K403" s="2" t="str">
        <f>_xlfn.XLOOKUP(Data[[#This Row],[Material-Nhập]],MD_Main_SKU[Main SKU],MD_Main_SKU[SKU name_gom])</f>
        <v>WSS03</v>
      </c>
    </row>
    <row r="404" spans="1:11" x14ac:dyDescent="0.35">
      <c r="A404">
        <v>2025</v>
      </c>
      <c r="B404">
        <v>9</v>
      </c>
      <c r="C404" t="s">
        <v>48</v>
      </c>
      <c r="D404" t="s">
        <v>49</v>
      </c>
      <c r="E404" t="s">
        <v>48</v>
      </c>
      <c r="F404" t="s">
        <v>49</v>
      </c>
      <c r="G404" s="2">
        <v>51700</v>
      </c>
      <c r="H404" s="2">
        <v>0</v>
      </c>
      <c r="I404" s="2">
        <v>51700</v>
      </c>
      <c r="J404" s="2" t="str">
        <f>_xlfn.XLOOKUP(Data[[#This Row],[Main SKU]],MD_Main_SKU[Main SKU],MD_Main_SKU[SKU name_gom])</f>
        <v>WSS01</v>
      </c>
      <c r="K404" s="2" t="str">
        <f>_xlfn.XLOOKUP(Data[[#This Row],[Material-Nhập]],MD_Main_SKU[Main SKU],MD_Main_SKU[SKU name_gom])</f>
        <v>WSS01</v>
      </c>
    </row>
    <row r="405" spans="1:11" x14ac:dyDescent="0.35">
      <c r="A405">
        <v>2025</v>
      </c>
      <c r="B405">
        <v>10</v>
      </c>
      <c r="C405" t="s">
        <v>8</v>
      </c>
      <c r="D405" t="s">
        <v>9</v>
      </c>
      <c r="E405" t="s">
        <v>8</v>
      </c>
      <c r="F405" t="s">
        <v>9</v>
      </c>
      <c r="G405" s="2">
        <v>394900</v>
      </c>
      <c r="H405" s="2">
        <v>0</v>
      </c>
      <c r="I405" s="2">
        <v>394900</v>
      </c>
      <c r="J405" s="2" t="str">
        <f>_xlfn.XLOOKUP(Data[[#This Row],[Main SKU]],MD_Main_SKU[Main SKU],MD_Main_SKU[SKU name_gom])</f>
        <v>WSS01</v>
      </c>
      <c r="K405" s="2" t="str">
        <f>_xlfn.XLOOKUP(Data[[#This Row],[Material-Nhập]],MD_Main_SKU[Main SKU],MD_Main_SKU[SKU name_gom])</f>
        <v>WSS01</v>
      </c>
    </row>
    <row r="406" spans="1:11" x14ac:dyDescent="0.35">
      <c r="A406">
        <v>2025</v>
      </c>
      <c r="B406">
        <v>10</v>
      </c>
      <c r="C406" t="s">
        <v>8</v>
      </c>
      <c r="D406" t="s">
        <v>9</v>
      </c>
      <c r="E406" t="s">
        <v>22</v>
      </c>
      <c r="F406" t="s">
        <v>23</v>
      </c>
      <c r="G406" s="2">
        <v>0</v>
      </c>
      <c r="H406" s="2">
        <v>9900</v>
      </c>
      <c r="I406" s="2">
        <v>9900</v>
      </c>
      <c r="J406" s="2" t="str">
        <f>_xlfn.XLOOKUP(Data[[#This Row],[Main SKU]],MD_Main_SKU[Main SKU],MD_Main_SKU[SKU name_gom])</f>
        <v>WSS01</v>
      </c>
      <c r="K406" s="2" t="str">
        <f>_xlfn.XLOOKUP(Data[[#This Row],[Material-Nhập]],MD_Main_SKU[Main SKU],MD_Main_SKU[SKU name_gom])</f>
        <v>WSS03</v>
      </c>
    </row>
    <row r="407" spans="1:11" x14ac:dyDescent="0.35">
      <c r="A407">
        <v>2025</v>
      </c>
      <c r="B407">
        <v>10</v>
      </c>
      <c r="C407" t="s">
        <v>8</v>
      </c>
      <c r="D407" t="s">
        <v>9</v>
      </c>
      <c r="E407" t="s">
        <v>36</v>
      </c>
      <c r="F407" t="s">
        <v>37</v>
      </c>
      <c r="G407" s="2">
        <v>0</v>
      </c>
      <c r="H407" s="2">
        <v>3300</v>
      </c>
      <c r="I407" s="2">
        <v>3300</v>
      </c>
      <c r="J407" s="2" t="str">
        <f>_xlfn.XLOOKUP(Data[[#This Row],[Main SKU]],MD_Main_SKU[Main SKU],MD_Main_SKU[SKU name_gom])</f>
        <v>WSS01</v>
      </c>
      <c r="K407" s="2" t="str">
        <f>_xlfn.XLOOKUP(Data[[#This Row],[Material-Nhập]],MD_Main_SKU[Main SKU],MD_Main_SKU[SKU name_gom])</f>
        <v>WSS01-PL</v>
      </c>
    </row>
    <row r="408" spans="1:11" x14ac:dyDescent="0.35">
      <c r="A408">
        <v>2025</v>
      </c>
      <c r="B408">
        <v>10</v>
      </c>
      <c r="C408" t="s">
        <v>14</v>
      </c>
      <c r="D408" t="s">
        <v>15</v>
      </c>
      <c r="E408" t="s">
        <v>14</v>
      </c>
      <c r="F408" t="s">
        <v>15</v>
      </c>
      <c r="G408" s="2">
        <v>728200</v>
      </c>
      <c r="H408" s="2">
        <v>3300</v>
      </c>
      <c r="I408" s="2">
        <v>731500</v>
      </c>
      <c r="J408" s="2" t="str">
        <f>_xlfn.XLOOKUP(Data[[#This Row],[Main SKU]],MD_Main_SKU[Main SKU],MD_Main_SKU[SKU name_gom])</f>
        <v>iSS01084</v>
      </c>
      <c r="K408" s="2" t="str">
        <f>_xlfn.XLOOKUP(Data[[#This Row],[Material-Nhập]],MD_Main_SKU[Main SKU],MD_Main_SKU[SKU name_gom])</f>
        <v>iSS01084</v>
      </c>
    </row>
    <row r="409" spans="1:11" x14ac:dyDescent="0.35">
      <c r="A409">
        <v>2025</v>
      </c>
      <c r="B409">
        <v>10</v>
      </c>
      <c r="C409" t="s">
        <v>14</v>
      </c>
      <c r="D409" t="s">
        <v>15</v>
      </c>
      <c r="E409" t="s">
        <v>16</v>
      </c>
      <c r="F409" t="s">
        <v>17</v>
      </c>
      <c r="G409" s="2">
        <v>0</v>
      </c>
      <c r="H409" s="2">
        <v>105600</v>
      </c>
      <c r="I409" s="2">
        <v>105600</v>
      </c>
      <c r="J409" s="2" t="str">
        <f>_xlfn.XLOOKUP(Data[[#This Row],[Main SKU]],MD_Main_SKU[Main SKU],MD_Main_SKU[SKU name_gom])</f>
        <v>iSS01084</v>
      </c>
      <c r="K409" s="2" t="str">
        <f>_xlfn.XLOOKUP(Data[[#This Row],[Material-Nhập]],MD_Main_SKU[Main SKU],MD_Main_SKU[SKU name_gom])</f>
        <v>WSS01</v>
      </c>
    </row>
    <row r="410" spans="1:11" x14ac:dyDescent="0.35">
      <c r="A410">
        <v>2025</v>
      </c>
      <c r="B410">
        <v>10</v>
      </c>
      <c r="C410" t="s">
        <v>14</v>
      </c>
      <c r="D410" t="s">
        <v>15</v>
      </c>
      <c r="E410" t="s">
        <v>18</v>
      </c>
      <c r="F410" t="s">
        <v>19</v>
      </c>
      <c r="G410" s="2">
        <v>0</v>
      </c>
      <c r="H410" s="2">
        <v>69300</v>
      </c>
      <c r="I410" s="2">
        <v>69300</v>
      </c>
      <c r="J410" s="2" t="str">
        <f>_xlfn.XLOOKUP(Data[[#This Row],[Main SKU]],MD_Main_SKU[Main SKU],MD_Main_SKU[SKU name_gom])</f>
        <v>iSS01084</v>
      </c>
      <c r="K410" s="2" t="str">
        <f>_xlfn.XLOOKUP(Data[[#This Row],[Material-Nhập]],MD_Main_SKU[Main SKU],MD_Main_SKU[SKU name_gom])</f>
        <v>iSS01</v>
      </c>
    </row>
    <row r="411" spans="1:11" x14ac:dyDescent="0.35">
      <c r="A411">
        <v>2025</v>
      </c>
      <c r="B411">
        <v>10</v>
      </c>
      <c r="C411" t="s">
        <v>14</v>
      </c>
      <c r="D411" t="s">
        <v>15</v>
      </c>
      <c r="E411" t="s">
        <v>22</v>
      </c>
      <c r="F411" t="s">
        <v>23</v>
      </c>
      <c r="G411" s="2">
        <v>0</v>
      </c>
      <c r="H411" s="2">
        <v>57200</v>
      </c>
      <c r="I411" s="2">
        <v>57200</v>
      </c>
      <c r="J411" s="2" t="str">
        <f>_xlfn.XLOOKUP(Data[[#This Row],[Main SKU]],MD_Main_SKU[Main SKU],MD_Main_SKU[SKU name_gom])</f>
        <v>iSS01084</v>
      </c>
      <c r="K411" s="2" t="str">
        <f>_xlfn.XLOOKUP(Data[[#This Row],[Material-Nhập]],MD_Main_SKU[Main SKU],MD_Main_SKU[SKU name_gom])</f>
        <v>WSS03</v>
      </c>
    </row>
    <row r="412" spans="1:11" x14ac:dyDescent="0.35">
      <c r="A412">
        <v>2025</v>
      </c>
      <c r="B412">
        <v>10</v>
      </c>
      <c r="C412" t="s">
        <v>14</v>
      </c>
      <c r="D412" t="s">
        <v>15</v>
      </c>
      <c r="E412" t="s">
        <v>40</v>
      </c>
      <c r="F412" t="s">
        <v>41</v>
      </c>
      <c r="G412" s="2">
        <v>0</v>
      </c>
      <c r="H412" s="2">
        <v>16500</v>
      </c>
      <c r="I412" s="2">
        <v>16500</v>
      </c>
      <c r="J412" s="2" t="str">
        <f>_xlfn.XLOOKUP(Data[[#This Row],[Main SKU]],MD_Main_SKU[Main SKU],MD_Main_SKU[SKU name_gom])</f>
        <v>iSS01084</v>
      </c>
      <c r="K412" s="2" t="str">
        <f>_xlfn.XLOOKUP(Data[[#This Row],[Material-Nhập]],MD_Main_SKU[Main SKU],MD_Main_SKU[SKU name_gom])</f>
        <v>WSS01-PL</v>
      </c>
    </row>
    <row r="413" spans="1:11" x14ac:dyDescent="0.35">
      <c r="A413">
        <v>2025</v>
      </c>
      <c r="B413">
        <v>10</v>
      </c>
      <c r="C413" t="s">
        <v>14</v>
      </c>
      <c r="D413" t="s">
        <v>15</v>
      </c>
      <c r="E413" t="s">
        <v>38</v>
      </c>
      <c r="F413" t="s">
        <v>39</v>
      </c>
      <c r="G413" s="2">
        <v>0</v>
      </c>
      <c r="H413" s="2">
        <v>59400</v>
      </c>
      <c r="I413" s="2">
        <v>59400</v>
      </c>
      <c r="J413" s="2" t="str">
        <f>_xlfn.XLOOKUP(Data[[#This Row],[Main SKU]],MD_Main_SKU[Main SKU],MD_Main_SKU[SKU name_gom])</f>
        <v>iSS01084</v>
      </c>
      <c r="K413" s="2" t="str">
        <f>_xlfn.XLOOKUP(Data[[#This Row],[Material-Nhập]],MD_Main_SKU[Main SKU],MD_Main_SKU[SKU name_gom])</f>
        <v>iSS01084-PL</v>
      </c>
    </row>
    <row r="414" spans="1:11" x14ac:dyDescent="0.35">
      <c r="A414">
        <v>2025</v>
      </c>
      <c r="B414">
        <v>10</v>
      </c>
      <c r="C414" t="s">
        <v>14</v>
      </c>
      <c r="D414" t="s">
        <v>15</v>
      </c>
      <c r="E414" t="s">
        <v>34</v>
      </c>
      <c r="F414" t="s">
        <v>35</v>
      </c>
      <c r="G414" s="2">
        <v>0</v>
      </c>
      <c r="H414" s="2">
        <v>20900.000000000004</v>
      </c>
      <c r="I414" s="2">
        <v>20900.000000000004</v>
      </c>
      <c r="J414" s="2" t="str">
        <f>_xlfn.XLOOKUP(Data[[#This Row],[Main SKU]],MD_Main_SKU[Main SKU],MD_Main_SKU[SKU name_gom])</f>
        <v>iSS01084</v>
      </c>
      <c r="K414" s="2" t="str">
        <f>_xlfn.XLOOKUP(Data[[#This Row],[Material-Nhập]],MD_Main_SKU[Main SKU],MD_Main_SKU[SKU name_gom])</f>
        <v>WSS03-PL</v>
      </c>
    </row>
    <row r="415" spans="1:11" x14ac:dyDescent="0.35">
      <c r="A415">
        <v>2025</v>
      </c>
      <c r="B415">
        <v>10</v>
      </c>
      <c r="C415" t="s">
        <v>16</v>
      </c>
      <c r="D415" t="s">
        <v>17</v>
      </c>
      <c r="E415" t="s">
        <v>14</v>
      </c>
      <c r="F415" t="s">
        <v>15</v>
      </c>
      <c r="G415" s="2">
        <v>0</v>
      </c>
      <c r="H415" s="2">
        <v>12100</v>
      </c>
      <c r="I415" s="2">
        <v>12100</v>
      </c>
      <c r="J415" s="2" t="str">
        <f>_xlfn.XLOOKUP(Data[[#This Row],[Main SKU]],MD_Main_SKU[Main SKU],MD_Main_SKU[SKU name_gom])</f>
        <v>WSS01</v>
      </c>
      <c r="K415" s="2" t="str">
        <f>_xlfn.XLOOKUP(Data[[#This Row],[Material-Nhập]],MD_Main_SKU[Main SKU],MD_Main_SKU[SKU name_gom])</f>
        <v>iSS01084</v>
      </c>
    </row>
    <row r="416" spans="1:11" x14ac:dyDescent="0.35">
      <c r="A416">
        <v>2025</v>
      </c>
      <c r="B416">
        <v>10</v>
      </c>
      <c r="C416" t="s">
        <v>16</v>
      </c>
      <c r="D416" t="s">
        <v>17</v>
      </c>
      <c r="E416" t="s">
        <v>16</v>
      </c>
      <c r="F416" t="s">
        <v>17</v>
      </c>
      <c r="G416" s="2">
        <v>1913999.9999999991</v>
      </c>
      <c r="H416" s="2">
        <v>8800</v>
      </c>
      <c r="I416" s="2">
        <v>1922799.9999999991</v>
      </c>
      <c r="J416" s="2" t="str">
        <f>_xlfn.XLOOKUP(Data[[#This Row],[Main SKU]],MD_Main_SKU[Main SKU],MD_Main_SKU[SKU name_gom])</f>
        <v>WSS01</v>
      </c>
      <c r="K416" s="2" t="str">
        <f>_xlfn.XLOOKUP(Data[[#This Row],[Material-Nhập]],MD_Main_SKU[Main SKU],MD_Main_SKU[SKU name_gom])</f>
        <v>WSS01</v>
      </c>
    </row>
    <row r="417" spans="1:11" x14ac:dyDescent="0.35">
      <c r="A417">
        <v>2025</v>
      </c>
      <c r="B417">
        <v>10</v>
      </c>
      <c r="C417" t="s">
        <v>16</v>
      </c>
      <c r="D417" t="s">
        <v>17</v>
      </c>
      <c r="E417" t="s">
        <v>18</v>
      </c>
      <c r="F417" t="s">
        <v>19</v>
      </c>
      <c r="G417" s="2">
        <v>0</v>
      </c>
      <c r="H417" s="2">
        <v>60500.000000000007</v>
      </c>
      <c r="I417" s="2">
        <v>60500.000000000007</v>
      </c>
      <c r="J417" s="2" t="str">
        <f>_xlfn.XLOOKUP(Data[[#This Row],[Main SKU]],MD_Main_SKU[Main SKU],MD_Main_SKU[SKU name_gom])</f>
        <v>WSS01</v>
      </c>
      <c r="K417" s="2" t="str">
        <f>_xlfn.XLOOKUP(Data[[#This Row],[Material-Nhập]],MD_Main_SKU[Main SKU],MD_Main_SKU[SKU name_gom])</f>
        <v>iSS01</v>
      </c>
    </row>
    <row r="418" spans="1:11" x14ac:dyDescent="0.35">
      <c r="A418">
        <v>2025</v>
      </c>
      <c r="B418">
        <v>10</v>
      </c>
      <c r="C418" t="s">
        <v>16</v>
      </c>
      <c r="D418" t="s">
        <v>17</v>
      </c>
      <c r="E418" t="s">
        <v>22</v>
      </c>
      <c r="F418" t="s">
        <v>23</v>
      </c>
      <c r="G418" s="2">
        <v>0</v>
      </c>
      <c r="H418" s="2">
        <v>9900.0000000000018</v>
      </c>
      <c r="I418" s="2">
        <v>9900.0000000000018</v>
      </c>
      <c r="J418" s="2" t="str">
        <f>_xlfn.XLOOKUP(Data[[#This Row],[Main SKU]],MD_Main_SKU[Main SKU],MD_Main_SKU[SKU name_gom])</f>
        <v>WSS01</v>
      </c>
      <c r="K418" s="2" t="str">
        <f>_xlfn.XLOOKUP(Data[[#This Row],[Material-Nhập]],MD_Main_SKU[Main SKU],MD_Main_SKU[SKU name_gom])</f>
        <v>WSS03</v>
      </c>
    </row>
    <row r="419" spans="1:11" x14ac:dyDescent="0.35">
      <c r="A419">
        <v>2025</v>
      </c>
      <c r="B419">
        <v>10</v>
      </c>
      <c r="C419" t="s">
        <v>16</v>
      </c>
      <c r="D419" t="s">
        <v>17</v>
      </c>
      <c r="E419" t="s">
        <v>40</v>
      </c>
      <c r="F419" t="s">
        <v>41</v>
      </c>
      <c r="G419" s="2">
        <v>0</v>
      </c>
      <c r="H419" s="2">
        <v>22000.000000000004</v>
      </c>
      <c r="I419" s="2">
        <v>22000.000000000004</v>
      </c>
      <c r="J419" s="2" t="str">
        <f>_xlfn.XLOOKUP(Data[[#This Row],[Main SKU]],MD_Main_SKU[Main SKU],MD_Main_SKU[SKU name_gom])</f>
        <v>WSS01</v>
      </c>
      <c r="K419" s="2" t="str">
        <f>_xlfn.XLOOKUP(Data[[#This Row],[Material-Nhập]],MD_Main_SKU[Main SKU],MD_Main_SKU[SKU name_gom])</f>
        <v>WSS01-PL</v>
      </c>
    </row>
    <row r="420" spans="1:11" x14ac:dyDescent="0.35">
      <c r="A420">
        <v>2025</v>
      </c>
      <c r="B420">
        <v>10</v>
      </c>
      <c r="C420" t="s">
        <v>16</v>
      </c>
      <c r="D420" t="s">
        <v>17</v>
      </c>
      <c r="E420" t="s">
        <v>34</v>
      </c>
      <c r="F420" t="s">
        <v>35</v>
      </c>
      <c r="G420" s="2">
        <v>0</v>
      </c>
      <c r="H420" s="2">
        <v>33000</v>
      </c>
      <c r="I420" s="2">
        <v>33000</v>
      </c>
      <c r="J420" s="2" t="str">
        <f>_xlfn.XLOOKUP(Data[[#This Row],[Main SKU]],MD_Main_SKU[Main SKU],MD_Main_SKU[SKU name_gom])</f>
        <v>WSS01</v>
      </c>
      <c r="K420" s="2" t="str">
        <f>_xlfn.XLOOKUP(Data[[#This Row],[Material-Nhập]],MD_Main_SKU[Main SKU],MD_Main_SKU[SKU name_gom])</f>
        <v>WSS03-PL</v>
      </c>
    </row>
    <row r="421" spans="1:11" x14ac:dyDescent="0.35">
      <c r="A421">
        <v>2025</v>
      </c>
      <c r="B421">
        <v>10</v>
      </c>
      <c r="C421" t="s">
        <v>22</v>
      </c>
      <c r="D421" t="s">
        <v>23</v>
      </c>
      <c r="E421" t="s">
        <v>34</v>
      </c>
      <c r="F421" t="s">
        <v>35</v>
      </c>
      <c r="G421" s="2">
        <v>0</v>
      </c>
      <c r="H421" s="2">
        <v>33000</v>
      </c>
      <c r="I421" s="2">
        <v>33000</v>
      </c>
      <c r="J421" s="2" t="str">
        <f>_xlfn.XLOOKUP(Data[[#This Row],[Main SKU]],MD_Main_SKU[Main SKU],MD_Main_SKU[SKU name_gom])</f>
        <v>WSS03</v>
      </c>
      <c r="K421" s="2" t="str">
        <f>_xlfn.XLOOKUP(Data[[#This Row],[Material-Nhập]],MD_Main_SKU[Main SKU],MD_Main_SKU[SKU name_gom])</f>
        <v>WSS03-PL</v>
      </c>
    </row>
    <row r="422" spans="1:11" x14ac:dyDescent="0.35">
      <c r="A422">
        <v>2025</v>
      </c>
      <c r="B422">
        <v>10</v>
      </c>
      <c r="C422" t="s">
        <v>26</v>
      </c>
      <c r="D422" t="s">
        <v>27</v>
      </c>
      <c r="E422" t="s">
        <v>26</v>
      </c>
      <c r="F422" t="s">
        <v>27</v>
      </c>
      <c r="G422" s="2">
        <v>112200</v>
      </c>
      <c r="H422" s="2">
        <v>0</v>
      </c>
      <c r="I422" s="2">
        <v>112200</v>
      </c>
      <c r="J422" s="2" t="str">
        <f>_xlfn.XLOOKUP(Data[[#This Row],[Main SKU]],MD_Main_SKU[Main SKU],MD_Main_SKU[SKU name_gom])</f>
        <v>iSS01</v>
      </c>
      <c r="K422" s="2" t="str">
        <f>_xlfn.XLOOKUP(Data[[#This Row],[Material-Nhập]],MD_Main_SKU[Main SKU],MD_Main_SKU[SKU name_gom])</f>
        <v>iSS01</v>
      </c>
    </row>
    <row r="423" spans="1:11" x14ac:dyDescent="0.35">
      <c r="A423">
        <v>2025</v>
      </c>
      <c r="B423">
        <v>10</v>
      </c>
      <c r="C423" t="s">
        <v>26</v>
      </c>
      <c r="D423" t="s">
        <v>27</v>
      </c>
      <c r="E423" t="s">
        <v>50</v>
      </c>
      <c r="F423" t="s">
        <v>51</v>
      </c>
      <c r="G423" s="2">
        <v>0</v>
      </c>
      <c r="H423" s="2">
        <v>12100</v>
      </c>
      <c r="I423" s="2">
        <v>12100</v>
      </c>
      <c r="J423" s="2" t="str">
        <f>_xlfn.XLOOKUP(Data[[#This Row],[Main SKU]],MD_Main_SKU[Main SKU],MD_Main_SKU[SKU name_gom])</f>
        <v>iSS01</v>
      </c>
      <c r="K423" s="2" t="str">
        <f>_xlfn.XLOOKUP(Data[[#This Row],[Material-Nhập]],MD_Main_SKU[Main SKU],MD_Main_SKU[SKU name_gom])</f>
        <v>iSS01-PL</v>
      </c>
    </row>
    <row r="424" spans="1:11" x14ac:dyDescent="0.35">
      <c r="A424">
        <v>2025</v>
      </c>
      <c r="B424">
        <v>10</v>
      </c>
      <c r="C424" t="s">
        <v>48</v>
      </c>
      <c r="D424" t="s">
        <v>49</v>
      </c>
      <c r="E424" t="s">
        <v>16</v>
      </c>
      <c r="F424" t="s">
        <v>17</v>
      </c>
      <c r="G424" s="2">
        <v>0</v>
      </c>
      <c r="H424" s="2">
        <v>34100</v>
      </c>
      <c r="I424" s="2">
        <v>34100</v>
      </c>
      <c r="J424" s="2" t="str">
        <f>_xlfn.XLOOKUP(Data[[#This Row],[Main SKU]],MD_Main_SKU[Main SKU],MD_Main_SKU[SKU name_gom])</f>
        <v>WSS01</v>
      </c>
      <c r="K424" s="2" t="str">
        <f>_xlfn.XLOOKUP(Data[[#This Row],[Material-Nhập]],MD_Main_SKU[Main SKU],MD_Main_SKU[SKU name_gom])</f>
        <v>WSS01</v>
      </c>
    </row>
    <row r="425" spans="1:11" x14ac:dyDescent="0.35">
      <c r="A425">
        <v>2025</v>
      </c>
      <c r="B425">
        <v>10</v>
      </c>
      <c r="C425" t="s">
        <v>48</v>
      </c>
      <c r="D425" t="s">
        <v>49</v>
      </c>
      <c r="E425" t="s">
        <v>22</v>
      </c>
      <c r="F425" t="s">
        <v>23</v>
      </c>
      <c r="G425" s="2">
        <v>0</v>
      </c>
      <c r="H425" s="2">
        <v>1100</v>
      </c>
      <c r="I425" s="2">
        <v>1100</v>
      </c>
      <c r="J425" s="2" t="str">
        <f>_xlfn.XLOOKUP(Data[[#This Row],[Main SKU]],MD_Main_SKU[Main SKU],MD_Main_SKU[SKU name_gom])</f>
        <v>WSS01</v>
      </c>
      <c r="K425" s="2" t="str">
        <f>_xlfn.XLOOKUP(Data[[#This Row],[Material-Nhập]],MD_Main_SKU[Main SKU],MD_Main_SKU[SKU name_gom])</f>
        <v>WSS03</v>
      </c>
    </row>
    <row r="426" spans="1:11" x14ac:dyDescent="0.35">
      <c r="A426">
        <v>2025</v>
      </c>
      <c r="B426">
        <v>10</v>
      </c>
      <c r="C426" t="s">
        <v>48</v>
      </c>
      <c r="D426" t="s">
        <v>49</v>
      </c>
      <c r="E426" t="s">
        <v>40</v>
      </c>
      <c r="F426" t="s">
        <v>41</v>
      </c>
      <c r="G426" s="2">
        <v>0</v>
      </c>
      <c r="H426" s="2">
        <v>1100</v>
      </c>
      <c r="I426" s="2">
        <v>1100</v>
      </c>
      <c r="J426" s="2" t="str">
        <f>_xlfn.XLOOKUP(Data[[#This Row],[Main SKU]],MD_Main_SKU[Main SKU],MD_Main_SKU[SKU name_gom])</f>
        <v>WSS01</v>
      </c>
      <c r="K426" s="2" t="str">
        <f>_xlfn.XLOOKUP(Data[[#This Row],[Material-Nhập]],MD_Main_SKU[Main SKU],MD_Main_SKU[SKU name_gom])</f>
        <v>WSS01-PL</v>
      </c>
    </row>
    <row r="427" spans="1:11" x14ac:dyDescent="0.35">
      <c r="A427">
        <v>2025</v>
      </c>
      <c r="B427">
        <v>10</v>
      </c>
      <c r="C427" t="s">
        <v>48</v>
      </c>
      <c r="D427" t="s">
        <v>49</v>
      </c>
      <c r="E427" t="s">
        <v>48</v>
      </c>
      <c r="F427" t="s">
        <v>49</v>
      </c>
      <c r="G427" s="2">
        <v>106700</v>
      </c>
      <c r="H427" s="2">
        <v>1100</v>
      </c>
      <c r="I427" s="2">
        <v>107800</v>
      </c>
      <c r="J427" s="2" t="str">
        <f>_xlfn.XLOOKUP(Data[[#This Row],[Main SKU]],MD_Main_SKU[Main SKU],MD_Main_SKU[SKU name_gom])</f>
        <v>WSS01</v>
      </c>
      <c r="K427" s="2" t="str">
        <f>_xlfn.XLOOKUP(Data[[#This Row],[Material-Nhập]],MD_Main_SKU[Main SKU],MD_Main_SKU[SKU name_gom])</f>
        <v>WSS01</v>
      </c>
    </row>
    <row r="428" spans="1:11" x14ac:dyDescent="0.35">
      <c r="A428">
        <v>2025</v>
      </c>
      <c r="B428">
        <v>10</v>
      </c>
      <c r="C428" t="s">
        <v>48</v>
      </c>
      <c r="D428" t="s">
        <v>49</v>
      </c>
      <c r="E428" t="s">
        <v>60</v>
      </c>
      <c r="F428" t="s">
        <v>61</v>
      </c>
      <c r="G428" s="2">
        <v>0</v>
      </c>
      <c r="H428" s="2">
        <v>1100</v>
      </c>
      <c r="I428" s="2">
        <v>1100</v>
      </c>
      <c r="J428" s="2" t="str">
        <f>_xlfn.XLOOKUP(Data[[#This Row],[Main SKU]],MD_Main_SKU[Main SKU],MD_Main_SKU[SKU name_gom])</f>
        <v>WSS01</v>
      </c>
      <c r="K428" s="2" t="str">
        <f>_xlfn.XLOOKUP(Data[[#This Row],[Material-Nhập]],MD_Main_SKU[Main SKU],MD_Main_SKU[SKU name_gom])</f>
        <v>WSS01-PL</v>
      </c>
    </row>
    <row r="429" spans="1:11" x14ac:dyDescent="0.35">
      <c r="A429">
        <v>2025</v>
      </c>
      <c r="B429">
        <v>11</v>
      </c>
      <c r="C429" t="s">
        <v>8</v>
      </c>
      <c r="D429" t="s">
        <v>9</v>
      </c>
      <c r="E429" t="s">
        <v>8</v>
      </c>
      <c r="F429" t="s">
        <v>9</v>
      </c>
      <c r="G429" s="2">
        <v>122100</v>
      </c>
      <c r="H429" s="2">
        <v>0</v>
      </c>
      <c r="I429" s="2">
        <v>122100</v>
      </c>
      <c r="J429" s="2" t="str">
        <f>_xlfn.XLOOKUP(Data[[#This Row],[Main SKU]],MD_Main_SKU[Main SKU],MD_Main_SKU[SKU name_gom])</f>
        <v>WSS01</v>
      </c>
      <c r="K429" s="2" t="str">
        <f>_xlfn.XLOOKUP(Data[[#This Row],[Material-Nhập]],MD_Main_SKU[Main SKU],MD_Main_SKU[SKU name_gom])</f>
        <v>WSS01</v>
      </c>
    </row>
    <row r="430" spans="1:11" x14ac:dyDescent="0.35">
      <c r="A430">
        <v>2025</v>
      </c>
      <c r="B430">
        <v>11</v>
      </c>
      <c r="C430" t="s">
        <v>8</v>
      </c>
      <c r="D430" t="s">
        <v>9</v>
      </c>
      <c r="E430" t="s">
        <v>22</v>
      </c>
      <c r="F430" t="s">
        <v>23</v>
      </c>
      <c r="G430" s="2">
        <v>0</v>
      </c>
      <c r="H430" s="2">
        <v>3300</v>
      </c>
      <c r="I430" s="2">
        <v>3300</v>
      </c>
      <c r="J430" s="2" t="str">
        <f>_xlfn.XLOOKUP(Data[[#This Row],[Main SKU]],MD_Main_SKU[Main SKU],MD_Main_SKU[SKU name_gom])</f>
        <v>WSS01</v>
      </c>
      <c r="K430" s="2" t="str">
        <f>_xlfn.XLOOKUP(Data[[#This Row],[Material-Nhập]],MD_Main_SKU[Main SKU],MD_Main_SKU[SKU name_gom])</f>
        <v>WSS03</v>
      </c>
    </row>
    <row r="431" spans="1:11" x14ac:dyDescent="0.35">
      <c r="A431">
        <v>2025</v>
      </c>
      <c r="B431">
        <v>11</v>
      </c>
      <c r="C431" t="s">
        <v>8</v>
      </c>
      <c r="D431" t="s">
        <v>9</v>
      </c>
      <c r="E431" t="s">
        <v>34</v>
      </c>
      <c r="F431" t="s">
        <v>35</v>
      </c>
      <c r="G431" s="2">
        <v>0</v>
      </c>
      <c r="H431" s="2">
        <v>4400</v>
      </c>
      <c r="I431" s="2">
        <v>4400</v>
      </c>
      <c r="J431" s="2" t="str">
        <f>_xlfn.XLOOKUP(Data[[#This Row],[Main SKU]],MD_Main_SKU[Main SKU],MD_Main_SKU[SKU name_gom])</f>
        <v>WSS01</v>
      </c>
      <c r="K431" s="2" t="str">
        <f>_xlfn.XLOOKUP(Data[[#This Row],[Material-Nhập]],MD_Main_SKU[Main SKU],MD_Main_SKU[SKU name_gom])</f>
        <v>WSS03-PL</v>
      </c>
    </row>
    <row r="432" spans="1:11" x14ac:dyDescent="0.35">
      <c r="A432">
        <v>2025</v>
      </c>
      <c r="B432">
        <v>11</v>
      </c>
      <c r="C432" t="s">
        <v>8</v>
      </c>
      <c r="D432" t="s">
        <v>9</v>
      </c>
      <c r="E432" t="s">
        <v>36</v>
      </c>
      <c r="F432" t="s">
        <v>37</v>
      </c>
      <c r="G432" s="2">
        <v>0</v>
      </c>
      <c r="H432" s="2">
        <v>1100</v>
      </c>
      <c r="I432" s="2">
        <v>1100</v>
      </c>
      <c r="J432" s="2" t="str">
        <f>_xlfn.XLOOKUP(Data[[#This Row],[Main SKU]],MD_Main_SKU[Main SKU],MD_Main_SKU[SKU name_gom])</f>
        <v>WSS01</v>
      </c>
      <c r="K432" s="2" t="str">
        <f>_xlfn.XLOOKUP(Data[[#This Row],[Material-Nhập]],MD_Main_SKU[Main SKU],MD_Main_SKU[SKU name_gom])</f>
        <v>WSS01-PL</v>
      </c>
    </row>
    <row r="433" spans="1:11" x14ac:dyDescent="0.35">
      <c r="A433">
        <v>2025</v>
      </c>
      <c r="B433">
        <v>11</v>
      </c>
      <c r="C433" t="s">
        <v>14</v>
      </c>
      <c r="D433" t="s">
        <v>15</v>
      </c>
      <c r="E433" t="s">
        <v>14</v>
      </c>
      <c r="F433" t="s">
        <v>15</v>
      </c>
      <c r="G433" s="2">
        <v>1013900</v>
      </c>
      <c r="H433" s="2">
        <v>0</v>
      </c>
      <c r="I433" s="2">
        <v>1013900</v>
      </c>
      <c r="J433" s="2" t="str">
        <f>_xlfn.XLOOKUP(Data[[#This Row],[Main SKU]],MD_Main_SKU[Main SKU],MD_Main_SKU[SKU name_gom])</f>
        <v>iSS01084</v>
      </c>
      <c r="K433" s="2" t="str">
        <f>_xlfn.XLOOKUP(Data[[#This Row],[Material-Nhập]],MD_Main_SKU[Main SKU],MD_Main_SKU[SKU name_gom])</f>
        <v>iSS01084</v>
      </c>
    </row>
    <row r="434" spans="1:11" x14ac:dyDescent="0.35">
      <c r="A434">
        <v>2025</v>
      </c>
      <c r="B434">
        <v>11</v>
      </c>
      <c r="C434" t="s">
        <v>14</v>
      </c>
      <c r="D434" t="s">
        <v>15</v>
      </c>
      <c r="E434" t="s">
        <v>16</v>
      </c>
      <c r="F434" t="s">
        <v>17</v>
      </c>
      <c r="G434" s="2">
        <v>0</v>
      </c>
      <c r="H434" s="2">
        <v>12100</v>
      </c>
      <c r="I434" s="2">
        <v>12100</v>
      </c>
      <c r="J434" s="2" t="str">
        <f>_xlfn.XLOOKUP(Data[[#This Row],[Main SKU]],MD_Main_SKU[Main SKU],MD_Main_SKU[SKU name_gom])</f>
        <v>iSS01084</v>
      </c>
      <c r="K434" s="2" t="str">
        <f>_xlfn.XLOOKUP(Data[[#This Row],[Material-Nhập]],MD_Main_SKU[Main SKU],MD_Main_SKU[SKU name_gom])</f>
        <v>WSS01</v>
      </c>
    </row>
    <row r="435" spans="1:11" x14ac:dyDescent="0.35">
      <c r="A435">
        <v>2025</v>
      </c>
      <c r="B435">
        <v>11</v>
      </c>
      <c r="C435" t="s">
        <v>14</v>
      </c>
      <c r="D435" t="s">
        <v>15</v>
      </c>
      <c r="E435" t="s">
        <v>18</v>
      </c>
      <c r="F435" t="s">
        <v>19</v>
      </c>
      <c r="G435" s="2">
        <v>0</v>
      </c>
      <c r="H435" s="2">
        <v>19800</v>
      </c>
      <c r="I435" s="2">
        <v>19800</v>
      </c>
      <c r="J435" s="2" t="str">
        <f>_xlfn.XLOOKUP(Data[[#This Row],[Main SKU]],MD_Main_SKU[Main SKU],MD_Main_SKU[SKU name_gom])</f>
        <v>iSS01084</v>
      </c>
      <c r="K435" s="2" t="str">
        <f>_xlfn.XLOOKUP(Data[[#This Row],[Material-Nhập]],MD_Main_SKU[Main SKU],MD_Main_SKU[SKU name_gom])</f>
        <v>iSS01</v>
      </c>
    </row>
    <row r="436" spans="1:11" x14ac:dyDescent="0.35">
      <c r="A436">
        <v>2025</v>
      </c>
      <c r="B436">
        <v>11</v>
      </c>
      <c r="C436" t="s">
        <v>14</v>
      </c>
      <c r="D436" t="s">
        <v>15</v>
      </c>
      <c r="E436" t="s">
        <v>22</v>
      </c>
      <c r="F436" t="s">
        <v>23</v>
      </c>
      <c r="G436" s="2">
        <v>0</v>
      </c>
      <c r="H436" s="2">
        <v>79200</v>
      </c>
      <c r="I436" s="2">
        <v>79200</v>
      </c>
      <c r="J436" s="2" t="str">
        <f>_xlfn.XLOOKUP(Data[[#This Row],[Main SKU]],MD_Main_SKU[Main SKU],MD_Main_SKU[SKU name_gom])</f>
        <v>iSS01084</v>
      </c>
      <c r="K436" s="2" t="str">
        <f>_xlfn.XLOOKUP(Data[[#This Row],[Material-Nhập]],MD_Main_SKU[Main SKU],MD_Main_SKU[SKU name_gom])</f>
        <v>WSS03</v>
      </c>
    </row>
    <row r="437" spans="1:11" x14ac:dyDescent="0.35">
      <c r="A437">
        <v>2025</v>
      </c>
      <c r="B437">
        <v>11</v>
      </c>
      <c r="C437" t="s">
        <v>14</v>
      </c>
      <c r="D437" t="s">
        <v>15</v>
      </c>
      <c r="E437" t="s">
        <v>38</v>
      </c>
      <c r="F437" t="s">
        <v>39</v>
      </c>
      <c r="G437" s="2">
        <v>0</v>
      </c>
      <c r="H437" s="2">
        <v>2200</v>
      </c>
      <c r="I437" s="2">
        <v>2200</v>
      </c>
      <c r="J437" s="2" t="str">
        <f>_xlfn.XLOOKUP(Data[[#This Row],[Main SKU]],MD_Main_SKU[Main SKU],MD_Main_SKU[SKU name_gom])</f>
        <v>iSS01084</v>
      </c>
      <c r="K437" s="2" t="str">
        <f>_xlfn.XLOOKUP(Data[[#This Row],[Material-Nhập]],MD_Main_SKU[Main SKU],MD_Main_SKU[SKU name_gom])</f>
        <v>iSS01084-PL</v>
      </c>
    </row>
    <row r="438" spans="1:11" x14ac:dyDescent="0.35">
      <c r="A438">
        <v>2025</v>
      </c>
      <c r="B438">
        <v>11</v>
      </c>
      <c r="C438" t="s">
        <v>14</v>
      </c>
      <c r="D438" t="s">
        <v>15</v>
      </c>
      <c r="E438" t="s">
        <v>34</v>
      </c>
      <c r="F438" t="s">
        <v>35</v>
      </c>
      <c r="G438" s="2">
        <v>0</v>
      </c>
      <c r="H438" s="2">
        <v>7700</v>
      </c>
      <c r="I438" s="2">
        <v>7700</v>
      </c>
      <c r="J438" s="2" t="str">
        <f>_xlfn.XLOOKUP(Data[[#This Row],[Main SKU]],MD_Main_SKU[Main SKU],MD_Main_SKU[SKU name_gom])</f>
        <v>iSS01084</v>
      </c>
      <c r="K438" s="2" t="str">
        <f>_xlfn.XLOOKUP(Data[[#This Row],[Material-Nhập]],MD_Main_SKU[Main SKU],MD_Main_SKU[SKU name_gom])</f>
        <v>WSS03-PL</v>
      </c>
    </row>
    <row r="439" spans="1:11" x14ac:dyDescent="0.35">
      <c r="A439">
        <v>2025</v>
      </c>
      <c r="B439">
        <v>11</v>
      </c>
      <c r="C439" t="s">
        <v>16</v>
      </c>
      <c r="D439" t="s">
        <v>17</v>
      </c>
      <c r="E439" t="s">
        <v>16</v>
      </c>
      <c r="F439" t="s">
        <v>17</v>
      </c>
      <c r="G439" s="2">
        <v>191400</v>
      </c>
      <c r="H439" s="2">
        <v>0</v>
      </c>
      <c r="I439" s="2">
        <v>191400</v>
      </c>
      <c r="J439" s="2" t="str">
        <f>_xlfn.XLOOKUP(Data[[#This Row],[Main SKU]],MD_Main_SKU[Main SKU],MD_Main_SKU[SKU name_gom])</f>
        <v>WSS01</v>
      </c>
      <c r="K439" s="2" t="str">
        <f>_xlfn.XLOOKUP(Data[[#This Row],[Material-Nhập]],MD_Main_SKU[Main SKU],MD_Main_SKU[SKU name_gom])</f>
        <v>WSS01</v>
      </c>
    </row>
    <row r="440" spans="1:11" x14ac:dyDescent="0.35">
      <c r="A440">
        <v>2025</v>
      </c>
      <c r="B440">
        <v>11</v>
      </c>
      <c r="C440" t="s">
        <v>16</v>
      </c>
      <c r="D440" t="s">
        <v>17</v>
      </c>
      <c r="E440" t="s">
        <v>18</v>
      </c>
      <c r="F440" t="s">
        <v>19</v>
      </c>
      <c r="G440" s="2">
        <v>0</v>
      </c>
      <c r="H440" s="2">
        <v>3300</v>
      </c>
      <c r="I440" s="2">
        <v>3300</v>
      </c>
      <c r="J440" s="2" t="str">
        <f>_xlfn.XLOOKUP(Data[[#This Row],[Main SKU]],MD_Main_SKU[Main SKU],MD_Main_SKU[SKU name_gom])</f>
        <v>WSS01</v>
      </c>
      <c r="K440" s="2" t="str">
        <f>_xlfn.XLOOKUP(Data[[#This Row],[Material-Nhập]],MD_Main_SKU[Main SKU],MD_Main_SKU[SKU name_gom])</f>
        <v>iSS01</v>
      </c>
    </row>
    <row r="441" spans="1:11" x14ac:dyDescent="0.35">
      <c r="A441">
        <v>2025</v>
      </c>
      <c r="B441">
        <v>11</v>
      </c>
      <c r="C441" t="s">
        <v>16</v>
      </c>
      <c r="D441" t="s">
        <v>17</v>
      </c>
      <c r="E441" t="s">
        <v>22</v>
      </c>
      <c r="F441" t="s">
        <v>23</v>
      </c>
      <c r="G441" s="2">
        <v>0</v>
      </c>
      <c r="H441" s="2">
        <v>1100</v>
      </c>
      <c r="I441" s="2">
        <v>1100</v>
      </c>
      <c r="J441" s="2" t="str">
        <f>_xlfn.XLOOKUP(Data[[#This Row],[Main SKU]],MD_Main_SKU[Main SKU],MD_Main_SKU[SKU name_gom])</f>
        <v>WSS01</v>
      </c>
      <c r="K441" s="2" t="str">
        <f>_xlfn.XLOOKUP(Data[[#This Row],[Material-Nhập]],MD_Main_SKU[Main SKU],MD_Main_SKU[SKU name_gom])</f>
        <v>WSS03</v>
      </c>
    </row>
    <row r="442" spans="1:11" x14ac:dyDescent="0.35">
      <c r="A442">
        <v>2025</v>
      </c>
      <c r="B442">
        <v>11</v>
      </c>
      <c r="C442" t="s">
        <v>16</v>
      </c>
      <c r="D442" t="s">
        <v>17</v>
      </c>
      <c r="E442" t="s">
        <v>40</v>
      </c>
      <c r="F442" t="s">
        <v>41</v>
      </c>
      <c r="G442" s="2">
        <v>0</v>
      </c>
      <c r="H442" s="2">
        <v>79200</v>
      </c>
      <c r="I442" s="2">
        <v>79200</v>
      </c>
      <c r="J442" s="2" t="str">
        <f>_xlfn.XLOOKUP(Data[[#This Row],[Main SKU]],MD_Main_SKU[Main SKU],MD_Main_SKU[SKU name_gom])</f>
        <v>WSS01</v>
      </c>
      <c r="K442" s="2" t="str">
        <f>_xlfn.XLOOKUP(Data[[#This Row],[Material-Nhập]],MD_Main_SKU[Main SKU],MD_Main_SKU[SKU name_gom])</f>
        <v>WSS01-PL</v>
      </c>
    </row>
    <row r="443" spans="1:11" x14ac:dyDescent="0.35">
      <c r="A443">
        <v>2025</v>
      </c>
      <c r="B443">
        <v>11</v>
      </c>
      <c r="C443" t="s">
        <v>16</v>
      </c>
      <c r="D443" t="s">
        <v>17</v>
      </c>
      <c r="E443" t="s">
        <v>34</v>
      </c>
      <c r="F443" t="s">
        <v>35</v>
      </c>
      <c r="G443" s="2">
        <v>0</v>
      </c>
      <c r="H443" s="2">
        <v>5500.0000000000009</v>
      </c>
      <c r="I443" s="2">
        <v>5500.0000000000009</v>
      </c>
      <c r="J443" s="2" t="str">
        <f>_xlfn.XLOOKUP(Data[[#This Row],[Main SKU]],MD_Main_SKU[Main SKU],MD_Main_SKU[SKU name_gom])</f>
        <v>WSS01</v>
      </c>
      <c r="K443" s="2" t="str">
        <f>_xlfn.XLOOKUP(Data[[#This Row],[Material-Nhập]],MD_Main_SKU[Main SKU],MD_Main_SKU[SKU name_gom])</f>
        <v>WSS03-PL</v>
      </c>
    </row>
    <row r="444" spans="1:11" x14ac:dyDescent="0.35">
      <c r="A444">
        <v>2025</v>
      </c>
      <c r="B444">
        <v>11</v>
      </c>
      <c r="C444" t="s">
        <v>18</v>
      </c>
      <c r="D444" t="s">
        <v>19</v>
      </c>
      <c r="E444" t="s">
        <v>16</v>
      </c>
      <c r="F444" t="s">
        <v>17</v>
      </c>
      <c r="G444" s="2">
        <v>0</v>
      </c>
      <c r="H444" s="2">
        <v>2200</v>
      </c>
      <c r="I444" s="2">
        <v>2200</v>
      </c>
      <c r="J444" s="2" t="str">
        <f>_xlfn.XLOOKUP(Data[[#This Row],[Main SKU]],MD_Main_SKU[Main SKU],MD_Main_SKU[SKU name_gom])</f>
        <v>iSS01</v>
      </c>
      <c r="K444" s="2" t="str">
        <f>_xlfn.XLOOKUP(Data[[#This Row],[Material-Nhập]],MD_Main_SKU[Main SKU],MD_Main_SKU[SKU name_gom])</f>
        <v>WSS01</v>
      </c>
    </row>
    <row r="445" spans="1:11" x14ac:dyDescent="0.35">
      <c r="A445">
        <v>2025</v>
      </c>
      <c r="B445">
        <v>11</v>
      </c>
      <c r="C445" t="s">
        <v>18</v>
      </c>
      <c r="D445" t="s">
        <v>19</v>
      </c>
      <c r="E445" t="s">
        <v>18</v>
      </c>
      <c r="F445" t="s">
        <v>19</v>
      </c>
      <c r="G445" s="2">
        <v>23100</v>
      </c>
      <c r="H445" s="2">
        <v>0</v>
      </c>
      <c r="I445" s="2">
        <v>23100</v>
      </c>
      <c r="J445" s="2" t="str">
        <f>_xlfn.XLOOKUP(Data[[#This Row],[Main SKU]],MD_Main_SKU[Main SKU],MD_Main_SKU[SKU name_gom])</f>
        <v>iSS01</v>
      </c>
      <c r="K445" s="2" t="str">
        <f>_xlfn.XLOOKUP(Data[[#This Row],[Material-Nhập]],MD_Main_SKU[Main SKU],MD_Main_SKU[SKU name_gom])</f>
        <v>iSS01</v>
      </c>
    </row>
    <row r="446" spans="1:11" x14ac:dyDescent="0.35">
      <c r="A446">
        <v>2025</v>
      </c>
      <c r="B446">
        <v>11</v>
      </c>
      <c r="C446" t="s">
        <v>18</v>
      </c>
      <c r="D446" t="s">
        <v>19</v>
      </c>
      <c r="E446" t="s">
        <v>22</v>
      </c>
      <c r="F446" t="s">
        <v>23</v>
      </c>
      <c r="G446" s="2">
        <v>0</v>
      </c>
      <c r="H446" s="2">
        <v>1100</v>
      </c>
      <c r="I446" s="2">
        <v>1100</v>
      </c>
      <c r="J446" s="2" t="str">
        <f>_xlfn.XLOOKUP(Data[[#This Row],[Main SKU]],MD_Main_SKU[Main SKU],MD_Main_SKU[SKU name_gom])</f>
        <v>iSS01</v>
      </c>
      <c r="K446" s="2" t="str">
        <f>_xlfn.XLOOKUP(Data[[#This Row],[Material-Nhập]],MD_Main_SKU[Main SKU],MD_Main_SKU[SKU name_gom])</f>
        <v>WSS03</v>
      </c>
    </row>
    <row r="447" spans="1:11" x14ac:dyDescent="0.35">
      <c r="A447">
        <v>2025</v>
      </c>
      <c r="B447">
        <v>11</v>
      </c>
      <c r="C447" t="s">
        <v>48</v>
      </c>
      <c r="D447" t="s">
        <v>49</v>
      </c>
      <c r="E447" t="s">
        <v>16</v>
      </c>
      <c r="F447" t="s">
        <v>17</v>
      </c>
      <c r="G447" s="2">
        <v>0</v>
      </c>
      <c r="H447" s="2">
        <v>18700</v>
      </c>
      <c r="I447" s="2">
        <v>18700</v>
      </c>
      <c r="J447" s="2" t="str">
        <f>_xlfn.XLOOKUP(Data[[#This Row],[Main SKU]],MD_Main_SKU[Main SKU],MD_Main_SKU[SKU name_gom])</f>
        <v>WSS01</v>
      </c>
      <c r="K447" s="2" t="str">
        <f>_xlfn.XLOOKUP(Data[[#This Row],[Material-Nhập]],MD_Main_SKU[Main SKU],MD_Main_SKU[SKU name_gom])</f>
        <v>WSS01</v>
      </c>
    </row>
    <row r="448" spans="1:11" x14ac:dyDescent="0.35">
      <c r="A448">
        <v>2025</v>
      </c>
      <c r="B448">
        <v>11</v>
      </c>
      <c r="C448" t="s">
        <v>48</v>
      </c>
      <c r="D448" t="s">
        <v>49</v>
      </c>
      <c r="E448" t="s">
        <v>22</v>
      </c>
      <c r="F448" t="s">
        <v>23</v>
      </c>
      <c r="G448" s="2">
        <v>0</v>
      </c>
      <c r="H448" s="2">
        <v>6600</v>
      </c>
      <c r="I448" s="2">
        <v>6600</v>
      </c>
      <c r="J448" s="2" t="str">
        <f>_xlfn.XLOOKUP(Data[[#This Row],[Main SKU]],MD_Main_SKU[Main SKU],MD_Main_SKU[SKU name_gom])</f>
        <v>WSS01</v>
      </c>
      <c r="K448" s="2" t="str">
        <f>_xlfn.XLOOKUP(Data[[#This Row],[Material-Nhập]],MD_Main_SKU[Main SKU],MD_Main_SKU[SKU name_gom])</f>
        <v>WSS03</v>
      </c>
    </row>
    <row r="449" spans="1:11" x14ac:dyDescent="0.35">
      <c r="A449">
        <v>2025</v>
      </c>
      <c r="B449">
        <v>11</v>
      </c>
      <c r="C449" t="s">
        <v>48</v>
      </c>
      <c r="D449" t="s">
        <v>49</v>
      </c>
      <c r="E449" t="s">
        <v>34</v>
      </c>
      <c r="F449" t="s">
        <v>35</v>
      </c>
      <c r="G449" s="2">
        <v>0</v>
      </c>
      <c r="H449" s="2">
        <v>1100</v>
      </c>
      <c r="I449" s="2">
        <v>1100</v>
      </c>
      <c r="J449" s="2" t="str">
        <f>_xlfn.XLOOKUP(Data[[#This Row],[Main SKU]],MD_Main_SKU[Main SKU],MD_Main_SKU[SKU name_gom])</f>
        <v>WSS01</v>
      </c>
      <c r="K449" s="2" t="str">
        <f>_xlfn.XLOOKUP(Data[[#This Row],[Material-Nhập]],MD_Main_SKU[Main SKU],MD_Main_SKU[SKU name_gom])</f>
        <v>WSS03-PL</v>
      </c>
    </row>
    <row r="450" spans="1:11" x14ac:dyDescent="0.35">
      <c r="A450">
        <v>2025</v>
      </c>
      <c r="B450">
        <v>11</v>
      </c>
      <c r="C450" t="s">
        <v>48</v>
      </c>
      <c r="D450" t="s">
        <v>49</v>
      </c>
      <c r="E450" t="s">
        <v>48</v>
      </c>
      <c r="F450" t="s">
        <v>49</v>
      </c>
      <c r="G450" s="2">
        <v>104500</v>
      </c>
      <c r="H450" s="2">
        <v>0</v>
      </c>
      <c r="I450" s="2">
        <v>104500</v>
      </c>
      <c r="J450" s="2" t="str">
        <f>_xlfn.XLOOKUP(Data[[#This Row],[Main SKU]],MD_Main_SKU[Main SKU],MD_Main_SKU[SKU name_gom])</f>
        <v>WSS01</v>
      </c>
      <c r="K450" s="2" t="str">
        <f>_xlfn.XLOOKUP(Data[[#This Row],[Material-Nhập]],MD_Main_SKU[Main SKU],MD_Main_SKU[SKU name_gom])</f>
        <v>WSS01</v>
      </c>
    </row>
    <row r="451" spans="1:11" x14ac:dyDescent="0.35">
      <c r="A451">
        <v>2025</v>
      </c>
      <c r="B451">
        <v>11</v>
      </c>
      <c r="C451" t="s">
        <v>48</v>
      </c>
      <c r="D451" t="s">
        <v>49</v>
      </c>
      <c r="E451" t="s">
        <v>60</v>
      </c>
      <c r="F451" t="s">
        <v>61</v>
      </c>
      <c r="G451" s="2">
        <v>0</v>
      </c>
      <c r="H451" s="2">
        <v>1100</v>
      </c>
      <c r="I451" s="2">
        <v>1100</v>
      </c>
      <c r="J451" s="2" t="str">
        <f>_xlfn.XLOOKUP(Data[[#This Row],[Main SKU]],MD_Main_SKU[Main SKU],MD_Main_SKU[SKU name_gom])</f>
        <v>WSS01</v>
      </c>
      <c r="K451" s="2" t="str">
        <f>_xlfn.XLOOKUP(Data[[#This Row],[Material-Nhập]],MD_Main_SKU[Main SKU],MD_Main_SKU[SKU name_gom])</f>
        <v>WSS01-PL</v>
      </c>
    </row>
    <row r="452" spans="1:11" x14ac:dyDescent="0.35">
      <c r="A452">
        <v>2025</v>
      </c>
      <c r="B452">
        <v>12</v>
      </c>
      <c r="C452" t="s">
        <v>8</v>
      </c>
      <c r="D452" t="s">
        <v>9</v>
      </c>
      <c r="E452" t="s">
        <v>8</v>
      </c>
      <c r="F452" t="s">
        <v>9</v>
      </c>
      <c r="G452" s="2">
        <v>191400</v>
      </c>
      <c r="H452" s="2">
        <v>0</v>
      </c>
      <c r="I452" s="2">
        <v>191400</v>
      </c>
      <c r="J452" s="2" t="str">
        <f>_xlfn.XLOOKUP(Data[[#This Row],[Main SKU]],MD_Main_SKU[Main SKU],MD_Main_SKU[SKU name_gom])</f>
        <v>WSS01</v>
      </c>
      <c r="K452" s="2" t="str">
        <f>_xlfn.XLOOKUP(Data[[#This Row],[Material-Nhập]],MD_Main_SKU[Main SKU],MD_Main_SKU[SKU name_gom])</f>
        <v>WSS01</v>
      </c>
    </row>
    <row r="453" spans="1:11" x14ac:dyDescent="0.35">
      <c r="A453">
        <v>2025</v>
      </c>
      <c r="B453">
        <v>12</v>
      </c>
      <c r="C453" t="s">
        <v>8</v>
      </c>
      <c r="D453" t="s">
        <v>9</v>
      </c>
      <c r="E453" t="s">
        <v>22</v>
      </c>
      <c r="F453" t="s">
        <v>23</v>
      </c>
      <c r="G453" s="2">
        <v>0</v>
      </c>
      <c r="H453" s="2">
        <v>5500</v>
      </c>
      <c r="I453" s="2">
        <v>5500</v>
      </c>
      <c r="J453" s="2" t="str">
        <f>_xlfn.XLOOKUP(Data[[#This Row],[Main SKU]],MD_Main_SKU[Main SKU],MD_Main_SKU[SKU name_gom])</f>
        <v>WSS01</v>
      </c>
      <c r="K453" s="2" t="str">
        <f>_xlfn.XLOOKUP(Data[[#This Row],[Material-Nhập]],MD_Main_SKU[Main SKU],MD_Main_SKU[SKU name_gom])</f>
        <v>WSS03</v>
      </c>
    </row>
    <row r="454" spans="1:11" x14ac:dyDescent="0.35">
      <c r="A454">
        <v>2025</v>
      </c>
      <c r="B454">
        <v>12</v>
      </c>
      <c r="C454" t="s">
        <v>8</v>
      </c>
      <c r="D454" t="s">
        <v>9</v>
      </c>
      <c r="E454" t="s">
        <v>34</v>
      </c>
      <c r="F454" t="s">
        <v>35</v>
      </c>
      <c r="G454" s="2">
        <v>0</v>
      </c>
      <c r="H454" s="2">
        <v>8800</v>
      </c>
      <c r="I454" s="2">
        <v>8800</v>
      </c>
      <c r="J454" s="2" t="str">
        <f>_xlfn.XLOOKUP(Data[[#This Row],[Main SKU]],MD_Main_SKU[Main SKU],MD_Main_SKU[SKU name_gom])</f>
        <v>WSS01</v>
      </c>
      <c r="K454" s="2" t="str">
        <f>_xlfn.XLOOKUP(Data[[#This Row],[Material-Nhập]],MD_Main_SKU[Main SKU],MD_Main_SKU[SKU name_gom])</f>
        <v>WSS03-PL</v>
      </c>
    </row>
    <row r="455" spans="1:11" x14ac:dyDescent="0.35">
      <c r="A455">
        <v>2025</v>
      </c>
      <c r="B455">
        <v>12</v>
      </c>
      <c r="C455" t="s">
        <v>8</v>
      </c>
      <c r="D455" t="s">
        <v>9</v>
      </c>
      <c r="E455" t="s">
        <v>36</v>
      </c>
      <c r="F455" t="s">
        <v>37</v>
      </c>
      <c r="G455" s="2">
        <v>0</v>
      </c>
      <c r="H455" s="2">
        <v>29700</v>
      </c>
      <c r="I455" s="2">
        <v>29700</v>
      </c>
      <c r="J455" s="2" t="str">
        <f>_xlfn.XLOOKUP(Data[[#This Row],[Main SKU]],MD_Main_SKU[Main SKU],MD_Main_SKU[SKU name_gom])</f>
        <v>WSS01</v>
      </c>
      <c r="K455" s="2" t="str">
        <f>_xlfn.XLOOKUP(Data[[#This Row],[Material-Nhập]],MD_Main_SKU[Main SKU],MD_Main_SKU[SKU name_gom])</f>
        <v>WSS01-PL</v>
      </c>
    </row>
    <row r="456" spans="1:11" x14ac:dyDescent="0.35">
      <c r="A456">
        <v>2025</v>
      </c>
      <c r="B456">
        <v>12</v>
      </c>
      <c r="C456" t="s">
        <v>14</v>
      </c>
      <c r="D456" t="s">
        <v>15</v>
      </c>
      <c r="E456" t="s">
        <v>14</v>
      </c>
      <c r="F456" t="s">
        <v>15</v>
      </c>
      <c r="G456" s="2">
        <v>898700</v>
      </c>
      <c r="H456" s="2">
        <v>0</v>
      </c>
      <c r="I456" s="2">
        <v>898700</v>
      </c>
      <c r="J456" s="2" t="str">
        <f>_xlfn.XLOOKUP(Data[[#This Row],[Main SKU]],MD_Main_SKU[Main SKU],MD_Main_SKU[SKU name_gom])</f>
        <v>iSS01084</v>
      </c>
      <c r="K456" s="2" t="str">
        <f>_xlfn.XLOOKUP(Data[[#This Row],[Material-Nhập]],MD_Main_SKU[Main SKU],MD_Main_SKU[SKU name_gom])</f>
        <v>iSS01084</v>
      </c>
    </row>
    <row r="457" spans="1:11" x14ac:dyDescent="0.35">
      <c r="A457">
        <v>2025</v>
      </c>
      <c r="B457">
        <v>12</v>
      </c>
      <c r="C457" t="s">
        <v>14</v>
      </c>
      <c r="D457" t="s">
        <v>15</v>
      </c>
      <c r="E457" t="s">
        <v>16</v>
      </c>
      <c r="F457" t="s">
        <v>17</v>
      </c>
      <c r="G457" s="2">
        <v>0</v>
      </c>
      <c r="H457" s="2">
        <v>16500</v>
      </c>
      <c r="I457" s="2">
        <v>16500</v>
      </c>
      <c r="J457" s="2" t="str">
        <f>_xlfn.XLOOKUP(Data[[#This Row],[Main SKU]],MD_Main_SKU[Main SKU],MD_Main_SKU[SKU name_gom])</f>
        <v>iSS01084</v>
      </c>
      <c r="K457" s="2" t="str">
        <f>_xlfn.XLOOKUP(Data[[#This Row],[Material-Nhập]],MD_Main_SKU[Main SKU],MD_Main_SKU[SKU name_gom])</f>
        <v>WSS01</v>
      </c>
    </row>
    <row r="458" spans="1:11" x14ac:dyDescent="0.35">
      <c r="A458">
        <v>2025</v>
      </c>
      <c r="B458">
        <v>12</v>
      </c>
      <c r="C458" t="s">
        <v>14</v>
      </c>
      <c r="D458" t="s">
        <v>15</v>
      </c>
      <c r="E458" t="s">
        <v>18</v>
      </c>
      <c r="F458" t="s">
        <v>19</v>
      </c>
      <c r="G458" s="2">
        <v>0</v>
      </c>
      <c r="H458" s="2">
        <v>6600</v>
      </c>
      <c r="I458" s="2">
        <v>6600</v>
      </c>
      <c r="J458" s="2" t="str">
        <f>_xlfn.XLOOKUP(Data[[#This Row],[Main SKU]],MD_Main_SKU[Main SKU],MD_Main_SKU[SKU name_gom])</f>
        <v>iSS01084</v>
      </c>
      <c r="K458" s="2" t="str">
        <f>_xlfn.XLOOKUP(Data[[#This Row],[Material-Nhập]],MD_Main_SKU[Main SKU],MD_Main_SKU[SKU name_gom])</f>
        <v>iSS01</v>
      </c>
    </row>
    <row r="459" spans="1:11" x14ac:dyDescent="0.35">
      <c r="A459">
        <v>2025</v>
      </c>
      <c r="B459">
        <v>12</v>
      </c>
      <c r="C459" t="s">
        <v>14</v>
      </c>
      <c r="D459" t="s">
        <v>15</v>
      </c>
      <c r="E459" t="s">
        <v>22</v>
      </c>
      <c r="F459" t="s">
        <v>23</v>
      </c>
      <c r="G459" s="2">
        <v>0</v>
      </c>
      <c r="H459" s="2">
        <v>27499.999999999996</v>
      </c>
      <c r="I459" s="2">
        <v>27499.999999999996</v>
      </c>
      <c r="J459" s="2" t="str">
        <f>_xlfn.XLOOKUP(Data[[#This Row],[Main SKU]],MD_Main_SKU[Main SKU],MD_Main_SKU[SKU name_gom])</f>
        <v>iSS01084</v>
      </c>
      <c r="K459" s="2" t="str">
        <f>_xlfn.XLOOKUP(Data[[#This Row],[Material-Nhập]],MD_Main_SKU[Main SKU],MD_Main_SKU[SKU name_gom])</f>
        <v>WSS03</v>
      </c>
    </row>
    <row r="460" spans="1:11" x14ac:dyDescent="0.35">
      <c r="A460">
        <v>2025</v>
      </c>
      <c r="B460">
        <v>12</v>
      </c>
      <c r="C460" t="s">
        <v>14</v>
      </c>
      <c r="D460" t="s">
        <v>15</v>
      </c>
      <c r="E460" t="s">
        <v>42</v>
      </c>
      <c r="F460" t="s">
        <v>43</v>
      </c>
      <c r="G460" s="2">
        <v>0</v>
      </c>
      <c r="H460" s="2">
        <v>2199.9999999999995</v>
      </c>
      <c r="I460" s="2">
        <v>2199.9999999999995</v>
      </c>
      <c r="J460" s="2" t="str">
        <f>_xlfn.XLOOKUP(Data[[#This Row],[Main SKU]],MD_Main_SKU[Main SKU],MD_Main_SKU[SKU name_gom])</f>
        <v>iSS01084</v>
      </c>
      <c r="K460" s="2" t="str">
        <f>_xlfn.XLOOKUP(Data[[#This Row],[Material-Nhập]],MD_Main_SKU[Main SKU],MD_Main_SKU[SKU name_gom])</f>
        <v>iSS01-PL</v>
      </c>
    </row>
    <row r="461" spans="1:11" x14ac:dyDescent="0.35">
      <c r="A461">
        <v>2025</v>
      </c>
      <c r="B461">
        <v>12</v>
      </c>
      <c r="C461" t="s">
        <v>14</v>
      </c>
      <c r="D461" t="s">
        <v>15</v>
      </c>
      <c r="E461" t="s">
        <v>38</v>
      </c>
      <c r="F461" t="s">
        <v>39</v>
      </c>
      <c r="G461" s="2">
        <v>0</v>
      </c>
      <c r="H461" s="2">
        <v>2200</v>
      </c>
      <c r="I461" s="2">
        <v>2200</v>
      </c>
      <c r="J461" s="2" t="str">
        <f>_xlfn.XLOOKUP(Data[[#This Row],[Main SKU]],MD_Main_SKU[Main SKU],MD_Main_SKU[SKU name_gom])</f>
        <v>iSS01084</v>
      </c>
      <c r="K461" s="2" t="str">
        <f>_xlfn.XLOOKUP(Data[[#This Row],[Material-Nhập]],MD_Main_SKU[Main SKU],MD_Main_SKU[SKU name_gom])</f>
        <v>iSS01084-PL</v>
      </c>
    </row>
    <row r="462" spans="1:11" x14ac:dyDescent="0.35">
      <c r="A462">
        <v>2025</v>
      </c>
      <c r="B462">
        <v>12</v>
      </c>
      <c r="C462" t="s">
        <v>14</v>
      </c>
      <c r="D462" t="s">
        <v>15</v>
      </c>
      <c r="E462" t="s">
        <v>34</v>
      </c>
      <c r="F462" t="s">
        <v>35</v>
      </c>
      <c r="G462" s="2">
        <v>0</v>
      </c>
      <c r="H462" s="2">
        <v>8800</v>
      </c>
      <c r="I462" s="2">
        <v>8800</v>
      </c>
      <c r="J462" s="2" t="str">
        <f>_xlfn.XLOOKUP(Data[[#This Row],[Main SKU]],MD_Main_SKU[Main SKU],MD_Main_SKU[SKU name_gom])</f>
        <v>iSS01084</v>
      </c>
      <c r="K462" s="2" t="str">
        <f>_xlfn.XLOOKUP(Data[[#This Row],[Material-Nhập]],MD_Main_SKU[Main SKU],MD_Main_SKU[SKU name_gom])</f>
        <v>WSS03-PL</v>
      </c>
    </row>
    <row r="463" spans="1:11" x14ac:dyDescent="0.35">
      <c r="A463">
        <v>2025</v>
      </c>
      <c r="B463">
        <v>12</v>
      </c>
      <c r="C463" t="s">
        <v>16</v>
      </c>
      <c r="D463" t="s">
        <v>17</v>
      </c>
      <c r="E463" t="s">
        <v>14</v>
      </c>
      <c r="F463" t="s">
        <v>15</v>
      </c>
      <c r="G463" s="2">
        <v>0</v>
      </c>
      <c r="H463" s="2">
        <v>12100</v>
      </c>
      <c r="I463" s="2">
        <v>12100</v>
      </c>
      <c r="J463" s="2" t="str">
        <f>_xlfn.XLOOKUP(Data[[#This Row],[Main SKU]],MD_Main_SKU[Main SKU],MD_Main_SKU[SKU name_gom])</f>
        <v>WSS01</v>
      </c>
      <c r="K463" s="2" t="str">
        <f>_xlfn.XLOOKUP(Data[[#This Row],[Material-Nhập]],MD_Main_SKU[Main SKU],MD_Main_SKU[SKU name_gom])</f>
        <v>iSS01084</v>
      </c>
    </row>
    <row r="464" spans="1:11" x14ac:dyDescent="0.35">
      <c r="A464">
        <v>2025</v>
      </c>
      <c r="B464">
        <v>12</v>
      </c>
      <c r="C464" t="s">
        <v>16</v>
      </c>
      <c r="D464" t="s">
        <v>17</v>
      </c>
      <c r="E464" t="s">
        <v>16</v>
      </c>
      <c r="F464" t="s">
        <v>17</v>
      </c>
      <c r="G464" s="2">
        <v>1202300</v>
      </c>
      <c r="H464" s="2">
        <v>0</v>
      </c>
      <c r="I464" s="2">
        <v>1202300</v>
      </c>
      <c r="J464" s="2" t="str">
        <f>_xlfn.XLOOKUP(Data[[#This Row],[Main SKU]],MD_Main_SKU[Main SKU],MD_Main_SKU[SKU name_gom])</f>
        <v>WSS01</v>
      </c>
      <c r="K464" s="2" t="str">
        <f>_xlfn.XLOOKUP(Data[[#This Row],[Material-Nhập]],MD_Main_SKU[Main SKU],MD_Main_SKU[SKU name_gom])</f>
        <v>WSS01</v>
      </c>
    </row>
    <row r="465" spans="1:11" x14ac:dyDescent="0.35">
      <c r="A465">
        <v>2025</v>
      </c>
      <c r="B465">
        <v>12</v>
      </c>
      <c r="C465" t="s">
        <v>16</v>
      </c>
      <c r="D465" t="s">
        <v>17</v>
      </c>
      <c r="E465" t="s">
        <v>18</v>
      </c>
      <c r="F465" t="s">
        <v>19</v>
      </c>
      <c r="G465" s="2">
        <v>0</v>
      </c>
      <c r="H465" s="2">
        <v>52800</v>
      </c>
      <c r="I465" s="2">
        <v>52800</v>
      </c>
      <c r="J465" s="2" t="str">
        <f>_xlfn.XLOOKUP(Data[[#This Row],[Main SKU]],MD_Main_SKU[Main SKU],MD_Main_SKU[SKU name_gom])</f>
        <v>WSS01</v>
      </c>
      <c r="K465" s="2" t="str">
        <f>_xlfn.XLOOKUP(Data[[#This Row],[Material-Nhập]],MD_Main_SKU[Main SKU],MD_Main_SKU[SKU name_gom])</f>
        <v>iSS01</v>
      </c>
    </row>
    <row r="466" spans="1:11" x14ac:dyDescent="0.35">
      <c r="A466">
        <v>2025</v>
      </c>
      <c r="B466">
        <v>12</v>
      </c>
      <c r="C466" t="s">
        <v>16</v>
      </c>
      <c r="D466" t="s">
        <v>17</v>
      </c>
      <c r="E466" t="s">
        <v>22</v>
      </c>
      <c r="F466" t="s">
        <v>23</v>
      </c>
      <c r="G466" s="2">
        <v>0</v>
      </c>
      <c r="H466" s="2">
        <v>15400</v>
      </c>
      <c r="I466" s="2">
        <v>15400</v>
      </c>
      <c r="J466" s="2" t="str">
        <f>_xlfn.XLOOKUP(Data[[#This Row],[Main SKU]],MD_Main_SKU[Main SKU],MD_Main_SKU[SKU name_gom])</f>
        <v>WSS01</v>
      </c>
      <c r="K466" s="2" t="str">
        <f>_xlfn.XLOOKUP(Data[[#This Row],[Material-Nhập]],MD_Main_SKU[Main SKU],MD_Main_SKU[SKU name_gom])</f>
        <v>WSS03</v>
      </c>
    </row>
    <row r="467" spans="1:11" x14ac:dyDescent="0.35">
      <c r="A467">
        <v>2025</v>
      </c>
      <c r="B467">
        <v>12</v>
      </c>
      <c r="C467" t="s">
        <v>16</v>
      </c>
      <c r="D467" t="s">
        <v>17</v>
      </c>
      <c r="E467" t="s">
        <v>40</v>
      </c>
      <c r="F467" t="s">
        <v>41</v>
      </c>
      <c r="G467" s="2">
        <v>0</v>
      </c>
      <c r="H467" s="2">
        <v>9900</v>
      </c>
      <c r="I467" s="2">
        <v>9900</v>
      </c>
      <c r="J467" s="2" t="str">
        <f>_xlfn.XLOOKUP(Data[[#This Row],[Main SKU]],MD_Main_SKU[Main SKU],MD_Main_SKU[SKU name_gom])</f>
        <v>WSS01</v>
      </c>
      <c r="K467" s="2" t="str">
        <f>_xlfn.XLOOKUP(Data[[#This Row],[Material-Nhập]],MD_Main_SKU[Main SKU],MD_Main_SKU[SKU name_gom])</f>
        <v>WSS01-PL</v>
      </c>
    </row>
    <row r="468" spans="1:11" x14ac:dyDescent="0.35">
      <c r="A468">
        <v>2025</v>
      </c>
      <c r="B468">
        <v>12</v>
      </c>
      <c r="C468" t="s">
        <v>16</v>
      </c>
      <c r="D468" t="s">
        <v>17</v>
      </c>
      <c r="E468" t="s">
        <v>34</v>
      </c>
      <c r="F468" t="s">
        <v>35</v>
      </c>
      <c r="G468" s="2">
        <v>0</v>
      </c>
      <c r="H468" s="2">
        <v>8800</v>
      </c>
      <c r="I468" s="2">
        <v>8800</v>
      </c>
      <c r="J468" s="2" t="str">
        <f>_xlfn.XLOOKUP(Data[[#This Row],[Main SKU]],MD_Main_SKU[Main SKU],MD_Main_SKU[SKU name_gom])</f>
        <v>WSS01</v>
      </c>
      <c r="K468" s="2" t="str">
        <f>_xlfn.XLOOKUP(Data[[#This Row],[Material-Nhập]],MD_Main_SKU[Main SKU],MD_Main_SKU[SKU name_gom])</f>
        <v>WSS03-PL</v>
      </c>
    </row>
    <row r="469" spans="1:11" x14ac:dyDescent="0.35">
      <c r="A469">
        <v>2025</v>
      </c>
      <c r="B469">
        <v>12</v>
      </c>
      <c r="C469" t="s">
        <v>18</v>
      </c>
      <c r="D469" t="s">
        <v>19</v>
      </c>
      <c r="E469" t="s">
        <v>16</v>
      </c>
      <c r="F469" t="s">
        <v>17</v>
      </c>
      <c r="G469" s="2">
        <v>0</v>
      </c>
      <c r="H469" s="2">
        <v>3300</v>
      </c>
      <c r="I469" s="2">
        <v>3300</v>
      </c>
      <c r="J469" s="2" t="str">
        <f>_xlfn.XLOOKUP(Data[[#This Row],[Main SKU]],MD_Main_SKU[Main SKU],MD_Main_SKU[SKU name_gom])</f>
        <v>iSS01</v>
      </c>
      <c r="K469" s="2" t="str">
        <f>_xlfn.XLOOKUP(Data[[#This Row],[Material-Nhập]],MD_Main_SKU[Main SKU],MD_Main_SKU[SKU name_gom])</f>
        <v>WSS01</v>
      </c>
    </row>
    <row r="470" spans="1:11" x14ac:dyDescent="0.35">
      <c r="A470">
        <v>2025</v>
      </c>
      <c r="B470">
        <v>12</v>
      </c>
      <c r="C470" t="s">
        <v>18</v>
      </c>
      <c r="D470" t="s">
        <v>19</v>
      </c>
      <c r="E470" t="s">
        <v>18</v>
      </c>
      <c r="F470" t="s">
        <v>19</v>
      </c>
      <c r="G470" s="2">
        <v>26400</v>
      </c>
      <c r="H470" s="2">
        <v>0</v>
      </c>
      <c r="I470" s="2">
        <v>26400</v>
      </c>
      <c r="J470" s="2" t="str">
        <f>_xlfn.XLOOKUP(Data[[#This Row],[Main SKU]],MD_Main_SKU[Main SKU],MD_Main_SKU[SKU name_gom])</f>
        <v>iSS01</v>
      </c>
      <c r="K470" s="2" t="str">
        <f>_xlfn.XLOOKUP(Data[[#This Row],[Material-Nhập]],MD_Main_SKU[Main SKU],MD_Main_SKU[SKU name_gom])</f>
        <v>iSS01</v>
      </c>
    </row>
    <row r="471" spans="1:11" x14ac:dyDescent="0.35">
      <c r="A471">
        <v>2025</v>
      </c>
      <c r="B471">
        <v>12</v>
      </c>
      <c r="C471" t="s">
        <v>22</v>
      </c>
      <c r="D471" t="s">
        <v>23</v>
      </c>
      <c r="E471" t="s">
        <v>22</v>
      </c>
      <c r="F471" t="s">
        <v>23</v>
      </c>
      <c r="G471" s="2">
        <v>507100</v>
      </c>
      <c r="H471" s="2">
        <v>0</v>
      </c>
      <c r="I471" s="2">
        <v>507100</v>
      </c>
      <c r="J471" s="2" t="str">
        <f>_xlfn.XLOOKUP(Data[[#This Row],[Main SKU]],MD_Main_SKU[Main SKU],MD_Main_SKU[SKU name_gom])</f>
        <v>WSS03</v>
      </c>
      <c r="K471" s="2" t="str">
        <f>_xlfn.XLOOKUP(Data[[#This Row],[Material-Nhập]],MD_Main_SKU[Main SKU],MD_Main_SKU[SKU name_gom])</f>
        <v>WSS03</v>
      </c>
    </row>
    <row r="472" spans="1:11" x14ac:dyDescent="0.35">
      <c r="A472">
        <v>2025</v>
      </c>
      <c r="B472">
        <v>12</v>
      </c>
      <c r="C472" t="s">
        <v>22</v>
      </c>
      <c r="D472" t="s">
        <v>23</v>
      </c>
      <c r="E472" t="s">
        <v>34</v>
      </c>
      <c r="F472" t="s">
        <v>35</v>
      </c>
      <c r="G472" s="2">
        <v>0</v>
      </c>
      <c r="H472" s="2">
        <v>6600</v>
      </c>
      <c r="I472" s="2">
        <v>6600</v>
      </c>
      <c r="J472" s="2" t="str">
        <f>_xlfn.XLOOKUP(Data[[#This Row],[Main SKU]],MD_Main_SKU[Main SKU],MD_Main_SKU[SKU name_gom])</f>
        <v>WSS03</v>
      </c>
      <c r="K472" s="2" t="str">
        <f>_xlfn.XLOOKUP(Data[[#This Row],[Material-Nhập]],MD_Main_SKU[Main SKU],MD_Main_SKU[SKU name_gom])</f>
        <v>WSS03-PL</v>
      </c>
    </row>
    <row r="473" spans="1:11" x14ac:dyDescent="0.35">
      <c r="A473">
        <v>2025</v>
      </c>
      <c r="B473">
        <v>12</v>
      </c>
      <c r="C473" t="s">
        <v>48</v>
      </c>
      <c r="D473" t="s">
        <v>49</v>
      </c>
      <c r="E473" t="s">
        <v>16</v>
      </c>
      <c r="F473" t="s">
        <v>17</v>
      </c>
      <c r="G473" s="2">
        <v>0</v>
      </c>
      <c r="H473" s="2">
        <v>2200</v>
      </c>
      <c r="I473" s="2">
        <v>2200</v>
      </c>
      <c r="J473" s="2" t="str">
        <f>_xlfn.XLOOKUP(Data[[#This Row],[Main SKU]],MD_Main_SKU[Main SKU],MD_Main_SKU[SKU name_gom])</f>
        <v>WSS01</v>
      </c>
      <c r="K473" s="2" t="str">
        <f>_xlfn.XLOOKUP(Data[[#This Row],[Material-Nhập]],MD_Main_SKU[Main SKU],MD_Main_SKU[SKU name_gom])</f>
        <v>WSS01</v>
      </c>
    </row>
    <row r="474" spans="1:11" x14ac:dyDescent="0.35">
      <c r="A474">
        <v>2025</v>
      </c>
      <c r="B474">
        <v>12</v>
      </c>
      <c r="C474" t="s">
        <v>48</v>
      </c>
      <c r="D474" t="s">
        <v>49</v>
      </c>
      <c r="E474" t="s">
        <v>48</v>
      </c>
      <c r="F474" t="s">
        <v>49</v>
      </c>
      <c r="G474" s="2">
        <v>33000</v>
      </c>
      <c r="H474" s="2">
        <v>0</v>
      </c>
      <c r="I474" s="2">
        <v>33000</v>
      </c>
      <c r="J474" s="2" t="str">
        <f>_xlfn.XLOOKUP(Data[[#This Row],[Main SKU]],MD_Main_SKU[Main SKU],MD_Main_SKU[SKU name_gom])</f>
        <v>WSS01</v>
      </c>
      <c r="K474" s="2" t="str">
        <f>_xlfn.XLOOKUP(Data[[#This Row],[Material-Nhập]],MD_Main_SKU[Main SKU],MD_Main_SKU[SKU name_gom])</f>
        <v>WSS01</v>
      </c>
    </row>
    <row r="475" spans="1:11" x14ac:dyDescent="0.35">
      <c r="A475">
        <v>2026</v>
      </c>
      <c r="B475">
        <v>1</v>
      </c>
      <c r="C475" t="s">
        <v>8</v>
      </c>
      <c r="D475" t="s">
        <v>9</v>
      </c>
      <c r="E475" t="s">
        <v>8</v>
      </c>
      <c r="F475" t="s">
        <v>9</v>
      </c>
      <c r="G475" s="2">
        <v>25300</v>
      </c>
      <c r="H475" s="2">
        <v>0</v>
      </c>
      <c r="I475" s="2">
        <v>25300</v>
      </c>
      <c r="J475" s="2" t="str">
        <f>_xlfn.XLOOKUP(Data[[#This Row],[Main SKU]],MD_Main_SKU[Main SKU],MD_Main_SKU[SKU name_gom])</f>
        <v>WSS01</v>
      </c>
      <c r="K475" s="2" t="str">
        <f>_xlfn.XLOOKUP(Data[[#This Row],[Material-Nhập]],MD_Main_SKU[Main SKU],MD_Main_SKU[SKU name_gom])</f>
        <v>WSS01</v>
      </c>
    </row>
    <row r="476" spans="1:11" x14ac:dyDescent="0.35">
      <c r="A476">
        <v>2026</v>
      </c>
      <c r="B476">
        <v>1</v>
      </c>
      <c r="C476" t="s">
        <v>8</v>
      </c>
      <c r="D476" t="s">
        <v>9</v>
      </c>
      <c r="E476" t="s">
        <v>22</v>
      </c>
      <c r="F476" t="s">
        <v>23</v>
      </c>
      <c r="G476" s="2">
        <v>0</v>
      </c>
      <c r="H476" s="2">
        <v>2200</v>
      </c>
      <c r="I476" s="2">
        <v>2200</v>
      </c>
      <c r="J476" s="2" t="str">
        <f>_xlfn.XLOOKUP(Data[[#This Row],[Main SKU]],MD_Main_SKU[Main SKU],MD_Main_SKU[SKU name_gom])</f>
        <v>WSS01</v>
      </c>
      <c r="K476" s="2" t="str">
        <f>_xlfn.XLOOKUP(Data[[#This Row],[Material-Nhập]],MD_Main_SKU[Main SKU],MD_Main_SKU[SKU name_gom])</f>
        <v>WSS03</v>
      </c>
    </row>
    <row r="477" spans="1:11" x14ac:dyDescent="0.35">
      <c r="A477">
        <v>2026</v>
      </c>
      <c r="B477">
        <v>1</v>
      </c>
      <c r="C477" t="s">
        <v>8</v>
      </c>
      <c r="D477" t="s">
        <v>9</v>
      </c>
      <c r="E477" t="s">
        <v>36</v>
      </c>
      <c r="F477" t="s">
        <v>37</v>
      </c>
      <c r="G477" s="2">
        <v>0</v>
      </c>
      <c r="H477" s="2">
        <v>6600</v>
      </c>
      <c r="I477" s="2">
        <v>6600</v>
      </c>
      <c r="J477" s="2" t="str">
        <f>_xlfn.XLOOKUP(Data[[#This Row],[Main SKU]],MD_Main_SKU[Main SKU],MD_Main_SKU[SKU name_gom])</f>
        <v>WSS01</v>
      </c>
      <c r="K477" s="2" t="str">
        <f>_xlfn.XLOOKUP(Data[[#This Row],[Material-Nhập]],MD_Main_SKU[Main SKU],MD_Main_SKU[SKU name_gom])</f>
        <v>WSS01-PL</v>
      </c>
    </row>
    <row r="478" spans="1:11" x14ac:dyDescent="0.35">
      <c r="A478">
        <v>2026</v>
      </c>
      <c r="B478">
        <v>1</v>
      </c>
      <c r="C478" t="s">
        <v>14</v>
      </c>
      <c r="D478" t="s">
        <v>15</v>
      </c>
      <c r="E478" t="s">
        <v>14</v>
      </c>
      <c r="F478" t="s">
        <v>15</v>
      </c>
      <c r="G478" s="2">
        <v>301399.99999999994</v>
      </c>
      <c r="H478" s="2">
        <v>0</v>
      </c>
      <c r="I478" s="2">
        <v>301399.99999999994</v>
      </c>
      <c r="J478" s="2" t="str">
        <f>_xlfn.XLOOKUP(Data[[#This Row],[Main SKU]],MD_Main_SKU[Main SKU],MD_Main_SKU[SKU name_gom])</f>
        <v>iSS01084</v>
      </c>
      <c r="K478" s="2" t="str">
        <f>_xlfn.XLOOKUP(Data[[#This Row],[Material-Nhập]],MD_Main_SKU[Main SKU],MD_Main_SKU[SKU name_gom])</f>
        <v>iSS01084</v>
      </c>
    </row>
    <row r="479" spans="1:11" x14ac:dyDescent="0.35">
      <c r="A479">
        <v>2026</v>
      </c>
      <c r="B479">
        <v>1</v>
      </c>
      <c r="C479" t="s">
        <v>14</v>
      </c>
      <c r="D479" t="s">
        <v>15</v>
      </c>
      <c r="E479" t="s">
        <v>18</v>
      </c>
      <c r="F479" t="s">
        <v>19</v>
      </c>
      <c r="G479" s="2">
        <v>0</v>
      </c>
      <c r="H479" s="2">
        <v>1100</v>
      </c>
      <c r="I479" s="2">
        <v>1100</v>
      </c>
      <c r="J479" s="2" t="str">
        <f>_xlfn.XLOOKUP(Data[[#This Row],[Main SKU]],MD_Main_SKU[Main SKU],MD_Main_SKU[SKU name_gom])</f>
        <v>iSS01084</v>
      </c>
      <c r="K479" s="2" t="str">
        <f>_xlfn.XLOOKUP(Data[[#This Row],[Material-Nhập]],MD_Main_SKU[Main SKU],MD_Main_SKU[SKU name_gom])</f>
        <v>iSS01</v>
      </c>
    </row>
    <row r="480" spans="1:11" x14ac:dyDescent="0.35">
      <c r="A480">
        <v>2026</v>
      </c>
      <c r="B480">
        <v>1</v>
      </c>
      <c r="C480" t="s">
        <v>14</v>
      </c>
      <c r="D480" t="s">
        <v>15</v>
      </c>
      <c r="E480" t="s">
        <v>22</v>
      </c>
      <c r="F480" t="s">
        <v>23</v>
      </c>
      <c r="G480" s="2">
        <v>0</v>
      </c>
      <c r="H480" s="2">
        <v>27500</v>
      </c>
      <c r="I480" s="2">
        <v>27500</v>
      </c>
      <c r="J480" s="2" t="str">
        <f>_xlfn.XLOOKUP(Data[[#This Row],[Main SKU]],MD_Main_SKU[Main SKU],MD_Main_SKU[SKU name_gom])</f>
        <v>iSS01084</v>
      </c>
      <c r="K480" s="2" t="str">
        <f>_xlfn.XLOOKUP(Data[[#This Row],[Material-Nhập]],MD_Main_SKU[Main SKU],MD_Main_SKU[SKU name_gom])</f>
        <v>WSS03</v>
      </c>
    </row>
    <row r="481" spans="1:11" x14ac:dyDescent="0.35">
      <c r="A481">
        <v>2026</v>
      </c>
      <c r="B481">
        <v>1</v>
      </c>
      <c r="C481" t="s">
        <v>14</v>
      </c>
      <c r="D481" t="s">
        <v>15</v>
      </c>
      <c r="E481" t="s">
        <v>42</v>
      </c>
      <c r="F481" t="s">
        <v>43</v>
      </c>
      <c r="G481" s="2">
        <v>0</v>
      </c>
      <c r="H481" s="2">
        <v>2200</v>
      </c>
      <c r="I481" s="2">
        <v>2200</v>
      </c>
      <c r="J481" s="2" t="str">
        <f>_xlfn.XLOOKUP(Data[[#This Row],[Main SKU]],MD_Main_SKU[Main SKU],MD_Main_SKU[SKU name_gom])</f>
        <v>iSS01084</v>
      </c>
      <c r="K481" s="2" t="str">
        <f>_xlfn.XLOOKUP(Data[[#This Row],[Material-Nhập]],MD_Main_SKU[Main SKU],MD_Main_SKU[SKU name_gom])</f>
        <v>iSS01-PL</v>
      </c>
    </row>
    <row r="482" spans="1:11" x14ac:dyDescent="0.35">
      <c r="A482">
        <v>2026</v>
      </c>
      <c r="B482">
        <v>1</v>
      </c>
      <c r="C482" t="s">
        <v>16</v>
      </c>
      <c r="D482" t="s">
        <v>17</v>
      </c>
      <c r="E482" t="s">
        <v>16</v>
      </c>
      <c r="F482" t="s">
        <v>17</v>
      </c>
      <c r="G482" s="2">
        <v>1821599.9999999995</v>
      </c>
      <c r="H482" s="2">
        <v>0</v>
      </c>
      <c r="I482" s="2">
        <v>1821599.9999999995</v>
      </c>
      <c r="J482" s="2" t="str">
        <f>_xlfn.XLOOKUP(Data[[#This Row],[Main SKU]],MD_Main_SKU[Main SKU],MD_Main_SKU[SKU name_gom])</f>
        <v>WSS01</v>
      </c>
      <c r="K482" s="2" t="str">
        <f>_xlfn.XLOOKUP(Data[[#This Row],[Material-Nhập]],MD_Main_SKU[Main SKU],MD_Main_SKU[SKU name_gom])</f>
        <v>WSS01</v>
      </c>
    </row>
    <row r="483" spans="1:11" x14ac:dyDescent="0.35">
      <c r="A483">
        <v>2026</v>
      </c>
      <c r="B483">
        <v>1</v>
      </c>
      <c r="C483" t="s">
        <v>16</v>
      </c>
      <c r="D483" t="s">
        <v>17</v>
      </c>
      <c r="E483" t="s">
        <v>22</v>
      </c>
      <c r="F483" t="s">
        <v>23</v>
      </c>
      <c r="G483" s="2">
        <v>0</v>
      </c>
      <c r="H483" s="2">
        <v>13200.000000000004</v>
      </c>
      <c r="I483" s="2">
        <v>13200.000000000004</v>
      </c>
      <c r="J483" s="2" t="str">
        <f>_xlfn.XLOOKUP(Data[[#This Row],[Main SKU]],MD_Main_SKU[Main SKU],MD_Main_SKU[SKU name_gom])</f>
        <v>WSS01</v>
      </c>
      <c r="K483" s="2" t="str">
        <f>_xlfn.XLOOKUP(Data[[#This Row],[Material-Nhập]],MD_Main_SKU[Main SKU],MD_Main_SKU[SKU name_gom])</f>
        <v>WSS03</v>
      </c>
    </row>
    <row r="484" spans="1:11" x14ac:dyDescent="0.35">
      <c r="A484">
        <v>2026</v>
      </c>
      <c r="B484">
        <v>1</v>
      </c>
      <c r="C484" t="s">
        <v>16</v>
      </c>
      <c r="D484" t="s">
        <v>17</v>
      </c>
      <c r="E484" t="s">
        <v>40</v>
      </c>
      <c r="F484" t="s">
        <v>41</v>
      </c>
      <c r="G484" s="2">
        <v>0</v>
      </c>
      <c r="H484" s="2">
        <v>6600</v>
      </c>
      <c r="I484" s="2">
        <v>6600</v>
      </c>
      <c r="J484" s="2" t="str">
        <f>_xlfn.XLOOKUP(Data[[#This Row],[Main SKU]],MD_Main_SKU[Main SKU],MD_Main_SKU[SKU name_gom])</f>
        <v>WSS01</v>
      </c>
      <c r="K484" s="2" t="str">
        <f>_xlfn.XLOOKUP(Data[[#This Row],[Material-Nhập]],MD_Main_SKU[Main SKU],MD_Main_SKU[SKU name_gom])</f>
        <v>WSS01-PL</v>
      </c>
    </row>
    <row r="485" spans="1:11" x14ac:dyDescent="0.35">
      <c r="A485">
        <v>2026</v>
      </c>
      <c r="B485">
        <v>1</v>
      </c>
      <c r="C485" t="s">
        <v>16</v>
      </c>
      <c r="D485" t="s">
        <v>17</v>
      </c>
      <c r="E485" t="s">
        <v>42</v>
      </c>
      <c r="F485" t="s">
        <v>43</v>
      </c>
      <c r="G485" s="2">
        <v>0</v>
      </c>
      <c r="H485" s="2">
        <v>2200</v>
      </c>
      <c r="I485" s="2">
        <v>2200</v>
      </c>
      <c r="J485" s="2" t="str">
        <f>_xlfn.XLOOKUP(Data[[#This Row],[Main SKU]],MD_Main_SKU[Main SKU],MD_Main_SKU[SKU name_gom])</f>
        <v>WSS01</v>
      </c>
      <c r="K485" s="2" t="str">
        <f>_xlfn.XLOOKUP(Data[[#This Row],[Material-Nhập]],MD_Main_SKU[Main SKU],MD_Main_SKU[SKU name_gom])</f>
        <v>iSS01-PL</v>
      </c>
    </row>
    <row r="486" spans="1:11" x14ac:dyDescent="0.35">
      <c r="A486">
        <v>2026</v>
      </c>
      <c r="B486">
        <v>1</v>
      </c>
      <c r="C486" t="s">
        <v>16</v>
      </c>
      <c r="D486" t="s">
        <v>17</v>
      </c>
      <c r="E486" t="s">
        <v>34</v>
      </c>
      <c r="F486" t="s">
        <v>35</v>
      </c>
      <c r="G486" s="2">
        <v>0</v>
      </c>
      <c r="H486" s="2">
        <v>7672.2500000000009</v>
      </c>
      <c r="I486" s="2">
        <v>7672.2500000000009</v>
      </c>
      <c r="J486" s="2" t="str">
        <f>_xlfn.XLOOKUP(Data[[#This Row],[Main SKU]],MD_Main_SKU[Main SKU],MD_Main_SKU[SKU name_gom])</f>
        <v>WSS01</v>
      </c>
      <c r="K486" s="2" t="str">
        <f>_xlfn.XLOOKUP(Data[[#This Row],[Material-Nhập]],MD_Main_SKU[Main SKU],MD_Main_SKU[SKU name_gom])</f>
        <v>WSS03-PL</v>
      </c>
    </row>
    <row r="487" spans="1:11" x14ac:dyDescent="0.35">
      <c r="A487">
        <v>2026</v>
      </c>
      <c r="B487">
        <v>1</v>
      </c>
      <c r="C487" t="s">
        <v>22</v>
      </c>
      <c r="D487" t="s">
        <v>23</v>
      </c>
      <c r="E487" t="s">
        <v>22</v>
      </c>
      <c r="F487" t="s">
        <v>23</v>
      </c>
      <c r="G487" s="2">
        <v>376200</v>
      </c>
      <c r="H487" s="2">
        <v>0</v>
      </c>
      <c r="I487" s="2">
        <v>376200</v>
      </c>
      <c r="J487" s="2" t="str">
        <f>_xlfn.XLOOKUP(Data[[#This Row],[Main SKU]],MD_Main_SKU[Main SKU],MD_Main_SKU[SKU name_gom])</f>
        <v>WSS03</v>
      </c>
      <c r="K487" s="2" t="str">
        <f>_xlfn.XLOOKUP(Data[[#This Row],[Material-Nhập]],MD_Main_SKU[Main SKU],MD_Main_SKU[SKU name_gom])</f>
        <v>WSS03</v>
      </c>
    </row>
    <row r="488" spans="1:11" x14ac:dyDescent="0.35">
      <c r="A488">
        <v>2026</v>
      </c>
      <c r="B488">
        <v>1</v>
      </c>
      <c r="C488" t="s">
        <v>22</v>
      </c>
      <c r="D488" t="s">
        <v>23</v>
      </c>
      <c r="E488" t="s">
        <v>34</v>
      </c>
      <c r="F488" t="s">
        <v>35</v>
      </c>
      <c r="G488" s="2">
        <v>0</v>
      </c>
      <c r="H488" s="2">
        <v>2200</v>
      </c>
      <c r="I488" s="2">
        <v>2200</v>
      </c>
      <c r="J488" s="2" t="str">
        <f>_xlfn.XLOOKUP(Data[[#This Row],[Main SKU]],MD_Main_SKU[Main SKU],MD_Main_SKU[SKU name_gom])</f>
        <v>WSS03</v>
      </c>
      <c r="K488" s="2" t="str">
        <f>_xlfn.XLOOKUP(Data[[#This Row],[Material-Nhập]],MD_Main_SKU[Main SKU],MD_Main_SKU[SKU name_gom])</f>
        <v>WSS03-PL</v>
      </c>
    </row>
    <row r="489" spans="1:11" x14ac:dyDescent="0.35">
      <c r="A489">
        <v>2026</v>
      </c>
      <c r="B489">
        <v>2</v>
      </c>
      <c r="C489" t="s">
        <v>8</v>
      </c>
      <c r="D489" t="s">
        <v>9</v>
      </c>
      <c r="E489" t="s">
        <v>8</v>
      </c>
      <c r="F489" t="s">
        <v>9</v>
      </c>
      <c r="G489" s="2">
        <v>22000.000000000004</v>
      </c>
      <c r="H489" s="2">
        <v>0</v>
      </c>
      <c r="I489" s="2">
        <v>22000.000000000004</v>
      </c>
      <c r="J489" s="2" t="str">
        <f>_xlfn.XLOOKUP(Data[[#This Row],[Main SKU]],MD_Main_SKU[Main SKU],MD_Main_SKU[SKU name_gom])</f>
        <v>WSS01</v>
      </c>
      <c r="K489" s="2" t="str">
        <f>_xlfn.XLOOKUP(Data[[#This Row],[Material-Nhập]],MD_Main_SKU[Main SKU],MD_Main_SKU[SKU name_gom])</f>
        <v>WSS01</v>
      </c>
    </row>
    <row r="490" spans="1:11" x14ac:dyDescent="0.35">
      <c r="A490">
        <v>2026</v>
      </c>
      <c r="B490">
        <v>2</v>
      </c>
      <c r="C490" t="s">
        <v>8</v>
      </c>
      <c r="D490" t="s">
        <v>9</v>
      </c>
      <c r="E490" t="s">
        <v>36</v>
      </c>
      <c r="F490" t="s">
        <v>37</v>
      </c>
      <c r="G490" s="2">
        <v>0</v>
      </c>
      <c r="H490" s="2">
        <v>6600</v>
      </c>
      <c r="I490" s="2">
        <v>6600</v>
      </c>
      <c r="J490" s="2" t="str">
        <f>_xlfn.XLOOKUP(Data[[#This Row],[Main SKU]],MD_Main_SKU[Main SKU],MD_Main_SKU[SKU name_gom])</f>
        <v>WSS01</v>
      </c>
      <c r="K490" s="2" t="str">
        <f>_xlfn.XLOOKUP(Data[[#This Row],[Material-Nhập]],MD_Main_SKU[Main SKU],MD_Main_SKU[SKU name_gom])</f>
        <v>WSS01-PL</v>
      </c>
    </row>
    <row r="491" spans="1:11" x14ac:dyDescent="0.35">
      <c r="A491">
        <v>2026</v>
      </c>
      <c r="B491">
        <v>2</v>
      </c>
      <c r="C491" t="s">
        <v>14</v>
      </c>
      <c r="D491" t="s">
        <v>15</v>
      </c>
      <c r="E491" t="s">
        <v>14</v>
      </c>
      <c r="F491" t="s">
        <v>15</v>
      </c>
      <c r="G491" s="2">
        <v>300300</v>
      </c>
      <c r="H491" s="2">
        <v>0</v>
      </c>
      <c r="I491" s="2">
        <v>300300</v>
      </c>
      <c r="J491" s="2" t="str">
        <f>_xlfn.XLOOKUP(Data[[#This Row],[Main SKU]],MD_Main_SKU[Main SKU],MD_Main_SKU[SKU name_gom])</f>
        <v>iSS01084</v>
      </c>
      <c r="K491" s="2" t="str">
        <f>_xlfn.XLOOKUP(Data[[#This Row],[Material-Nhập]],MD_Main_SKU[Main SKU],MD_Main_SKU[SKU name_gom])</f>
        <v>iSS01084</v>
      </c>
    </row>
    <row r="492" spans="1:11" x14ac:dyDescent="0.35">
      <c r="A492">
        <v>2026</v>
      </c>
      <c r="B492">
        <v>2</v>
      </c>
      <c r="C492" t="s">
        <v>14</v>
      </c>
      <c r="D492" t="s">
        <v>15</v>
      </c>
      <c r="E492" t="s">
        <v>18</v>
      </c>
      <c r="F492" t="s">
        <v>19</v>
      </c>
      <c r="G492" s="2">
        <v>0</v>
      </c>
      <c r="H492" s="2">
        <v>25300</v>
      </c>
      <c r="I492" s="2">
        <v>25300</v>
      </c>
      <c r="J492" s="2" t="str">
        <f>_xlfn.XLOOKUP(Data[[#This Row],[Main SKU]],MD_Main_SKU[Main SKU],MD_Main_SKU[SKU name_gom])</f>
        <v>iSS01084</v>
      </c>
      <c r="K492" s="2" t="str">
        <f>_xlfn.XLOOKUP(Data[[#This Row],[Material-Nhập]],MD_Main_SKU[Main SKU],MD_Main_SKU[SKU name_gom])</f>
        <v>iSS01</v>
      </c>
    </row>
    <row r="493" spans="1:11" x14ac:dyDescent="0.35">
      <c r="A493">
        <v>2026</v>
      </c>
      <c r="B493">
        <v>2</v>
      </c>
      <c r="C493" t="s">
        <v>14</v>
      </c>
      <c r="D493" t="s">
        <v>15</v>
      </c>
      <c r="E493" t="s">
        <v>22</v>
      </c>
      <c r="F493" t="s">
        <v>23</v>
      </c>
      <c r="G493" s="2">
        <v>0</v>
      </c>
      <c r="H493" s="2">
        <v>23100</v>
      </c>
      <c r="I493" s="2">
        <v>23100</v>
      </c>
      <c r="J493" s="2" t="str">
        <f>_xlfn.XLOOKUP(Data[[#This Row],[Main SKU]],MD_Main_SKU[Main SKU],MD_Main_SKU[SKU name_gom])</f>
        <v>iSS01084</v>
      </c>
      <c r="K493" s="2" t="str">
        <f>_xlfn.XLOOKUP(Data[[#This Row],[Material-Nhập]],MD_Main_SKU[Main SKU],MD_Main_SKU[SKU name_gom])</f>
        <v>WSS03</v>
      </c>
    </row>
    <row r="494" spans="1:11" x14ac:dyDescent="0.35">
      <c r="A494">
        <v>2026</v>
      </c>
      <c r="B494">
        <v>2</v>
      </c>
      <c r="C494" t="s">
        <v>14</v>
      </c>
      <c r="D494" t="s">
        <v>15</v>
      </c>
      <c r="E494" t="s">
        <v>42</v>
      </c>
      <c r="F494" t="s">
        <v>43</v>
      </c>
      <c r="G494" s="2">
        <v>0</v>
      </c>
      <c r="H494" s="2">
        <v>4400</v>
      </c>
      <c r="I494" s="2">
        <v>4400</v>
      </c>
      <c r="J494" s="2" t="str">
        <f>_xlfn.XLOOKUP(Data[[#This Row],[Main SKU]],MD_Main_SKU[Main SKU],MD_Main_SKU[SKU name_gom])</f>
        <v>iSS01084</v>
      </c>
      <c r="K494" s="2" t="str">
        <f>_xlfn.XLOOKUP(Data[[#This Row],[Material-Nhập]],MD_Main_SKU[Main SKU],MD_Main_SKU[SKU name_gom])</f>
        <v>iSS01-PL</v>
      </c>
    </row>
    <row r="495" spans="1:11" x14ac:dyDescent="0.35">
      <c r="A495">
        <v>2026</v>
      </c>
      <c r="B495">
        <v>2</v>
      </c>
      <c r="C495" t="s">
        <v>14</v>
      </c>
      <c r="D495" t="s">
        <v>15</v>
      </c>
      <c r="E495" t="s">
        <v>34</v>
      </c>
      <c r="F495" t="s">
        <v>35</v>
      </c>
      <c r="G495" s="2">
        <v>0</v>
      </c>
      <c r="H495" s="2">
        <v>2200</v>
      </c>
      <c r="I495" s="2">
        <v>2200</v>
      </c>
      <c r="J495" s="2" t="str">
        <f>_xlfn.XLOOKUP(Data[[#This Row],[Main SKU]],MD_Main_SKU[Main SKU],MD_Main_SKU[SKU name_gom])</f>
        <v>iSS01084</v>
      </c>
      <c r="K495" s="2" t="str">
        <f>_xlfn.XLOOKUP(Data[[#This Row],[Material-Nhập]],MD_Main_SKU[Main SKU],MD_Main_SKU[SKU name_gom])</f>
        <v>WSS03-PL</v>
      </c>
    </row>
    <row r="496" spans="1:11" x14ac:dyDescent="0.35">
      <c r="A496">
        <v>2026</v>
      </c>
      <c r="B496">
        <v>2</v>
      </c>
      <c r="C496" t="s">
        <v>16</v>
      </c>
      <c r="D496" t="s">
        <v>17</v>
      </c>
      <c r="E496" t="s">
        <v>16</v>
      </c>
      <c r="F496" t="s">
        <v>17</v>
      </c>
      <c r="G496" s="2">
        <v>695200.00000000012</v>
      </c>
      <c r="H496" s="2">
        <v>0</v>
      </c>
      <c r="I496" s="2">
        <v>695200.00000000012</v>
      </c>
      <c r="J496" s="2" t="str">
        <f>_xlfn.XLOOKUP(Data[[#This Row],[Main SKU]],MD_Main_SKU[Main SKU],MD_Main_SKU[SKU name_gom])</f>
        <v>WSS01</v>
      </c>
      <c r="K496" s="2" t="str">
        <f>_xlfn.XLOOKUP(Data[[#This Row],[Material-Nhập]],MD_Main_SKU[Main SKU],MD_Main_SKU[SKU name_gom])</f>
        <v>WSS01</v>
      </c>
    </row>
    <row r="497" spans="1:11" x14ac:dyDescent="0.35">
      <c r="A497">
        <v>2026</v>
      </c>
      <c r="B497">
        <v>2</v>
      </c>
      <c r="C497" t="s">
        <v>16</v>
      </c>
      <c r="D497" t="s">
        <v>17</v>
      </c>
      <c r="E497" t="s">
        <v>18</v>
      </c>
      <c r="F497" t="s">
        <v>19</v>
      </c>
      <c r="G497" s="2">
        <v>0</v>
      </c>
      <c r="H497" s="2">
        <v>90200</v>
      </c>
      <c r="I497" s="2">
        <v>90200</v>
      </c>
      <c r="J497" s="2" t="str">
        <f>_xlfn.XLOOKUP(Data[[#This Row],[Main SKU]],MD_Main_SKU[Main SKU],MD_Main_SKU[SKU name_gom])</f>
        <v>WSS01</v>
      </c>
      <c r="K497" s="2" t="str">
        <f>_xlfn.XLOOKUP(Data[[#This Row],[Material-Nhập]],MD_Main_SKU[Main SKU],MD_Main_SKU[SKU name_gom])</f>
        <v>iSS01</v>
      </c>
    </row>
    <row r="498" spans="1:11" x14ac:dyDescent="0.35">
      <c r="A498">
        <v>2026</v>
      </c>
      <c r="B498">
        <v>2</v>
      </c>
      <c r="C498" t="s">
        <v>16</v>
      </c>
      <c r="D498" t="s">
        <v>17</v>
      </c>
      <c r="E498" t="s">
        <v>22</v>
      </c>
      <c r="F498" t="s">
        <v>23</v>
      </c>
      <c r="G498" s="2">
        <v>0</v>
      </c>
      <c r="H498" s="2">
        <v>11000</v>
      </c>
      <c r="I498" s="2">
        <v>11000</v>
      </c>
      <c r="J498" s="2" t="str">
        <f>_xlfn.XLOOKUP(Data[[#This Row],[Main SKU]],MD_Main_SKU[Main SKU],MD_Main_SKU[SKU name_gom])</f>
        <v>WSS01</v>
      </c>
      <c r="K498" s="2" t="str">
        <f>_xlfn.XLOOKUP(Data[[#This Row],[Material-Nhập]],MD_Main_SKU[Main SKU],MD_Main_SKU[SKU name_gom])</f>
        <v>WSS03</v>
      </c>
    </row>
    <row r="499" spans="1:11" x14ac:dyDescent="0.35">
      <c r="A499">
        <v>2026</v>
      </c>
      <c r="B499">
        <v>2</v>
      </c>
      <c r="C499" t="s">
        <v>16</v>
      </c>
      <c r="D499" t="s">
        <v>17</v>
      </c>
      <c r="E499" t="s">
        <v>40</v>
      </c>
      <c r="F499" t="s">
        <v>41</v>
      </c>
      <c r="G499" s="2">
        <v>0</v>
      </c>
      <c r="H499" s="2">
        <v>25300</v>
      </c>
      <c r="I499" s="2">
        <v>25300</v>
      </c>
      <c r="J499" s="2" t="str">
        <f>_xlfn.XLOOKUP(Data[[#This Row],[Main SKU]],MD_Main_SKU[Main SKU],MD_Main_SKU[SKU name_gom])</f>
        <v>WSS01</v>
      </c>
      <c r="K499" s="2" t="str">
        <f>_xlfn.XLOOKUP(Data[[#This Row],[Material-Nhập]],MD_Main_SKU[Main SKU],MD_Main_SKU[SKU name_gom])</f>
        <v>WSS01-PL</v>
      </c>
    </row>
    <row r="500" spans="1:11" x14ac:dyDescent="0.35">
      <c r="A500">
        <v>2026</v>
      </c>
      <c r="B500">
        <v>2</v>
      </c>
      <c r="C500" t="s">
        <v>16</v>
      </c>
      <c r="D500" t="s">
        <v>17</v>
      </c>
      <c r="E500" t="s">
        <v>42</v>
      </c>
      <c r="F500" t="s">
        <v>43</v>
      </c>
      <c r="G500" s="2">
        <v>0</v>
      </c>
      <c r="H500" s="2">
        <v>1100</v>
      </c>
      <c r="I500" s="2">
        <v>1100</v>
      </c>
      <c r="J500" s="2" t="str">
        <f>_xlfn.XLOOKUP(Data[[#This Row],[Main SKU]],MD_Main_SKU[Main SKU],MD_Main_SKU[SKU name_gom])</f>
        <v>WSS01</v>
      </c>
      <c r="K500" s="2" t="str">
        <f>_xlfn.XLOOKUP(Data[[#This Row],[Material-Nhập]],MD_Main_SKU[Main SKU],MD_Main_SKU[SKU name_gom])</f>
        <v>iSS01-PL</v>
      </c>
    </row>
    <row r="501" spans="1:11" x14ac:dyDescent="0.35">
      <c r="A501">
        <v>2026</v>
      </c>
      <c r="B501">
        <v>2</v>
      </c>
      <c r="C501" t="s">
        <v>16</v>
      </c>
      <c r="D501" t="s">
        <v>17</v>
      </c>
      <c r="E501" t="s">
        <v>34</v>
      </c>
      <c r="F501" t="s">
        <v>35</v>
      </c>
      <c r="G501" s="2">
        <v>0</v>
      </c>
      <c r="H501" s="2">
        <v>7699.9999999999991</v>
      </c>
      <c r="I501" s="2">
        <v>7699.9999999999991</v>
      </c>
      <c r="J501" s="2" t="str">
        <f>_xlfn.XLOOKUP(Data[[#This Row],[Main SKU]],MD_Main_SKU[Main SKU],MD_Main_SKU[SKU name_gom])</f>
        <v>WSS01</v>
      </c>
      <c r="K501" s="2" t="str">
        <f>_xlfn.XLOOKUP(Data[[#This Row],[Material-Nhập]],MD_Main_SKU[Main SKU],MD_Main_SKU[SKU name_gom])</f>
        <v>WSS03-PL</v>
      </c>
    </row>
    <row r="502" spans="1:11" x14ac:dyDescent="0.35">
      <c r="A502">
        <v>2026</v>
      </c>
      <c r="B502">
        <v>3</v>
      </c>
      <c r="C502" t="s">
        <v>8</v>
      </c>
      <c r="D502" t="s">
        <v>9</v>
      </c>
      <c r="E502" t="s">
        <v>8</v>
      </c>
      <c r="F502" t="s">
        <v>9</v>
      </c>
      <c r="G502" s="2">
        <v>125400</v>
      </c>
      <c r="H502" s="2">
        <v>0</v>
      </c>
      <c r="I502" s="2">
        <v>125400</v>
      </c>
      <c r="J502" s="2" t="str">
        <f>_xlfn.XLOOKUP(Data[[#This Row],[Main SKU]],MD_Main_SKU[Main SKU],MD_Main_SKU[SKU name_gom])</f>
        <v>WSS01</v>
      </c>
      <c r="K502" s="2" t="str">
        <f>_xlfn.XLOOKUP(Data[[#This Row],[Material-Nhập]],MD_Main_SKU[Main SKU],MD_Main_SKU[SKU name_gom])</f>
        <v>WSS01</v>
      </c>
    </row>
    <row r="503" spans="1:11" x14ac:dyDescent="0.35">
      <c r="A503">
        <v>2026</v>
      </c>
      <c r="B503">
        <v>3</v>
      </c>
      <c r="C503" t="s">
        <v>8</v>
      </c>
      <c r="D503" t="s">
        <v>9</v>
      </c>
      <c r="E503" t="s">
        <v>22</v>
      </c>
      <c r="F503" t="s">
        <v>23</v>
      </c>
      <c r="G503" s="2">
        <v>0</v>
      </c>
      <c r="H503" s="2">
        <v>2200</v>
      </c>
      <c r="I503" s="2">
        <v>2200</v>
      </c>
      <c r="J503" s="2" t="str">
        <f>_xlfn.XLOOKUP(Data[[#This Row],[Main SKU]],MD_Main_SKU[Main SKU],MD_Main_SKU[SKU name_gom])</f>
        <v>WSS01</v>
      </c>
      <c r="K503" s="2" t="str">
        <f>_xlfn.XLOOKUP(Data[[#This Row],[Material-Nhập]],MD_Main_SKU[Main SKU],MD_Main_SKU[SKU name_gom])</f>
        <v>WSS03</v>
      </c>
    </row>
    <row r="504" spans="1:11" x14ac:dyDescent="0.35">
      <c r="A504">
        <v>2026</v>
      </c>
      <c r="B504">
        <v>3</v>
      </c>
      <c r="C504" t="s">
        <v>8</v>
      </c>
      <c r="D504" t="s">
        <v>9</v>
      </c>
      <c r="E504" t="s">
        <v>36</v>
      </c>
      <c r="F504" t="s">
        <v>37</v>
      </c>
      <c r="G504" s="2">
        <v>0</v>
      </c>
      <c r="H504" s="2">
        <v>3300</v>
      </c>
      <c r="I504" s="2">
        <v>3300</v>
      </c>
      <c r="J504" s="2" t="str">
        <f>_xlfn.XLOOKUP(Data[[#This Row],[Main SKU]],MD_Main_SKU[Main SKU],MD_Main_SKU[SKU name_gom])</f>
        <v>WSS01</v>
      </c>
      <c r="K504" s="2" t="str">
        <f>_xlfn.XLOOKUP(Data[[#This Row],[Material-Nhập]],MD_Main_SKU[Main SKU],MD_Main_SKU[SKU name_gom])</f>
        <v>WSS01-PL</v>
      </c>
    </row>
    <row r="505" spans="1:11" x14ac:dyDescent="0.35">
      <c r="A505">
        <v>2026</v>
      </c>
      <c r="B505">
        <v>3</v>
      </c>
      <c r="C505" t="s">
        <v>14</v>
      </c>
      <c r="D505" t="s">
        <v>15</v>
      </c>
      <c r="E505" t="s">
        <v>14</v>
      </c>
      <c r="F505" t="s">
        <v>15</v>
      </c>
      <c r="G505" s="2">
        <v>614900</v>
      </c>
      <c r="H505" s="2">
        <v>1100</v>
      </c>
      <c r="I505" s="2">
        <v>616000</v>
      </c>
      <c r="J505" s="2" t="str">
        <f>_xlfn.XLOOKUP(Data[[#This Row],[Main SKU]],MD_Main_SKU[Main SKU],MD_Main_SKU[SKU name_gom])</f>
        <v>iSS01084</v>
      </c>
      <c r="K505" s="2" t="str">
        <f>_xlfn.XLOOKUP(Data[[#This Row],[Material-Nhập]],MD_Main_SKU[Main SKU],MD_Main_SKU[SKU name_gom])</f>
        <v>iSS01084</v>
      </c>
    </row>
    <row r="506" spans="1:11" x14ac:dyDescent="0.35">
      <c r="A506">
        <v>2026</v>
      </c>
      <c r="B506">
        <v>3</v>
      </c>
      <c r="C506" t="s">
        <v>14</v>
      </c>
      <c r="D506" t="s">
        <v>15</v>
      </c>
      <c r="E506" t="s">
        <v>18</v>
      </c>
      <c r="F506" t="s">
        <v>19</v>
      </c>
      <c r="G506" s="2">
        <v>0</v>
      </c>
      <c r="H506" s="2">
        <v>1100</v>
      </c>
      <c r="I506" s="2">
        <v>1100</v>
      </c>
      <c r="J506" s="2" t="str">
        <f>_xlfn.XLOOKUP(Data[[#This Row],[Main SKU]],MD_Main_SKU[Main SKU],MD_Main_SKU[SKU name_gom])</f>
        <v>iSS01084</v>
      </c>
      <c r="K506" s="2" t="str">
        <f>_xlfn.XLOOKUP(Data[[#This Row],[Material-Nhập]],MD_Main_SKU[Main SKU],MD_Main_SKU[SKU name_gom])</f>
        <v>iSS01</v>
      </c>
    </row>
    <row r="507" spans="1:11" x14ac:dyDescent="0.35">
      <c r="A507">
        <v>2026</v>
      </c>
      <c r="B507">
        <v>3</v>
      </c>
      <c r="C507" t="s">
        <v>14</v>
      </c>
      <c r="D507" t="s">
        <v>15</v>
      </c>
      <c r="E507" t="s">
        <v>22</v>
      </c>
      <c r="F507" t="s">
        <v>23</v>
      </c>
      <c r="G507" s="2">
        <v>0</v>
      </c>
      <c r="H507" s="2">
        <v>8800</v>
      </c>
      <c r="I507" s="2">
        <v>8800</v>
      </c>
      <c r="J507" s="2" t="str">
        <f>_xlfn.XLOOKUP(Data[[#This Row],[Main SKU]],MD_Main_SKU[Main SKU],MD_Main_SKU[SKU name_gom])</f>
        <v>iSS01084</v>
      </c>
      <c r="K507" s="2" t="str">
        <f>_xlfn.XLOOKUP(Data[[#This Row],[Material-Nhập]],MD_Main_SKU[Main SKU],MD_Main_SKU[SKU name_gom])</f>
        <v>WSS03</v>
      </c>
    </row>
    <row r="508" spans="1:11" x14ac:dyDescent="0.35">
      <c r="A508">
        <v>2026</v>
      </c>
      <c r="B508">
        <v>3</v>
      </c>
      <c r="C508" t="s">
        <v>14</v>
      </c>
      <c r="D508" t="s">
        <v>15</v>
      </c>
      <c r="E508" t="s">
        <v>42</v>
      </c>
      <c r="F508" t="s">
        <v>43</v>
      </c>
      <c r="G508" s="2">
        <v>0</v>
      </c>
      <c r="H508" s="2">
        <v>6600.0000000000009</v>
      </c>
      <c r="I508" s="2">
        <v>6600.0000000000009</v>
      </c>
      <c r="J508" s="2" t="str">
        <f>_xlfn.XLOOKUP(Data[[#This Row],[Main SKU]],MD_Main_SKU[Main SKU],MD_Main_SKU[SKU name_gom])</f>
        <v>iSS01084</v>
      </c>
      <c r="K508" s="2" t="str">
        <f>_xlfn.XLOOKUP(Data[[#This Row],[Material-Nhập]],MD_Main_SKU[Main SKU],MD_Main_SKU[SKU name_gom])</f>
        <v>iSS01-PL</v>
      </c>
    </row>
    <row r="509" spans="1:11" x14ac:dyDescent="0.35">
      <c r="A509">
        <v>2026</v>
      </c>
      <c r="B509">
        <v>3</v>
      </c>
      <c r="C509" t="s">
        <v>16</v>
      </c>
      <c r="D509" t="s">
        <v>17</v>
      </c>
      <c r="E509" t="s">
        <v>16</v>
      </c>
      <c r="F509" t="s">
        <v>17</v>
      </c>
      <c r="G509" s="2">
        <v>2085599.9999999998</v>
      </c>
      <c r="H509" s="2">
        <v>0</v>
      </c>
      <c r="I509" s="2">
        <v>2085599.9999999998</v>
      </c>
      <c r="J509" s="2" t="str">
        <f>_xlfn.XLOOKUP(Data[[#This Row],[Main SKU]],MD_Main_SKU[Main SKU],MD_Main_SKU[SKU name_gom])</f>
        <v>WSS01</v>
      </c>
      <c r="K509" s="2" t="str">
        <f>_xlfn.XLOOKUP(Data[[#This Row],[Material-Nhập]],MD_Main_SKU[Main SKU],MD_Main_SKU[SKU name_gom])</f>
        <v>WSS01</v>
      </c>
    </row>
    <row r="510" spans="1:11" x14ac:dyDescent="0.35">
      <c r="A510">
        <v>2026</v>
      </c>
      <c r="B510">
        <v>3</v>
      </c>
      <c r="C510" t="s">
        <v>16</v>
      </c>
      <c r="D510" t="s">
        <v>17</v>
      </c>
      <c r="E510" t="s">
        <v>22</v>
      </c>
      <c r="F510" t="s">
        <v>23</v>
      </c>
      <c r="G510" s="2">
        <v>0</v>
      </c>
      <c r="H510" s="2">
        <v>36299.999999999993</v>
      </c>
      <c r="I510" s="2">
        <v>36299.999999999993</v>
      </c>
      <c r="J510" s="2" t="str">
        <f>_xlfn.XLOOKUP(Data[[#This Row],[Main SKU]],MD_Main_SKU[Main SKU],MD_Main_SKU[SKU name_gom])</f>
        <v>WSS01</v>
      </c>
      <c r="K510" s="2" t="str">
        <f>_xlfn.XLOOKUP(Data[[#This Row],[Material-Nhập]],MD_Main_SKU[Main SKU],MD_Main_SKU[SKU name_gom])</f>
        <v>WSS03</v>
      </c>
    </row>
    <row r="511" spans="1:11" x14ac:dyDescent="0.35">
      <c r="A511">
        <v>2026</v>
      </c>
      <c r="B511">
        <v>3</v>
      </c>
      <c r="C511" t="s">
        <v>16</v>
      </c>
      <c r="D511" t="s">
        <v>17</v>
      </c>
      <c r="E511" t="s">
        <v>24</v>
      </c>
      <c r="F511" t="s">
        <v>25</v>
      </c>
      <c r="G511" s="2">
        <v>0</v>
      </c>
      <c r="H511" s="2">
        <v>84700</v>
      </c>
      <c r="I511" s="2">
        <v>84700</v>
      </c>
      <c r="J511" s="2" t="str">
        <f>_xlfn.XLOOKUP(Data[[#This Row],[Main SKU]],MD_Main_SKU[Main SKU],MD_Main_SKU[SKU name_gom])</f>
        <v>WSS01</v>
      </c>
      <c r="K511" s="2" t="str">
        <f>_xlfn.XLOOKUP(Data[[#This Row],[Material-Nhập]],MD_Main_SKU[Main SKU],MD_Main_SKU[SKU name_gom])</f>
        <v>WSS01</v>
      </c>
    </row>
    <row r="512" spans="1:11" x14ac:dyDescent="0.35">
      <c r="A512">
        <v>2026</v>
      </c>
      <c r="B512">
        <v>3</v>
      </c>
      <c r="C512" t="s">
        <v>16</v>
      </c>
      <c r="D512" t="s">
        <v>17</v>
      </c>
      <c r="E512" t="s">
        <v>26</v>
      </c>
      <c r="F512" t="s">
        <v>27</v>
      </c>
      <c r="G512" s="2">
        <v>0</v>
      </c>
      <c r="H512" s="2">
        <v>20900</v>
      </c>
      <c r="I512" s="2">
        <v>20900</v>
      </c>
      <c r="J512" s="2" t="str">
        <f>_xlfn.XLOOKUP(Data[[#This Row],[Main SKU]],MD_Main_SKU[Main SKU],MD_Main_SKU[SKU name_gom])</f>
        <v>WSS01</v>
      </c>
      <c r="K512" s="2" t="str">
        <f>_xlfn.XLOOKUP(Data[[#This Row],[Material-Nhập]],MD_Main_SKU[Main SKU],MD_Main_SKU[SKU name_gom])</f>
        <v>iSS01</v>
      </c>
    </row>
    <row r="513" spans="1:11" x14ac:dyDescent="0.35">
      <c r="A513">
        <v>2026</v>
      </c>
      <c r="B513">
        <v>3</v>
      </c>
      <c r="C513" t="s">
        <v>16</v>
      </c>
      <c r="D513" t="s">
        <v>17</v>
      </c>
      <c r="E513" t="s">
        <v>40</v>
      </c>
      <c r="F513" t="s">
        <v>41</v>
      </c>
      <c r="G513" s="2">
        <v>0</v>
      </c>
      <c r="H513" s="2">
        <v>3300.0000000000005</v>
      </c>
      <c r="I513" s="2">
        <v>3300.0000000000005</v>
      </c>
      <c r="J513" s="2" t="str">
        <f>_xlfn.XLOOKUP(Data[[#This Row],[Main SKU]],MD_Main_SKU[Main SKU],MD_Main_SKU[SKU name_gom])</f>
        <v>WSS01</v>
      </c>
      <c r="K513" s="2" t="str">
        <f>_xlfn.XLOOKUP(Data[[#This Row],[Material-Nhập]],MD_Main_SKU[Main SKU],MD_Main_SKU[SKU name_gom])</f>
        <v>WSS01-PL</v>
      </c>
    </row>
    <row r="514" spans="1:11" x14ac:dyDescent="0.35">
      <c r="A514">
        <v>2026</v>
      </c>
      <c r="B514">
        <v>3</v>
      </c>
      <c r="C514" t="s">
        <v>16</v>
      </c>
      <c r="D514" t="s">
        <v>17</v>
      </c>
      <c r="E514" t="s">
        <v>42</v>
      </c>
      <c r="F514" t="s">
        <v>43</v>
      </c>
      <c r="G514" s="2">
        <v>0</v>
      </c>
      <c r="H514" s="2">
        <v>3300</v>
      </c>
      <c r="I514" s="2">
        <v>3300</v>
      </c>
      <c r="J514" s="2" t="str">
        <f>_xlfn.XLOOKUP(Data[[#This Row],[Main SKU]],MD_Main_SKU[Main SKU],MD_Main_SKU[SKU name_gom])</f>
        <v>WSS01</v>
      </c>
      <c r="K514" s="2" t="str">
        <f>_xlfn.XLOOKUP(Data[[#This Row],[Material-Nhập]],MD_Main_SKU[Main SKU],MD_Main_SKU[SKU name_gom])</f>
        <v>iSS01-PL</v>
      </c>
    </row>
    <row r="515" spans="1:11" x14ac:dyDescent="0.35">
      <c r="A515">
        <v>2026</v>
      </c>
      <c r="B515">
        <v>3</v>
      </c>
      <c r="C515" t="s">
        <v>16</v>
      </c>
      <c r="D515" t="s">
        <v>17</v>
      </c>
      <c r="E515" t="s">
        <v>34</v>
      </c>
      <c r="F515" t="s">
        <v>35</v>
      </c>
      <c r="G515" s="2">
        <v>0</v>
      </c>
      <c r="H515" s="2">
        <v>3300</v>
      </c>
      <c r="I515" s="2">
        <v>3300</v>
      </c>
      <c r="J515" s="2" t="str">
        <f>_xlfn.XLOOKUP(Data[[#This Row],[Main SKU]],MD_Main_SKU[Main SKU],MD_Main_SKU[SKU name_gom])</f>
        <v>WSS01</v>
      </c>
      <c r="K515" s="2" t="str">
        <f>_xlfn.XLOOKUP(Data[[#This Row],[Material-Nhập]],MD_Main_SKU[Main SKU],MD_Main_SKU[SKU name_gom])</f>
        <v>WSS03-PL</v>
      </c>
    </row>
    <row r="516" spans="1:11" x14ac:dyDescent="0.35">
      <c r="A516">
        <v>2026</v>
      </c>
      <c r="B516">
        <v>3</v>
      </c>
      <c r="C516" t="s">
        <v>18</v>
      </c>
      <c r="D516" t="s">
        <v>19</v>
      </c>
      <c r="E516" t="s">
        <v>16</v>
      </c>
      <c r="F516" t="s">
        <v>17</v>
      </c>
      <c r="G516" s="2">
        <v>0</v>
      </c>
      <c r="H516" s="2">
        <v>1100</v>
      </c>
      <c r="I516" s="2">
        <v>1100</v>
      </c>
      <c r="J516" s="2" t="str">
        <f>_xlfn.XLOOKUP(Data[[#This Row],[Main SKU]],MD_Main_SKU[Main SKU],MD_Main_SKU[SKU name_gom])</f>
        <v>iSS01</v>
      </c>
      <c r="K516" s="2" t="str">
        <f>_xlfn.XLOOKUP(Data[[#This Row],[Material-Nhập]],MD_Main_SKU[Main SKU],MD_Main_SKU[SKU name_gom])</f>
        <v>WSS01</v>
      </c>
    </row>
    <row r="517" spans="1:11" x14ac:dyDescent="0.35">
      <c r="A517">
        <v>2026</v>
      </c>
      <c r="B517">
        <v>3</v>
      </c>
      <c r="C517" t="s">
        <v>18</v>
      </c>
      <c r="D517" t="s">
        <v>19</v>
      </c>
      <c r="E517" t="s">
        <v>18</v>
      </c>
      <c r="F517" t="s">
        <v>19</v>
      </c>
      <c r="G517" s="2">
        <v>195800</v>
      </c>
      <c r="H517" s="2">
        <v>0</v>
      </c>
      <c r="I517" s="2">
        <v>195800</v>
      </c>
      <c r="J517" s="2" t="str">
        <f>_xlfn.XLOOKUP(Data[[#This Row],[Main SKU]],MD_Main_SKU[Main SKU],MD_Main_SKU[SKU name_gom])</f>
        <v>iSS01</v>
      </c>
      <c r="K517" s="2" t="str">
        <f>_xlfn.XLOOKUP(Data[[#This Row],[Material-Nhập]],MD_Main_SKU[Main SKU],MD_Main_SKU[SKU name_gom])</f>
        <v>iSS01</v>
      </c>
    </row>
    <row r="518" spans="1:11" x14ac:dyDescent="0.35">
      <c r="A518">
        <v>2026</v>
      </c>
      <c r="B518">
        <v>3</v>
      </c>
      <c r="C518" t="s">
        <v>18</v>
      </c>
      <c r="D518" t="s">
        <v>19</v>
      </c>
      <c r="E518" t="s">
        <v>42</v>
      </c>
      <c r="F518" t="s">
        <v>43</v>
      </c>
      <c r="G518" s="2">
        <v>0</v>
      </c>
      <c r="H518" s="2">
        <v>1100</v>
      </c>
      <c r="I518" s="2">
        <v>1100</v>
      </c>
      <c r="J518" s="2" t="str">
        <f>_xlfn.XLOOKUP(Data[[#This Row],[Main SKU]],MD_Main_SKU[Main SKU],MD_Main_SKU[SKU name_gom])</f>
        <v>iSS01</v>
      </c>
      <c r="K518" s="2" t="str">
        <f>_xlfn.XLOOKUP(Data[[#This Row],[Material-Nhập]],MD_Main_SKU[Main SKU],MD_Main_SKU[SKU name_gom])</f>
        <v>iSS01-PL</v>
      </c>
    </row>
    <row r="519" spans="1:11" x14ac:dyDescent="0.35">
      <c r="A519">
        <v>2026</v>
      </c>
      <c r="B519">
        <v>3</v>
      </c>
      <c r="C519" t="s">
        <v>22</v>
      </c>
      <c r="D519" t="s">
        <v>23</v>
      </c>
      <c r="E519" t="s">
        <v>22</v>
      </c>
      <c r="F519" t="s">
        <v>23</v>
      </c>
      <c r="G519" s="2">
        <v>248600.00000000003</v>
      </c>
      <c r="H519" s="2">
        <v>0</v>
      </c>
      <c r="I519" s="2">
        <v>248600.00000000003</v>
      </c>
      <c r="J519" s="2" t="str">
        <f>_xlfn.XLOOKUP(Data[[#This Row],[Main SKU]],MD_Main_SKU[Main SKU],MD_Main_SKU[SKU name_gom])</f>
        <v>WSS03</v>
      </c>
      <c r="K519" s="2" t="str">
        <f>_xlfn.XLOOKUP(Data[[#This Row],[Material-Nhập]],MD_Main_SKU[Main SKU],MD_Main_SKU[SKU name_gom])</f>
        <v>WSS03</v>
      </c>
    </row>
    <row r="520" spans="1:11" x14ac:dyDescent="0.35">
      <c r="A520">
        <v>2026</v>
      </c>
      <c r="B520">
        <v>3</v>
      </c>
      <c r="C520" t="s">
        <v>22</v>
      </c>
      <c r="D520" t="s">
        <v>23</v>
      </c>
      <c r="E520" t="s">
        <v>34</v>
      </c>
      <c r="F520" t="s">
        <v>35</v>
      </c>
      <c r="G520" s="2">
        <v>0</v>
      </c>
      <c r="H520" s="2">
        <v>23100</v>
      </c>
      <c r="I520" s="2">
        <v>23100</v>
      </c>
      <c r="J520" s="2" t="str">
        <f>_xlfn.XLOOKUP(Data[[#This Row],[Main SKU]],MD_Main_SKU[Main SKU],MD_Main_SKU[SKU name_gom])</f>
        <v>WSS03</v>
      </c>
      <c r="K520" s="2" t="str">
        <f>_xlfn.XLOOKUP(Data[[#This Row],[Material-Nhập]],MD_Main_SKU[Main SKU],MD_Main_SKU[SKU name_gom])</f>
        <v>WSS03-PL</v>
      </c>
    </row>
    <row r="521" spans="1:11" x14ac:dyDescent="0.35">
      <c r="A521">
        <v>2026</v>
      </c>
      <c r="B521">
        <v>3</v>
      </c>
      <c r="C521" t="s">
        <v>26</v>
      </c>
      <c r="D521" t="s">
        <v>27</v>
      </c>
      <c r="E521" t="s">
        <v>22</v>
      </c>
      <c r="F521" t="s">
        <v>23</v>
      </c>
      <c r="G521" s="2">
        <v>0</v>
      </c>
      <c r="H521" s="2">
        <v>5499.9999999999991</v>
      </c>
      <c r="I521" s="2">
        <v>5499.9999999999991</v>
      </c>
      <c r="J521" s="2" t="str">
        <f>_xlfn.XLOOKUP(Data[[#This Row],[Main SKU]],MD_Main_SKU[Main SKU],MD_Main_SKU[SKU name_gom])</f>
        <v>iSS01</v>
      </c>
      <c r="K521" s="2" t="str">
        <f>_xlfn.XLOOKUP(Data[[#This Row],[Material-Nhập]],MD_Main_SKU[Main SKU],MD_Main_SKU[SKU name_gom])</f>
        <v>WSS03</v>
      </c>
    </row>
    <row r="522" spans="1:11" x14ac:dyDescent="0.35">
      <c r="A522">
        <v>2026</v>
      </c>
      <c r="B522">
        <v>3</v>
      </c>
      <c r="C522" t="s">
        <v>26</v>
      </c>
      <c r="D522" t="s">
        <v>27</v>
      </c>
      <c r="E522" t="s">
        <v>24</v>
      </c>
      <c r="F522" t="s">
        <v>25</v>
      </c>
      <c r="G522" s="2">
        <v>0</v>
      </c>
      <c r="H522" s="2">
        <v>36300</v>
      </c>
      <c r="I522" s="2">
        <v>36300</v>
      </c>
      <c r="J522" s="2" t="str">
        <f>_xlfn.XLOOKUP(Data[[#This Row],[Main SKU]],MD_Main_SKU[Main SKU],MD_Main_SKU[SKU name_gom])</f>
        <v>iSS01</v>
      </c>
      <c r="K522" s="2" t="str">
        <f>_xlfn.XLOOKUP(Data[[#This Row],[Material-Nhập]],MD_Main_SKU[Main SKU],MD_Main_SKU[SKU name_gom])</f>
        <v>WSS01</v>
      </c>
    </row>
    <row r="523" spans="1:11" x14ac:dyDescent="0.35">
      <c r="A523">
        <v>2026</v>
      </c>
      <c r="B523">
        <v>3</v>
      </c>
      <c r="C523" t="s">
        <v>26</v>
      </c>
      <c r="D523" t="s">
        <v>27</v>
      </c>
      <c r="E523" t="s">
        <v>26</v>
      </c>
      <c r="F523" t="s">
        <v>27</v>
      </c>
      <c r="G523" s="2">
        <v>514799.99999999994</v>
      </c>
      <c r="H523" s="2">
        <v>1100</v>
      </c>
      <c r="I523" s="2">
        <v>515899.99999999994</v>
      </c>
      <c r="J523" s="2" t="str">
        <f>_xlfn.XLOOKUP(Data[[#This Row],[Main SKU]],MD_Main_SKU[Main SKU],MD_Main_SKU[SKU name_gom])</f>
        <v>iSS01</v>
      </c>
      <c r="K523" s="2" t="str">
        <f>_xlfn.XLOOKUP(Data[[#This Row],[Material-Nhập]],MD_Main_SKU[Main SKU],MD_Main_SKU[SKU name_gom])</f>
        <v>iSS01</v>
      </c>
    </row>
    <row r="524" spans="1:11" x14ac:dyDescent="0.35">
      <c r="A524">
        <v>2026</v>
      </c>
      <c r="B524">
        <v>3</v>
      </c>
      <c r="C524" t="s">
        <v>26</v>
      </c>
      <c r="D524" t="s">
        <v>27</v>
      </c>
      <c r="E524" t="s">
        <v>50</v>
      </c>
      <c r="F524" t="s">
        <v>51</v>
      </c>
      <c r="G524" s="2">
        <v>0</v>
      </c>
      <c r="H524" s="2">
        <v>12100</v>
      </c>
      <c r="I524" s="2">
        <v>12100</v>
      </c>
      <c r="J524" s="2" t="str">
        <f>_xlfn.XLOOKUP(Data[[#This Row],[Main SKU]],MD_Main_SKU[Main SKU],MD_Main_SKU[SKU name_gom])</f>
        <v>iSS01</v>
      </c>
      <c r="K524" s="2" t="str">
        <f>_xlfn.XLOOKUP(Data[[#This Row],[Material-Nhập]],MD_Main_SKU[Main SKU],MD_Main_SKU[SKU name_gom])</f>
        <v>iSS01-PL</v>
      </c>
    </row>
    <row r="525" spans="1:11" x14ac:dyDescent="0.35">
      <c r="A525">
        <v>2026</v>
      </c>
      <c r="B525">
        <v>4</v>
      </c>
      <c r="C525" t="s">
        <v>14</v>
      </c>
      <c r="D525" t="s">
        <v>15</v>
      </c>
      <c r="E525" t="s">
        <v>14</v>
      </c>
      <c r="F525" t="s">
        <v>15</v>
      </c>
      <c r="G525" s="2">
        <v>850300.00000000012</v>
      </c>
      <c r="H525" s="2">
        <v>0</v>
      </c>
      <c r="I525" s="2">
        <v>850300.00000000012</v>
      </c>
      <c r="J525" s="2" t="str">
        <f>_xlfn.XLOOKUP(Data[[#This Row],[Main SKU]],MD_Main_SKU[Main SKU],MD_Main_SKU[SKU name_gom])</f>
        <v>iSS01084</v>
      </c>
      <c r="K525" s="2" t="str">
        <f>_xlfn.XLOOKUP(Data[[#This Row],[Material-Nhập]],MD_Main_SKU[Main SKU],MD_Main_SKU[SKU name_gom])</f>
        <v>iSS01084</v>
      </c>
    </row>
    <row r="526" spans="1:11" x14ac:dyDescent="0.35">
      <c r="A526">
        <v>2026</v>
      </c>
      <c r="B526">
        <v>4</v>
      </c>
      <c r="C526" t="s">
        <v>14</v>
      </c>
      <c r="D526" t="s">
        <v>15</v>
      </c>
      <c r="E526" t="s">
        <v>16</v>
      </c>
      <c r="F526" t="s">
        <v>17</v>
      </c>
      <c r="G526" s="2">
        <v>0</v>
      </c>
      <c r="H526" s="2">
        <v>47300</v>
      </c>
      <c r="I526" s="2">
        <v>47300</v>
      </c>
      <c r="J526" s="2" t="str">
        <f>_xlfn.XLOOKUP(Data[[#This Row],[Main SKU]],MD_Main_SKU[Main SKU],MD_Main_SKU[SKU name_gom])</f>
        <v>iSS01084</v>
      </c>
      <c r="K526" s="2" t="str">
        <f>_xlfn.XLOOKUP(Data[[#This Row],[Material-Nhập]],MD_Main_SKU[Main SKU],MD_Main_SKU[SKU name_gom])</f>
        <v>WSS01</v>
      </c>
    </row>
    <row r="527" spans="1:11" x14ac:dyDescent="0.35">
      <c r="A527">
        <v>2026</v>
      </c>
      <c r="B527">
        <v>4</v>
      </c>
      <c r="C527" t="s">
        <v>14</v>
      </c>
      <c r="D527" t="s">
        <v>15</v>
      </c>
      <c r="E527" t="s">
        <v>18</v>
      </c>
      <c r="F527" t="s">
        <v>19</v>
      </c>
      <c r="G527" s="2">
        <v>0</v>
      </c>
      <c r="H527" s="2">
        <v>13199.999999999998</v>
      </c>
      <c r="I527" s="2">
        <v>13199.999999999998</v>
      </c>
      <c r="J527" s="2" t="str">
        <f>_xlfn.XLOOKUP(Data[[#This Row],[Main SKU]],MD_Main_SKU[Main SKU],MD_Main_SKU[SKU name_gom])</f>
        <v>iSS01084</v>
      </c>
      <c r="K527" s="2" t="str">
        <f>_xlfn.XLOOKUP(Data[[#This Row],[Material-Nhập]],MD_Main_SKU[Main SKU],MD_Main_SKU[SKU name_gom])</f>
        <v>iSS01</v>
      </c>
    </row>
    <row r="528" spans="1:11" x14ac:dyDescent="0.35">
      <c r="A528">
        <v>2026</v>
      </c>
      <c r="B528">
        <v>4</v>
      </c>
      <c r="C528" t="s">
        <v>14</v>
      </c>
      <c r="D528" t="s">
        <v>15</v>
      </c>
      <c r="E528" t="s">
        <v>22</v>
      </c>
      <c r="F528" t="s">
        <v>23</v>
      </c>
      <c r="G528" s="2">
        <v>0</v>
      </c>
      <c r="H528" s="2">
        <v>13200</v>
      </c>
      <c r="I528" s="2">
        <v>13200</v>
      </c>
      <c r="J528" s="2" t="str">
        <f>_xlfn.XLOOKUP(Data[[#This Row],[Main SKU]],MD_Main_SKU[Main SKU],MD_Main_SKU[SKU name_gom])</f>
        <v>iSS01084</v>
      </c>
      <c r="K528" s="2" t="str">
        <f>_xlfn.XLOOKUP(Data[[#This Row],[Material-Nhập]],MD_Main_SKU[Main SKU],MD_Main_SKU[SKU name_gom])</f>
        <v>WSS03</v>
      </c>
    </row>
    <row r="529" spans="1:11" x14ac:dyDescent="0.35">
      <c r="A529">
        <v>2026</v>
      </c>
      <c r="B529">
        <v>4</v>
      </c>
      <c r="C529" t="s">
        <v>14</v>
      </c>
      <c r="D529" t="s">
        <v>15</v>
      </c>
      <c r="E529" t="s">
        <v>42</v>
      </c>
      <c r="F529" t="s">
        <v>43</v>
      </c>
      <c r="G529" s="2">
        <v>0</v>
      </c>
      <c r="H529" s="2">
        <v>2200</v>
      </c>
      <c r="I529" s="2">
        <v>2200</v>
      </c>
      <c r="J529" s="2" t="str">
        <f>_xlfn.XLOOKUP(Data[[#This Row],[Main SKU]],MD_Main_SKU[Main SKU],MD_Main_SKU[SKU name_gom])</f>
        <v>iSS01084</v>
      </c>
      <c r="K529" s="2" t="str">
        <f>_xlfn.XLOOKUP(Data[[#This Row],[Material-Nhập]],MD_Main_SKU[Main SKU],MD_Main_SKU[SKU name_gom])</f>
        <v>iSS01-PL</v>
      </c>
    </row>
    <row r="530" spans="1:11" x14ac:dyDescent="0.35">
      <c r="A530">
        <v>2026</v>
      </c>
      <c r="B530">
        <v>4</v>
      </c>
      <c r="C530" t="s">
        <v>14</v>
      </c>
      <c r="D530" t="s">
        <v>15</v>
      </c>
      <c r="E530" t="s">
        <v>38</v>
      </c>
      <c r="F530" t="s">
        <v>39</v>
      </c>
      <c r="G530" s="2">
        <v>0</v>
      </c>
      <c r="H530" s="2">
        <v>2200</v>
      </c>
      <c r="I530" s="2">
        <v>2200</v>
      </c>
      <c r="J530" s="2" t="str">
        <f>_xlfn.XLOOKUP(Data[[#This Row],[Main SKU]],MD_Main_SKU[Main SKU],MD_Main_SKU[SKU name_gom])</f>
        <v>iSS01084</v>
      </c>
      <c r="K530" s="2" t="str">
        <f>_xlfn.XLOOKUP(Data[[#This Row],[Material-Nhập]],MD_Main_SKU[Main SKU],MD_Main_SKU[SKU name_gom])</f>
        <v>iSS01084-PL</v>
      </c>
    </row>
    <row r="531" spans="1:11" x14ac:dyDescent="0.35">
      <c r="A531">
        <v>2026</v>
      </c>
      <c r="B531">
        <v>4</v>
      </c>
      <c r="C531" t="s">
        <v>14</v>
      </c>
      <c r="D531" t="s">
        <v>15</v>
      </c>
      <c r="E531" t="s">
        <v>34</v>
      </c>
      <c r="F531" t="s">
        <v>35</v>
      </c>
      <c r="G531" s="2">
        <v>0</v>
      </c>
      <c r="H531" s="2">
        <v>2200</v>
      </c>
      <c r="I531" s="2">
        <v>2200</v>
      </c>
      <c r="J531" s="2" t="str">
        <f>_xlfn.XLOOKUP(Data[[#This Row],[Main SKU]],MD_Main_SKU[Main SKU],MD_Main_SKU[SKU name_gom])</f>
        <v>iSS01084</v>
      </c>
      <c r="K531" s="2" t="str">
        <f>_xlfn.XLOOKUP(Data[[#This Row],[Material-Nhập]],MD_Main_SKU[Main SKU],MD_Main_SKU[SKU name_gom])</f>
        <v>WSS03-PL</v>
      </c>
    </row>
    <row r="532" spans="1:11" x14ac:dyDescent="0.35">
      <c r="A532">
        <v>2026</v>
      </c>
      <c r="B532">
        <v>4</v>
      </c>
      <c r="C532" t="s">
        <v>16</v>
      </c>
      <c r="D532" t="s">
        <v>17</v>
      </c>
      <c r="E532" t="s">
        <v>16</v>
      </c>
      <c r="F532" t="s">
        <v>17</v>
      </c>
      <c r="G532" s="2">
        <v>1982200.0000000005</v>
      </c>
      <c r="H532" s="2">
        <v>0</v>
      </c>
      <c r="I532" s="2">
        <v>1982200.0000000005</v>
      </c>
      <c r="J532" s="2" t="str">
        <f>_xlfn.XLOOKUP(Data[[#This Row],[Main SKU]],MD_Main_SKU[Main SKU],MD_Main_SKU[SKU name_gom])</f>
        <v>WSS01</v>
      </c>
      <c r="K532" s="2" t="str">
        <f>_xlfn.XLOOKUP(Data[[#This Row],[Material-Nhập]],MD_Main_SKU[Main SKU],MD_Main_SKU[SKU name_gom])</f>
        <v>WSS01</v>
      </c>
    </row>
    <row r="533" spans="1:11" x14ac:dyDescent="0.35">
      <c r="A533">
        <v>2026</v>
      </c>
      <c r="B533">
        <v>4</v>
      </c>
      <c r="C533" t="s">
        <v>16</v>
      </c>
      <c r="D533" t="s">
        <v>17</v>
      </c>
      <c r="E533" t="s">
        <v>18</v>
      </c>
      <c r="F533" t="s">
        <v>19</v>
      </c>
      <c r="G533" s="2">
        <v>0</v>
      </c>
      <c r="H533" s="2">
        <v>32999.999999999993</v>
      </c>
      <c r="I533" s="2">
        <v>32999.999999999993</v>
      </c>
      <c r="J533" s="2" t="str">
        <f>_xlfn.XLOOKUP(Data[[#This Row],[Main SKU]],MD_Main_SKU[Main SKU],MD_Main_SKU[SKU name_gom])</f>
        <v>WSS01</v>
      </c>
      <c r="K533" s="2" t="str">
        <f>_xlfn.XLOOKUP(Data[[#This Row],[Material-Nhập]],MD_Main_SKU[Main SKU],MD_Main_SKU[SKU name_gom])</f>
        <v>iSS01</v>
      </c>
    </row>
    <row r="534" spans="1:11" x14ac:dyDescent="0.35">
      <c r="A534">
        <v>2026</v>
      </c>
      <c r="B534">
        <v>4</v>
      </c>
      <c r="C534" t="s">
        <v>16</v>
      </c>
      <c r="D534" t="s">
        <v>17</v>
      </c>
      <c r="E534" t="s">
        <v>22</v>
      </c>
      <c r="F534" t="s">
        <v>23</v>
      </c>
      <c r="G534" s="2">
        <v>0</v>
      </c>
      <c r="H534" s="2">
        <v>39600</v>
      </c>
      <c r="I534" s="2">
        <v>39600</v>
      </c>
      <c r="J534" s="2" t="str">
        <f>_xlfn.XLOOKUP(Data[[#This Row],[Main SKU]],MD_Main_SKU[Main SKU],MD_Main_SKU[SKU name_gom])</f>
        <v>WSS01</v>
      </c>
      <c r="K534" s="2" t="str">
        <f>_xlfn.XLOOKUP(Data[[#This Row],[Material-Nhập]],MD_Main_SKU[Main SKU],MD_Main_SKU[SKU name_gom])</f>
        <v>WSS03</v>
      </c>
    </row>
    <row r="535" spans="1:11" x14ac:dyDescent="0.35">
      <c r="A535">
        <v>2026</v>
      </c>
      <c r="B535">
        <v>4</v>
      </c>
      <c r="C535" t="s">
        <v>16</v>
      </c>
      <c r="D535" t="s">
        <v>17</v>
      </c>
      <c r="E535" t="s">
        <v>40</v>
      </c>
      <c r="F535" t="s">
        <v>41</v>
      </c>
      <c r="G535" s="2">
        <v>0</v>
      </c>
      <c r="H535" s="2">
        <v>5500.0000000000009</v>
      </c>
      <c r="I535" s="2">
        <v>5500.0000000000009</v>
      </c>
      <c r="J535" s="2" t="str">
        <f>_xlfn.XLOOKUP(Data[[#This Row],[Main SKU]],MD_Main_SKU[Main SKU],MD_Main_SKU[SKU name_gom])</f>
        <v>WSS01</v>
      </c>
      <c r="K535" s="2" t="str">
        <f>_xlfn.XLOOKUP(Data[[#This Row],[Material-Nhập]],MD_Main_SKU[Main SKU],MD_Main_SKU[SKU name_gom])</f>
        <v>WSS01-PL</v>
      </c>
    </row>
    <row r="536" spans="1:11" x14ac:dyDescent="0.35">
      <c r="A536">
        <v>2026</v>
      </c>
      <c r="B536">
        <v>4</v>
      </c>
      <c r="C536" t="s">
        <v>22</v>
      </c>
      <c r="D536" t="s">
        <v>23</v>
      </c>
      <c r="E536" t="s">
        <v>22</v>
      </c>
      <c r="F536" t="s">
        <v>23</v>
      </c>
      <c r="G536" s="2">
        <v>1030700</v>
      </c>
      <c r="H536" s="2">
        <v>0</v>
      </c>
      <c r="I536" s="2">
        <v>1030700</v>
      </c>
      <c r="J536" s="2" t="str">
        <f>_xlfn.XLOOKUP(Data[[#This Row],[Main SKU]],MD_Main_SKU[Main SKU],MD_Main_SKU[SKU name_gom])</f>
        <v>WSS03</v>
      </c>
      <c r="K536" s="2" t="str">
        <f>_xlfn.XLOOKUP(Data[[#This Row],[Material-Nhập]],MD_Main_SKU[Main SKU],MD_Main_SKU[SKU name_gom])</f>
        <v>WSS03</v>
      </c>
    </row>
    <row r="537" spans="1:11" x14ac:dyDescent="0.35">
      <c r="A537">
        <v>2026</v>
      </c>
      <c r="B537">
        <v>4</v>
      </c>
      <c r="C537" t="s">
        <v>22</v>
      </c>
      <c r="D537" t="s">
        <v>23</v>
      </c>
      <c r="E537" t="s">
        <v>34</v>
      </c>
      <c r="F537" t="s">
        <v>35</v>
      </c>
      <c r="G537" s="2">
        <v>0</v>
      </c>
      <c r="H537" s="2">
        <v>7700</v>
      </c>
      <c r="I537" s="2">
        <v>7700</v>
      </c>
      <c r="J537" s="2" t="str">
        <f>_xlfn.XLOOKUP(Data[[#This Row],[Main SKU]],MD_Main_SKU[Main SKU],MD_Main_SKU[SKU name_gom])</f>
        <v>WSS03</v>
      </c>
      <c r="K537" s="2" t="str">
        <f>_xlfn.XLOOKUP(Data[[#This Row],[Material-Nhập]],MD_Main_SKU[Main SKU],MD_Main_SKU[SKU name_gom])</f>
        <v>WSS03-PL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100D-D293-478F-94E0-F6999E403B8A}">
  <dimension ref="A2:C30"/>
  <sheetViews>
    <sheetView showGridLines="0" zoomScale="145" zoomScaleNormal="145" workbookViewId="0">
      <selection activeCell="C30" sqref="C30"/>
    </sheetView>
  </sheetViews>
  <sheetFormatPr defaultRowHeight="14.5" x14ac:dyDescent="0.35"/>
  <cols>
    <col min="1" max="1" width="12.6640625" bestFit="1" customWidth="1"/>
    <col min="2" max="2" width="26.9140625" customWidth="1"/>
    <col min="3" max="3" width="21.4140625" bestFit="1" customWidth="1"/>
    <col min="5" max="5" width="12.6640625" bestFit="1" customWidth="1"/>
    <col min="6" max="6" width="25.25" bestFit="1" customWidth="1"/>
  </cols>
  <sheetData>
    <row r="2" spans="1:3" x14ac:dyDescent="0.35">
      <c r="A2" s="3" t="s">
        <v>2</v>
      </c>
      <c r="B2" s="3" t="s">
        <v>3</v>
      </c>
      <c r="C2" s="3" t="s">
        <v>66</v>
      </c>
    </row>
    <row r="3" spans="1:3" x14ac:dyDescent="0.35">
      <c r="A3" t="s">
        <v>14</v>
      </c>
      <c r="B3" t="s">
        <v>15</v>
      </c>
      <c r="C3" t="s">
        <v>68</v>
      </c>
    </row>
    <row r="4" spans="1:3" x14ac:dyDescent="0.35">
      <c r="A4" t="s">
        <v>28</v>
      </c>
      <c r="B4" t="s">
        <v>29</v>
      </c>
      <c r="C4" t="s">
        <v>68</v>
      </c>
    </row>
    <row r="5" spans="1:3" x14ac:dyDescent="0.35">
      <c r="A5" t="s">
        <v>18</v>
      </c>
      <c r="B5" t="s">
        <v>19</v>
      </c>
      <c r="C5" t="s">
        <v>69</v>
      </c>
    </row>
    <row r="6" spans="1:3" x14ac:dyDescent="0.35">
      <c r="A6" t="s">
        <v>26</v>
      </c>
      <c r="B6" t="s">
        <v>27</v>
      </c>
      <c r="C6" t="s">
        <v>69</v>
      </c>
    </row>
    <row r="7" spans="1:3" x14ac:dyDescent="0.35">
      <c r="A7" t="s">
        <v>52</v>
      </c>
      <c r="B7" t="s">
        <v>53</v>
      </c>
      <c r="C7" t="s">
        <v>69</v>
      </c>
    </row>
    <row r="8" spans="1:3" x14ac:dyDescent="0.35">
      <c r="A8" t="s">
        <v>44</v>
      </c>
      <c r="B8" t="s">
        <v>45</v>
      </c>
      <c r="C8" t="s">
        <v>69</v>
      </c>
    </row>
    <row r="9" spans="1:3" x14ac:dyDescent="0.35">
      <c r="A9" t="s">
        <v>16</v>
      </c>
      <c r="B9" t="s">
        <v>17</v>
      </c>
      <c r="C9" t="s">
        <v>70</v>
      </c>
    </row>
    <row r="10" spans="1:3" x14ac:dyDescent="0.35">
      <c r="A10" t="s">
        <v>24</v>
      </c>
      <c r="B10" t="s">
        <v>25</v>
      </c>
      <c r="C10" t="s">
        <v>70</v>
      </c>
    </row>
    <row r="11" spans="1:3" x14ac:dyDescent="0.35">
      <c r="A11" t="s">
        <v>48</v>
      </c>
      <c r="B11" t="s">
        <v>49</v>
      </c>
      <c r="C11" t="s">
        <v>70</v>
      </c>
    </row>
    <row r="12" spans="1:3" x14ac:dyDescent="0.35">
      <c r="A12" t="s">
        <v>54</v>
      </c>
      <c r="B12" t="s">
        <v>55</v>
      </c>
      <c r="C12" t="s">
        <v>70</v>
      </c>
    </row>
    <row r="13" spans="1:3" x14ac:dyDescent="0.35">
      <c r="A13" t="s">
        <v>8</v>
      </c>
      <c r="B13" t="s">
        <v>9</v>
      </c>
      <c r="C13" t="s">
        <v>70</v>
      </c>
    </row>
    <row r="14" spans="1:3" x14ac:dyDescent="0.35">
      <c r="A14" t="s">
        <v>22</v>
      </c>
      <c r="B14" t="s">
        <v>23</v>
      </c>
      <c r="C14" t="s">
        <v>71</v>
      </c>
    </row>
    <row r="15" spans="1:3" x14ac:dyDescent="0.35">
      <c r="A15" t="s">
        <v>38</v>
      </c>
      <c r="B15" t="s">
        <v>39</v>
      </c>
      <c r="C15" t="s">
        <v>72</v>
      </c>
    </row>
    <row r="16" spans="1:3" x14ac:dyDescent="0.35">
      <c r="A16" t="s">
        <v>42</v>
      </c>
      <c r="B16" t="s">
        <v>43</v>
      </c>
      <c r="C16" t="s">
        <v>73</v>
      </c>
    </row>
    <row r="17" spans="1:3" x14ac:dyDescent="0.35">
      <c r="A17" t="s">
        <v>50</v>
      </c>
      <c r="B17" t="s">
        <v>51</v>
      </c>
      <c r="C17" t="s">
        <v>73</v>
      </c>
    </row>
    <row r="18" spans="1:3" x14ac:dyDescent="0.35">
      <c r="A18" t="s">
        <v>46</v>
      </c>
      <c r="B18" t="s">
        <v>47</v>
      </c>
      <c r="C18" t="s">
        <v>73</v>
      </c>
    </row>
    <row r="19" spans="1:3" x14ac:dyDescent="0.35">
      <c r="A19" t="s">
        <v>30</v>
      </c>
      <c r="B19" t="s">
        <v>31</v>
      </c>
      <c r="C19" t="s">
        <v>69</v>
      </c>
    </row>
    <row r="20" spans="1:3" x14ac:dyDescent="0.35">
      <c r="A20" t="s">
        <v>36</v>
      </c>
      <c r="B20" t="s">
        <v>37</v>
      </c>
      <c r="C20" t="s">
        <v>74</v>
      </c>
    </row>
    <row r="21" spans="1:3" x14ac:dyDescent="0.35">
      <c r="A21" t="s">
        <v>40</v>
      </c>
      <c r="B21" t="s">
        <v>41</v>
      </c>
      <c r="C21" t="s">
        <v>74</v>
      </c>
    </row>
    <row r="22" spans="1:3" x14ac:dyDescent="0.35">
      <c r="A22" t="s">
        <v>58</v>
      </c>
      <c r="B22" t="s">
        <v>59</v>
      </c>
      <c r="C22" t="s">
        <v>74</v>
      </c>
    </row>
    <row r="23" spans="1:3" x14ac:dyDescent="0.35">
      <c r="A23" t="s">
        <v>60</v>
      </c>
      <c r="B23" t="s">
        <v>61</v>
      </c>
      <c r="C23" t="s">
        <v>74</v>
      </c>
    </row>
    <row r="24" spans="1:3" x14ac:dyDescent="0.35">
      <c r="A24" t="s">
        <v>56</v>
      </c>
      <c r="B24" t="s">
        <v>57</v>
      </c>
      <c r="C24" t="s">
        <v>74</v>
      </c>
    </row>
    <row r="25" spans="1:3" x14ac:dyDescent="0.35">
      <c r="A25" t="s">
        <v>10</v>
      </c>
      <c r="B25" t="s">
        <v>11</v>
      </c>
      <c r="C25" t="s">
        <v>67</v>
      </c>
    </row>
    <row r="26" spans="1:3" x14ac:dyDescent="0.35">
      <c r="A26" t="s">
        <v>20</v>
      </c>
      <c r="B26" t="s">
        <v>21</v>
      </c>
      <c r="C26" t="s">
        <v>67</v>
      </c>
    </row>
    <row r="27" spans="1:3" x14ac:dyDescent="0.35">
      <c r="A27" t="s">
        <v>12</v>
      </c>
      <c r="B27" t="s">
        <v>13</v>
      </c>
      <c r="C27" t="s">
        <v>71</v>
      </c>
    </row>
    <row r="28" spans="1:3" x14ac:dyDescent="0.35">
      <c r="A28" t="s">
        <v>32</v>
      </c>
      <c r="B28" t="s">
        <v>33</v>
      </c>
      <c r="C28" t="s">
        <v>71</v>
      </c>
    </row>
    <row r="29" spans="1:3" x14ac:dyDescent="0.35">
      <c r="A29" t="s">
        <v>34</v>
      </c>
      <c r="B29" t="s">
        <v>35</v>
      </c>
      <c r="C29" t="s">
        <v>75</v>
      </c>
    </row>
    <row r="30" spans="1:3" x14ac:dyDescent="0.35">
      <c r="A30" t="s">
        <v>62</v>
      </c>
      <c r="B30" t="s">
        <v>63</v>
      </c>
      <c r="C30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2024-2026</vt:lpstr>
      <vt:lpstr>2026</vt:lpstr>
      <vt:lpstr>2025</vt:lpstr>
      <vt:lpstr>2024</vt:lpstr>
      <vt:lpstr>Data</vt:lpstr>
      <vt:lpstr>MD-SKU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2026-05-21T03:41:02Z</dcterms:created>
  <dcterms:modified xsi:type="dcterms:W3CDTF">2026-05-21T09:31:03Z</dcterms:modified>
</cp:coreProperties>
</file>