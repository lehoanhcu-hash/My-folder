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O\Unilever\"/>
    </mc:Choice>
  </mc:AlternateContent>
  <xr:revisionPtr revIDLastSave="0" documentId="13_ncr:1_{75F1AEEE-584A-4E77-94E8-905FB52F61E2}" xr6:coauthVersionLast="47" xr6:coauthVersionMax="47" xr10:uidLastSave="{00000000-0000-0000-0000-000000000000}"/>
  <bookViews>
    <workbookView xWindow="-110" yWindow="-110" windowWidth="19420" windowHeight="10300" xr2:uid="{658A8221-188F-4C99-BD01-78B7049C8CFF}"/>
  </bookViews>
  <sheets>
    <sheet name="TH2" sheetId="1" r:id="rId1"/>
  </sheet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>#REF!</definedName>
    <definedName name="K_2">#REF!</definedName>
    <definedName name="KCSCM">#REF!</definedName>
    <definedName name="KH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hidden="1">#REF!</definedName>
    <definedName name="Print_Area_MI">#REF!</definedName>
    <definedName name="_xlnm.Print_Titles">#N/A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6" i="1"/>
  <c r="D13" i="1"/>
  <c r="H33" i="1"/>
  <c r="G33" i="1"/>
  <c r="F33" i="1"/>
  <c r="E33" i="1"/>
  <c r="D33" i="1"/>
  <c r="H32" i="1"/>
  <c r="G32" i="1"/>
  <c r="F32" i="1"/>
  <c r="E32" i="1"/>
  <c r="H31" i="1"/>
  <c r="G31" i="1"/>
  <c r="F31" i="1"/>
  <c r="E31" i="1"/>
  <c r="D32" i="1"/>
  <c r="D31" i="1"/>
  <c r="G16" i="1"/>
  <c r="E16" i="1"/>
  <c r="D16" i="1"/>
  <c r="H29" i="1"/>
  <c r="G29" i="1"/>
  <c r="F29" i="1"/>
  <c r="E29" i="1"/>
  <c r="D29" i="1"/>
  <c r="H27" i="1" l="1"/>
  <c r="H28" i="1" s="1"/>
  <c r="E27" i="1"/>
  <c r="E28" i="1" s="1"/>
  <c r="D27" i="1"/>
  <c r="D28" i="1" s="1"/>
  <c r="C27" i="1"/>
  <c r="C28" i="1" s="1"/>
  <c r="H26" i="1"/>
  <c r="G26" i="1"/>
  <c r="G27" i="1" s="1"/>
  <c r="G28" i="1" s="1"/>
  <c r="F26" i="1"/>
  <c r="F27" i="1" s="1"/>
  <c r="F28" i="1" s="1"/>
  <c r="E26" i="1"/>
  <c r="D26" i="1"/>
  <c r="D21" i="1"/>
  <c r="G15" i="1"/>
  <c r="C15" i="1"/>
  <c r="G14" i="1"/>
  <c r="D14" i="1"/>
  <c r="D15" i="1" s="1"/>
  <c r="C14" i="1"/>
  <c r="G13" i="1"/>
  <c r="F14" i="1"/>
  <c r="F15" i="1" s="1"/>
  <c r="E13" i="1"/>
  <c r="E14" i="1" s="1"/>
  <c r="E15" i="1" s="1"/>
  <c r="D7" i="1"/>
</calcChain>
</file>

<file path=xl/sharedStrings.xml><?xml version="1.0" encoding="utf-8"?>
<sst xmlns="http://schemas.openxmlformats.org/spreadsheetml/2006/main" count="39" uniqueCount="22">
  <si>
    <t>MA TRẬN LỢI NHUẬN THEO THỜI GIAN TRẢ CHẬM</t>
  </si>
  <si>
    <t>Khách hàng: Unilever</t>
  </si>
  <si>
    <t>1. PET</t>
  </si>
  <si>
    <t>Sản lượng kế hoạch 2025 (tấn)</t>
  </si>
  <si>
    <t>Sản lượng thực tế đến T11.2025 (tấn)</t>
  </si>
  <si>
    <t>Sản lượng kế hoạch 2026 (tấn)</t>
  </si>
  <si>
    <t>Đơn vị tính: USD/tấn</t>
  </si>
  <si>
    <t>STT</t>
  </si>
  <si>
    <t>Nội dung</t>
  </si>
  <si>
    <t>60 ngày</t>
  </si>
  <si>
    <t>90 ngày</t>
  </si>
  <si>
    <t>120 ngày</t>
  </si>
  <si>
    <t>150 ngày</t>
  </si>
  <si>
    <t>170 ngày</t>
  </si>
  <si>
    <t>Giá bán</t>
  </si>
  <si>
    <t>Giá vốn</t>
  </si>
  <si>
    <t>Lãi trả chậm phát sinh thêm</t>
  </si>
  <si>
    <t>Lợi nhuận</t>
  </si>
  <si>
    <t>% Lợi nhuận</t>
  </si>
  <si>
    <t>2. HDPE</t>
  </si>
  <si>
    <t>30 ngày</t>
  </si>
  <si>
    <t>% CFTC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</si>
</sst>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8">
    <font>
      <sz val="10"/>
      <color theme="1"/>
      <name val=".VnArial"/>
      <family val="2"/>
      <charset val="163"/>
    </font>
    <font>
      <sz val="10"/>
      <color theme="1"/>
      <name val=".VnArial"/>
      <family val="2"/>
      <charset val="163"/>
    </font>
    <font>
      <b/>
      <sz val="16"/>
      <color rgb="FF0000FF"/>
      <name val="Arial"/>
      <family val="2"/>
    </font>
    <font>
      <sz val="10"/>
      <name val="Arial"/>
      <family val="2"/>
    </font>
    <font>
      <i/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165" fontId="3" fillId="2" borderId="0" xfId="1" applyNumberFormat="1" applyFont="1" applyFill="1"/>
    <xf numFmtId="9" fontId="3" fillId="2" borderId="0" xfId="2" applyFont="1" applyFill="1"/>
    <xf numFmtId="0" fontId="6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165" fontId="5" fillId="2" borderId="2" xfId="1" applyNumberFormat="1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165" fontId="3" fillId="2" borderId="3" xfId="1" applyNumberFormat="1" applyFont="1" applyFill="1" applyBorder="1"/>
    <xf numFmtId="165" fontId="3" fillId="2" borderId="3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/>
    <xf numFmtId="9" fontId="3" fillId="2" borderId="4" xfId="2" applyFont="1" applyFill="1" applyBorder="1"/>
    <xf numFmtId="166" fontId="3" fillId="2" borderId="0" xfId="2" applyNumberFormat="1" applyFont="1" applyFill="1"/>
    <xf numFmtId="10" fontId="3" fillId="2" borderId="0" xfId="2" applyNumberFormat="1" applyFont="1" applyFill="1"/>
    <xf numFmtId="0" fontId="7" fillId="4" borderId="0" xfId="0" applyFont="1" applyFill="1"/>
    <xf numFmtId="166" fontId="7" fillId="4" borderId="0" xfId="2" applyNumberFormat="1" applyFont="1" applyFill="1"/>
    <xf numFmtId="165" fontId="3" fillId="2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9290-7B76-4F13-8B48-E696354C514B}">
  <sheetPr>
    <tabColor rgb="FF00B0F0"/>
  </sheetPr>
  <dimension ref="A1:J33"/>
  <sheetViews>
    <sheetView tabSelected="1" topLeftCell="A9" workbookViewId="0">
      <selection activeCell="B21" sqref="B21"/>
    </sheetView>
  </sheetViews>
  <sheetFormatPr defaultColWidth="8.90625" defaultRowHeight="12.5"/>
  <cols>
    <col min="1" max="1" width="8.90625" style="2"/>
    <col min="2" max="2" width="34.08984375" style="2" customWidth="1"/>
    <col min="3" max="7" width="10.453125" style="2" customWidth="1"/>
    <col min="8" max="16384" width="8.90625" style="2"/>
  </cols>
  <sheetData>
    <row r="1" spans="1:10" ht="20">
      <c r="A1" s="1" t="s">
        <v>0</v>
      </c>
    </row>
    <row r="2" spans="1:10" ht="13">
      <c r="A2" s="3" t="s">
        <v>1</v>
      </c>
    </row>
    <row r="4" spans="1:10" ht="13">
      <c r="A4" s="4" t="s">
        <v>2</v>
      </c>
      <c r="B4" s="4"/>
    </row>
    <row r="6" spans="1:10">
      <c r="B6" s="2" t="s">
        <v>3</v>
      </c>
      <c r="C6" s="5">
        <v>4000</v>
      </c>
    </row>
    <row r="7" spans="1:10">
      <c r="B7" s="2" t="s">
        <v>4</v>
      </c>
      <c r="C7" s="5">
        <v>3401</v>
      </c>
      <c r="D7" s="6">
        <f>+C7/C6</f>
        <v>0.85024999999999995</v>
      </c>
    </row>
    <row r="8" spans="1:10">
      <c r="B8" s="2" t="s">
        <v>5</v>
      </c>
      <c r="C8" s="5">
        <v>4000</v>
      </c>
      <c r="D8" s="6"/>
    </row>
    <row r="9" spans="1:10">
      <c r="C9" s="5"/>
      <c r="D9" s="6"/>
      <c r="F9" s="2" t="s">
        <v>6</v>
      </c>
    </row>
    <row r="10" spans="1:10" s="8" customFormat="1" ht="16.25" customHeight="1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2"/>
      <c r="I10" s="2"/>
      <c r="J10" s="2"/>
    </row>
    <row r="11" spans="1:10" ht="13">
      <c r="A11" s="9">
        <v>1</v>
      </c>
      <c r="B11" s="10" t="s">
        <v>14</v>
      </c>
      <c r="C11" s="11">
        <v>1250</v>
      </c>
      <c r="D11" s="11">
        <v>1250</v>
      </c>
      <c r="E11" s="11">
        <v>1250</v>
      </c>
      <c r="F11" s="11">
        <v>1250</v>
      </c>
      <c r="G11" s="11">
        <v>1250</v>
      </c>
    </row>
    <row r="12" spans="1:10">
      <c r="A12" s="12">
        <v>2</v>
      </c>
      <c r="B12" s="13" t="s">
        <v>15</v>
      </c>
      <c r="C12" s="14">
        <v>1093</v>
      </c>
      <c r="D12" s="14">
        <v>1093</v>
      </c>
      <c r="E12" s="14">
        <v>1093</v>
      </c>
      <c r="F12" s="14">
        <v>1093</v>
      </c>
      <c r="G12" s="14">
        <v>1093</v>
      </c>
    </row>
    <row r="13" spans="1:10">
      <c r="A13" s="12">
        <v>3</v>
      </c>
      <c r="B13" s="13" t="s">
        <v>16</v>
      </c>
      <c r="C13" s="13">
        <v>0</v>
      </c>
      <c r="D13" s="14">
        <f>+(D11*8%/12)*1</f>
        <v>8.3333333333333339</v>
      </c>
      <c r="E13" s="14">
        <f>+(E11*8%/12)*2</f>
        <v>16.666666666666668</v>
      </c>
      <c r="F13" s="14">
        <f>+(F11*8%/12)*3</f>
        <v>25</v>
      </c>
      <c r="G13" s="14">
        <f>+(G11*8%/12)*4</f>
        <v>33.333333333333336</v>
      </c>
    </row>
    <row r="14" spans="1:10">
      <c r="A14" s="12">
        <v>4</v>
      </c>
      <c r="B14" s="13" t="s">
        <v>17</v>
      </c>
      <c r="C14" s="15">
        <f>+C11-C12-C13</f>
        <v>157</v>
      </c>
      <c r="D14" s="15">
        <f t="shared" ref="D14:G14" si="0">+D11-D12-D13</f>
        <v>148.66666666666666</v>
      </c>
      <c r="E14" s="15">
        <f t="shared" si="0"/>
        <v>140.33333333333334</v>
      </c>
      <c r="F14" s="15">
        <f t="shared" si="0"/>
        <v>132</v>
      </c>
      <c r="G14" s="15">
        <f t="shared" si="0"/>
        <v>123.66666666666666</v>
      </c>
    </row>
    <row r="15" spans="1:10">
      <c r="A15" s="16">
        <v>5</v>
      </c>
      <c r="B15" s="17" t="s">
        <v>18</v>
      </c>
      <c r="C15" s="18">
        <f>+C14/C12</f>
        <v>0.14364135407136322</v>
      </c>
      <c r="D15" s="18">
        <f t="shared" ref="D15:G15" si="1">+D14/D12</f>
        <v>0.13601707837755411</v>
      </c>
      <c r="E15" s="18">
        <f t="shared" si="1"/>
        <v>0.12839280268374506</v>
      </c>
      <c r="F15" s="18">
        <f t="shared" si="1"/>
        <v>0.12076852698993595</v>
      </c>
      <c r="G15" s="18">
        <f t="shared" si="1"/>
        <v>0.11314425129612686</v>
      </c>
    </row>
    <row r="16" spans="1:10" ht="13">
      <c r="B16" s="21" t="s">
        <v>21</v>
      </c>
      <c r="C16" s="21"/>
      <c r="D16" s="22">
        <f>D13/D11</f>
        <v>6.6666666666666671E-3</v>
      </c>
      <c r="E16" s="22">
        <f t="shared" ref="E16:H16" si="2">E13/E11</f>
        <v>1.3333333333333334E-2</v>
      </c>
      <c r="F16" s="22">
        <f>F13/F11</f>
        <v>0.02</v>
      </c>
      <c r="G16" s="22">
        <f t="shared" si="2"/>
        <v>2.6666666666666668E-2</v>
      </c>
      <c r="H16" s="19"/>
    </row>
    <row r="17" spans="1:8">
      <c r="D17" s="20"/>
    </row>
    <row r="18" spans="1:8" ht="13">
      <c r="A18" s="4" t="s">
        <v>19</v>
      </c>
      <c r="B18" s="4"/>
    </row>
    <row r="20" spans="1:8">
      <c r="B20" s="2" t="s">
        <v>3</v>
      </c>
      <c r="C20" s="5">
        <v>4000</v>
      </c>
    </row>
    <row r="21" spans="1:8">
      <c r="B21" s="2" t="s">
        <v>4</v>
      </c>
      <c r="C21" s="5">
        <v>1459.35</v>
      </c>
      <c r="D21" s="6">
        <f>+C21/C20</f>
        <v>0.36483749999999998</v>
      </c>
    </row>
    <row r="22" spans="1:8">
      <c r="B22" s="2" t="s">
        <v>5</v>
      </c>
      <c r="C22" s="5">
        <v>4000</v>
      </c>
      <c r="D22" s="6"/>
      <c r="F22" s="2" t="s">
        <v>6</v>
      </c>
    </row>
    <row r="23" spans="1:8" ht="13">
      <c r="A23" s="7" t="s">
        <v>7</v>
      </c>
      <c r="B23" s="7" t="s">
        <v>8</v>
      </c>
      <c r="C23" s="7" t="s">
        <v>20</v>
      </c>
      <c r="D23" s="7" t="s">
        <v>9</v>
      </c>
      <c r="E23" s="7" t="s">
        <v>10</v>
      </c>
      <c r="F23" s="7" t="s">
        <v>11</v>
      </c>
      <c r="G23" s="7" t="s">
        <v>12</v>
      </c>
      <c r="H23" s="7" t="s">
        <v>13</v>
      </c>
    </row>
    <row r="24" spans="1:8" ht="13">
      <c r="A24" s="9">
        <v>1</v>
      </c>
      <c r="B24" s="10" t="s">
        <v>14</v>
      </c>
      <c r="C24" s="11">
        <v>1300</v>
      </c>
      <c r="D24" s="11">
        <v>1300</v>
      </c>
      <c r="E24" s="11">
        <v>1300</v>
      </c>
      <c r="F24" s="11">
        <v>1300</v>
      </c>
      <c r="G24" s="11">
        <v>1300</v>
      </c>
      <c r="H24" s="11">
        <v>1300</v>
      </c>
    </row>
    <row r="25" spans="1:8">
      <c r="A25" s="12">
        <v>2</v>
      </c>
      <c r="B25" s="13" t="s">
        <v>15</v>
      </c>
      <c r="C25" s="14">
        <v>1187</v>
      </c>
      <c r="D25" s="14">
        <v>1187</v>
      </c>
      <c r="E25" s="14">
        <v>1187</v>
      </c>
      <c r="F25" s="14">
        <v>1187</v>
      </c>
      <c r="G25" s="14">
        <v>1187</v>
      </c>
      <c r="H25" s="14">
        <v>1187</v>
      </c>
    </row>
    <row r="26" spans="1:8">
      <c r="A26" s="12">
        <v>3</v>
      </c>
      <c r="B26" s="13" t="s">
        <v>16</v>
      </c>
      <c r="C26" s="14">
        <v>0</v>
      </c>
      <c r="D26" s="14">
        <f>+(D24*8%/12)*1</f>
        <v>8.6666666666666661</v>
      </c>
      <c r="E26" s="14">
        <f>+(E24*8%/12)*2</f>
        <v>17.333333333333332</v>
      </c>
      <c r="F26" s="14">
        <f>+(F24*8%/12)*3</f>
        <v>26</v>
      </c>
      <c r="G26" s="14">
        <f>+(G24*8%/12)*4</f>
        <v>34.666666666666664</v>
      </c>
      <c r="H26" s="14">
        <f>+(H24*8%/12)*5</f>
        <v>43.333333333333329</v>
      </c>
    </row>
    <row r="27" spans="1:8">
      <c r="A27" s="12">
        <v>4</v>
      </c>
      <c r="B27" s="13" t="s">
        <v>17</v>
      </c>
      <c r="C27" s="15">
        <f>+C24-C25-C26</f>
        <v>113</v>
      </c>
      <c r="D27" s="15">
        <f>+D24-D25-D26</f>
        <v>104.33333333333333</v>
      </c>
      <c r="E27" s="15">
        <f t="shared" ref="E27:H27" si="3">+E24-E25-E26</f>
        <v>95.666666666666671</v>
      </c>
      <c r="F27" s="15">
        <f t="shared" si="3"/>
        <v>87</v>
      </c>
      <c r="G27" s="15">
        <f t="shared" si="3"/>
        <v>78.333333333333343</v>
      </c>
      <c r="H27" s="15">
        <f t="shared" si="3"/>
        <v>69.666666666666671</v>
      </c>
    </row>
    <row r="28" spans="1:8">
      <c r="A28" s="16">
        <v>5</v>
      </c>
      <c r="B28" s="17" t="s">
        <v>18</v>
      </c>
      <c r="C28" s="18">
        <f>+C27/C25</f>
        <v>9.5197978096040442E-2</v>
      </c>
      <c r="D28" s="18">
        <f>+D27/D25</f>
        <v>8.7896658242066827E-2</v>
      </c>
      <c r="E28" s="18">
        <f t="shared" ref="E28:H28" si="4">+E27/E25</f>
        <v>8.0595338388093241E-2</v>
      </c>
      <c r="F28" s="18">
        <f t="shared" si="4"/>
        <v>7.3294018534119626E-2</v>
      </c>
      <c r="G28" s="18">
        <f t="shared" si="4"/>
        <v>6.5992698680146039E-2</v>
      </c>
      <c r="H28" s="18">
        <f t="shared" si="4"/>
        <v>5.8691378826172425E-2</v>
      </c>
    </row>
    <row r="29" spans="1:8" ht="13">
      <c r="B29" s="21" t="s">
        <v>21</v>
      </c>
      <c r="C29" s="21"/>
      <c r="D29" s="22">
        <f>D26/D24</f>
        <v>6.6666666666666662E-3</v>
      </c>
      <c r="E29" s="22">
        <f t="shared" ref="E29:H29" si="5">E26/E24</f>
        <v>1.3333333333333332E-2</v>
      </c>
      <c r="F29" s="22">
        <f t="shared" si="5"/>
        <v>0.02</v>
      </c>
      <c r="G29" s="22">
        <f t="shared" si="5"/>
        <v>2.6666666666666665E-2</v>
      </c>
      <c r="H29" s="22">
        <f t="shared" si="5"/>
        <v>3.3333333333333333E-2</v>
      </c>
    </row>
    <row r="31" spans="1:8">
      <c r="D31" s="23">
        <f>D12+D25</f>
        <v>2280</v>
      </c>
      <c r="E31" s="23">
        <f t="shared" ref="E31:H31" si="6">E12+E25</f>
        <v>2280</v>
      </c>
      <c r="F31" s="23">
        <f t="shared" si="6"/>
        <v>2280</v>
      </c>
      <c r="G31" s="23">
        <f t="shared" si="6"/>
        <v>2280</v>
      </c>
      <c r="H31" s="23">
        <f t="shared" si="6"/>
        <v>1187</v>
      </c>
    </row>
    <row r="32" spans="1:8">
      <c r="D32" s="23">
        <f>D13+D26</f>
        <v>17</v>
      </c>
      <c r="E32" s="23">
        <f t="shared" ref="E32:H32" si="7">E13+E26</f>
        <v>34</v>
      </c>
      <c r="F32" s="23">
        <f t="shared" si="7"/>
        <v>51</v>
      </c>
      <c r="G32" s="23">
        <f t="shared" si="7"/>
        <v>68</v>
      </c>
      <c r="H32" s="23">
        <f t="shared" si="7"/>
        <v>43.333333333333329</v>
      </c>
    </row>
    <row r="33" spans="4:8">
      <c r="D33" s="23">
        <f>D31+D32</f>
        <v>2297</v>
      </c>
      <c r="E33" s="23">
        <f t="shared" ref="E33:H33" si="8">E31+E32</f>
        <v>2314</v>
      </c>
      <c r="F33" s="23">
        <f t="shared" si="8"/>
        <v>2331</v>
      </c>
      <c r="G33" s="23">
        <f t="shared" si="8"/>
        <v>2348</v>
      </c>
      <c r="H33" s="23">
        <f t="shared" si="8"/>
        <v>1230.3333333333333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Cư, Lê Hoành</cp:lastModifiedBy>
  <dcterms:created xsi:type="dcterms:W3CDTF">2025-12-04T06:40:49Z</dcterms:created>
  <dcterms:modified xsi:type="dcterms:W3CDTF">2025-12-08T05:34:37Z</dcterms:modified>
</cp:coreProperties>
</file>