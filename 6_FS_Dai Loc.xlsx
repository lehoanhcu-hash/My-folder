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ai Loc/"/>
    </mc:Choice>
  </mc:AlternateContent>
  <xr:revisionPtr revIDLastSave="1494" documentId="8_{782CD71B-437F-4E09-B935-689D96C21867}" xr6:coauthVersionLast="47" xr6:coauthVersionMax="47" xr10:uidLastSave="{9CF7ACD5-4C89-4248-93BA-D167E030F0D1}"/>
  <workbookProtection workbookAlgorithmName="SHA-512" workbookHashValue="mjDteM0kBKXGsUfzSDTCitJnAlpHzdg/VR5cjMU/O06sRTr4FUPdxxUbb4PcRc4gUAzdcRPzsOnADqiF7GNd4g==" workbookSaltValue="5iOjn+HTdEOeQjUOZ+V+jQ==" workbookSpinCount="100000" lockStructure="1"/>
  <bookViews>
    <workbookView xWindow="-120" yWindow="-120" windowWidth="29040" windowHeight="15720" tabRatio="695" firstSheet="6" activeTab="6" xr2:uid="{D668EAEC-9F1C-4430-ADF3-8139D0A134D5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externalReferences>
    <externalReference r:id="rId14"/>
  </externalReference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4" i="4" l="1"/>
  <c r="BP8" i="4"/>
  <c r="BP41" i="3"/>
  <c r="BP4" i="3"/>
  <c r="BP126" i="1"/>
  <c r="BP114" i="1"/>
  <c r="BP129" i="1" s="1"/>
  <c r="BP99" i="1"/>
  <c r="BP83" i="1"/>
  <c r="BP82" i="1"/>
  <c r="BP76" i="1"/>
  <c r="BP66" i="1"/>
  <c r="BP51" i="1"/>
  <c r="BP45" i="1"/>
  <c r="BP44" i="1" s="1"/>
  <c r="BP36" i="1" s="1"/>
  <c r="BP81" i="1" s="1"/>
  <c r="BP30" i="1"/>
  <c r="BP4" i="1" s="1"/>
  <c r="BP23" i="1"/>
  <c r="BP15" i="1"/>
  <c r="BP8" i="1"/>
  <c r="BP5" i="1"/>
  <c r="BP67" i="5"/>
  <c r="BP59" i="5"/>
  <c r="BP58" i="5" s="1"/>
  <c r="BJ68" i="5"/>
  <c r="BI68" i="5"/>
  <c r="BW58" i="5"/>
  <c r="BV58" i="5"/>
  <c r="BU58" i="5"/>
  <c r="BT58" i="5"/>
  <c r="BS58" i="5"/>
  <c r="BR58" i="5"/>
  <c r="BQ58" i="5"/>
  <c r="BO58" i="5"/>
  <c r="BN58" i="5"/>
  <c r="BM58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Z58" i="5"/>
  <c r="BK38" i="4"/>
  <c r="BA38" i="4"/>
  <c r="BB38" i="4"/>
  <c r="BC38" i="4"/>
  <c r="BD38" i="4"/>
  <c r="BE38" i="4"/>
  <c r="BF38" i="4"/>
  <c r="BG38" i="4"/>
  <c r="BH38" i="4"/>
  <c r="BI38" i="4"/>
  <c r="BJ38" i="4"/>
  <c r="AZ38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BA67" i="5"/>
  <c r="BB67" i="5"/>
  <c r="BC67" i="5"/>
  <c r="BD67" i="5"/>
  <c r="BE67" i="5"/>
  <c r="BF67" i="5"/>
  <c r="BG67" i="5"/>
  <c r="BH67" i="5"/>
  <c r="BI67" i="5"/>
  <c r="BJ67" i="5"/>
  <c r="BK67" i="5"/>
  <c r="AZ67" i="5"/>
  <c r="R15" i="12" l="1"/>
  <c r="BO85" i="1"/>
  <c r="BO16" i="1"/>
  <c r="V331" i="12"/>
  <c r="V287" i="12"/>
  <c r="BL8" i="4"/>
  <c r="BM8" i="4"/>
  <c r="BN8" i="4"/>
  <c r="BO32" i="3"/>
  <c r="BO23" i="3"/>
  <c r="BO41" i="3" s="1"/>
  <c r="BO13" i="3"/>
  <c r="BO4" i="2"/>
  <c r="BO8" i="4" s="1"/>
  <c r="BO126" i="1"/>
  <c r="BO114" i="1" s="1"/>
  <c r="BO99" i="1"/>
  <c r="BO83" i="1"/>
  <c r="BO82" i="1" s="1"/>
  <c r="BO76" i="1"/>
  <c r="BO66" i="1"/>
  <c r="BO51" i="1"/>
  <c r="BO44" i="1" s="1"/>
  <c r="BO36" i="1" s="1"/>
  <c r="BO45" i="1"/>
  <c r="BO30" i="1"/>
  <c r="BO23" i="1"/>
  <c r="BO15" i="1"/>
  <c r="BO8" i="1"/>
  <c r="BO5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BM23" i="1"/>
  <c r="BL23" i="1"/>
  <c r="BM99" i="1"/>
  <c r="BL99" i="1"/>
  <c r="BL126" i="1"/>
  <c r="BL114" i="1" s="1"/>
  <c r="BM126" i="1"/>
  <c r="BM114" i="1" s="1"/>
  <c r="C9" i="6"/>
  <c r="D16" i="10" s="1"/>
  <c r="BN32" i="3"/>
  <c r="BN23" i="3"/>
  <c r="BN41" i="3" s="1"/>
  <c r="BN13" i="3"/>
  <c r="BN126" i="1"/>
  <c r="BN114" i="1" s="1"/>
  <c r="BN99" i="1"/>
  <c r="BN83" i="1"/>
  <c r="BN23" i="1"/>
  <c r="BN76" i="1"/>
  <c r="BN66" i="1"/>
  <c r="BN51" i="1"/>
  <c r="BN45" i="1"/>
  <c r="BN44" i="1" s="1"/>
  <c r="BN36" i="1" s="1"/>
  <c r="BN30" i="1"/>
  <c r="BN15" i="1"/>
  <c r="BN8" i="1"/>
  <c r="BM13" i="3"/>
  <c r="BM23" i="3" s="1"/>
  <c r="BM41" i="3" s="1"/>
  <c r="BM44" i="3" s="1"/>
  <c r="BN42" i="3" s="1"/>
  <c r="T15" i="12"/>
  <c r="BM83" i="1"/>
  <c r="BM51" i="1"/>
  <c r="BM45" i="1"/>
  <c r="BM44" i="1" s="1"/>
  <c r="BM36" i="1" s="1"/>
  <c r="BM30" i="1"/>
  <c r="BM15" i="1"/>
  <c r="BM8" i="1"/>
  <c r="BM5" i="1"/>
  <c r="BN5" i="1"/>
  <c r="BW67" i="5"/>
  <c r="BV67" i="5"/>
  <c r="BU67" i="5"/>
  <c r="BT67" i="5"/>
  <c r="BS67" i="5"/>
  <c r="BR67" i="5"/>
  <c r="BQ67" i="5"/>
  <c r="BO67" i="5"/>
  <c r="BN67" i="5"/>
  <c r="BM67" i="5"/>
  <c r="BL67" i="5"/>
  <c r="BL83" i="1"/>
  <c r="BL82" i="1" s="1"/>
  <c r="BL51" i="1"/>
  <c r="BL45" i="1"/>
  <c r="BL44" i="1" s="1"/>
  <c r="BL36" i="1" s="1"/>
  <c r="BL30" i="1"/>
  <c r="BL15" i="1"/>
  <c r="BL8" i="1"/>
  <c r="BL5" i="1"/>
  <c r="BL4" i="1"/>
  <c r="BN44" i="3" l="1"/>
  <c r="BO42" i="3" s="1"/>
  <c r="BO44" i="3" s="1"/>
  <c r="BP42" i="3" s="1"/>
  <c r="BP44" i="3" s="1"/>
  <c r="BL81" i="1"/>
  <c r="BL129" i="1"/>
  <c r="BN4" i="1"/>
  <c r="BN81" i="1" s="1"/>
  <c r="BM82" i="1"/>
  <c r="BM129" i="1" s="1"/>
  <c r="BN82" i="1"/>
  <c r="BN129" i="1" s="1"/>
  <c r="BO4" i="1"/>
  <c r="BO81" i="1" s="1"/>
  <c r="BM4" i="1"/>
  <c r="BM81" i="1" s="1"/>
  <c r="BO129" i="1"/>
  <c r="D7" i="9"/>
  <c r="C7" i="6"/>
  <c r="E9" i="11" s="1"/>
  <c r="D9" i="11"/>
  <c r="B9" i="11"/>
  <c r="A6" i="11"/>
  <c r="F9" i="10"/>
  <c r="D9" i="10"/>
  <c r="A5" i="10"/>
  <c r="C7" i="9"/>
  <c r="A5" i="9"/>
  <c r="E49" i="11"/>
  <c r="D49" i="11"/>
  <c r="C49" i="11"/>
  <c r="B49" i="11"/>
  <c r="E48" i="11"/>
  <c r="D48" i="11"/>
  <c r="C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B48" i="11" l="1"/>
  <c r="E9" i="10"/>
  <c r="G9" i="10"/>
  <c r="C9" i="11"/>
  <c r="A1" i="12"/>
  <c r="AE279" i="12"/>
  <c r="AE278" i="12"/>
  <c r="AE277" i="12"/>
  <c r="AE276" i="12"/>
  <c r="AE275" i="12"/>
  <c r="AE274" i="12"/>
  <c r="AE273" i="12"/>
  <c r="AE272" i="12"/>
  <c r="AE270" i="12"/>
  <c r="AE269" i="12"/>
  <c r="AE268" i="12"/>
  <c r="AE267" i="12"/>
  <c r="AE266" i="12"/>
  <c r="AE264" i="12"/>
  <c r="AE263" i="12"/>
  <c r="AE262" i="12"/>
  <c r="AE261" i="12"/>
  <c r="AE260" i="12"/>
  <c r="AE259" i="12"/>
  <c r="AE258" i="12"/>
  <c r="AE257" i="12"/>
  <c r="AE256" i="12"/>
  <c r="AE254" i="12"/>
  <c r="AE253" i="12"/>
  <c r="AE252" i="12"/>
  <c r="AE250" i="12"/>
  <c r="AE249" i="12"/>
  <c r="AE248" i="12"/>
  <c r="AE246" i="12"/>
  <c r="AE245" i="12"/>
  <c r="AE244" i="12"/>
  <c r="AE243" i="12"/>
  <c r="AE242" i="12"/>
  <c r="AE241" i="12"/>
  <c r="AE239" i="12"/>
  <c r="AE238" i="12"/>
  <c r="AE237" i="12"/>
  <c r="AE236" i="12"/>
  <c r="AE235" i="12"/>
  <c r="AE234" i="12"/>
  <c r="AE233" i="12"/>
  <c r="AE232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59" i="11"/>
  <c r="D52" i="11"/>
  <c r="E19" i="11"/>
  <c r="D8" i="11"/>
  <c r="B8" i="11"/>
  <c r="E7" i="11"/>
  <c r="A2" i="11"/>
  <c r="A1" i="11"/>
  <c r="B41" i="10"/>
  <c r="F34" i="10"/>
  <c r="G29" i="10"/>
  <c r="F29" i="10"/>
  <c r="F8" i="10"/>
  <c r="D8" i="10"/>
  <c r="A1" i="10"/>
  <c r="A166" i="9"/>
  <c r="B159" i="9"/>
  <c r="B157" i="9"/>
  <c r="C150" i="9"/>
  <c r="C139" i="9"/>
  <c r="C121" i="9"/>
  <c r="C104" i="9"/>
  <c r="C95" i="9"/>
  <c r="C87" i="9"/>
  <c r="C83" i="9"/>
  <c r="C79" i="9"/>
  <c r="C69" i="9"/>
  <c r="C65" i="9"/>
  <c r="C62" i="9"/>
  <c r="C59" i="9"/>
  <c r="C48" i="9"/>
  <c r="C40" i="9"/>
  <c r="C35" i="9"/>
  <c r="C31" i="9"/>
  <c r="C22" i="9"/>
  <c r="C14" i="9"/>
  <c r="C10" i="9"/>
  <c r="C102" i="9"/>
  <c r="C6" i="9"/>
  <c r="A2" i="9"/>
  <c r="A1" i="9"/>
  <c r="A10" i="8"/>
  <c r="A2" i="8"/>
  <c r="A2" i="10" s="1"/>
  <c r="A1" i="8"/>
  <c r="B55" i="5"/>
  <c r="B73" i="5" s="1"/>
  <c r="B53" i="5"/>
  <c r="B71" i="5" s="1"/>
  <c r="B47" i="5"/>
  <c r="B46" i="5"/>
  <c r="B44" i="5"/>
  <c r="B36" i="5"/>
  <c r="B45" i="5" s="1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Q8" i="4"/>
  <c r="BR8" i="4"/>
  <c r="BS8" i="4"/>
  <c r="BT8" i="4"/>
  <c r="BU8" i="4"/>
  <c r="BV8" i="4"/>
  <c r="BW8" i="4"/>
  <c r="BL9" i="4"/>
  <c r="BM9" i="4"/>
  <c r="BM11" i="4" s="1"/>
  <c r="BN9" i="4"/>
  <c r="BO9" i="4"/>
  <c r="BP9" i="4"/>
  <c r="BQ9" i="4"/>
  <c r="BR9" i="4"/>
  <c r="BS9" i="4"/>
  <c r="BT9" i="4"/>
  <c r="BT11" i="4" s="1"/>
  <c r="BU9" i="4"/>
  <c r="BU11" i="4" s="1"/>
  <c r="BV9" i="4"/>
  <c r="BW9" i="4"/>
  <c r="BL10" i="4"/>
  <c r="BM10" i="4"/>
  <c r="BN10" i="4"/>
  <c r="BO10" i="4"/>
  <c r="BP10" i="4"/>
  <c r="BP11" i="4" s="1"/>
  <c r="BQ10" i="4"/>
  <c r="BQ11" i="4" s="1"/>
  <c r="BR10" i="4"/>
  <c r="BS10" i="4"/>
  <c r="BT10" i="4"/>
  <c r="BU10" i="4"/>
  <c r="BV10" i="4"/>
  <c r="BV11" i="4" s="1"/>
  <c r="BW10" i="4"/>
  <c r="BN11" i="4"/>
  <c r="BL12" i="4"/>
  <c r="BL14" i="4" s="1"/>
  <c r="BM12" i="4"/>
  <c r="BM14" i="4" s="1"/>
  <c r="BN12" i="4"/>
  <c r="BN14" i="4" s="1"/>
  <c r="BO12" i="4"/>
  <c r="BO14" i="4" s="1"/>
  <c r="BP12" i="4"/>
  <c r="BP29" i="4" s="1"/>
  <c r="BQ12" i="4"/>
  <c r="BR12" i="4"/>
  <c r="BS12" i="4"/>
  <c r="BT12" i="4"/>
  <c r="BU12" i="4"/>
  <c r="BV12" i="4"/>
  <c r="BW12" i="4"/>
  <c r="BL16" i="4"/>
  <c r="BM16" i="4"/>
  <c r="BN16" i="4"/>
  <c r="BO16" i="4"/>
  <c r="BP16" i="4"/>
  <c r="BQ16" i="4"/>
  <c r="BR16" i="4"/>
  <c r="BS16" i="4"/>
  <c r="BT16" i="4"/>
  <c r="BT29" i="4" s="1"/>
  <c r="BU16" i="4"/>
  <c r="BV16" i="4"/>
  <c r="BW16" i="4"/>
  <c r="BQ29" i="4"/>
  <c r="BR29" i="4"/>
  <c r="BS29" i="4"/>
  <c r="BL30" i="4"/>
  <c r="BM30" i="4"/>
  <c r="BN30" i="4"/>
  <c r="BN31" i="4" s="1"/>
  <c r="BO30" i="4"/>
  <c r="BP30" i="4"/>
  <c r="BQ30" i="4"/>
  <c r="BR30" i="4"/>
  <c r="BS30" i="4"/>
  <c r="BT30" i="4"/>
  <c r="BT31" i="4" s="1"/>
  <c r="BU30" i="4"/>
  <c r="BV30" i="4"/>
  <c r="BV31" i="4" s="1"/>
  <c r="BW30" i="4"/>
  <c r="BQ31" i="4"/>
  <c r="BR31" i="4"/>
  <c r="BS31" i="4"/>
  <c r="BL32" i="4"/>
  <c r="BL33" i="4" s="1"/>
  <c r="BM32" i="4"/>
  <c r="BN32" i="4"/>
  <c r="BN33" i="4" s="1"/>
  <c r="BO32" i="4"/>
  <c r="BP32" i="4"/>
  <c r="BQ32" i="4"/>
  <c r="BQ33" i="4" s="1"/>
  <c r="BR32" i="4"/>
  <c r="BS32" i="4"/>
  <c r="BT32" i="4"/>
  <c r="BT33" i="4" s="1"/>
  <c r="BU32" i="4"/>
  <c r="BV32" i="4"/>
  <c r="BV33" i="4" s="1"/>
  <c r="BW32" i="4"/>
  <c r="BR33" i="4"/>
  <c r="BS33" i="4"/>
  <c r="BL34" i="4"/>
  <c r="BL35" i="4" s="1"/>
  <c r="BM34" i="4"/>
  <c r="BN34" i="4"/>
  <c r="BN35" i="4" s="1"/>
  <c r="BO34" i="4"/>
  <c r="BO35" i="4" s="1"/>
  <c r="BP34" i="4"/>
  <c r="BQ34" i="4"/>
  <c r="BQ35" i="4" s="1"/>
  <c r="BR34" i="4"/>
  <c r="BS34" i="4"/>
  <c r="BT34" i="4"/>
  <c r="BT35" i="4" s="1"/>
  <c r="BU34" i="4"/>
  <c r="BV34" i="4"/>
  <c r="BV35" i="4" s="1"/>
  <c r="BW34" i="4"/>
  <c r="BW35" i="4" s="1"/>
  <c r="BR35" i="4"/>
  <c r="BS35" i="4"/>
  <c r="BL36" i="4"/>
  <c r="BL37" i="4" s="1"/>
  <c r="BM36" i="4"/>
  <c r="BN36" i="4"/>
  <c r="BN37" i="4" s="1"/>
  <c r="BO36" i="4"/>
  <c r="BO37" i="4" s="1"/>
  <c r="BP36" i="4"/>
  <c r="BQ36" i="4"/>
  <c r="BR36" i="4"/>
  <c r="BS36" i="4"/>
  <c r="BT36" i="4"/>
  <c r="BT37" i="4" s="1"/>
  <c r="BU36" i="4"/>
  <c r="BV36" i="4"/>
  <c r="BV37" i="4" s="1"/>
  <c r="BW36" i="4"/>
  <c r="BW37" i="4" s="1"/>
  <c r="BQ37" i="4"/>
  <c r="BR37" i="4"/>
  <c r="BS37" i="4"/>
  <c r="BL38" i="4"/>
  <c r="BL39" i="4" s="1"/>
  <c r="BM38" i="4"/>
  <c r="BN38" i="4"/>
  <c r="BN39" i="4" s="1"/>
  <c r="BO38" i="4"/>
  <c r="BO39" i="4" s="1"/>
  <c r="BP38" i="4"/>
  <c r="BQ38" i="4"/>
  <c r="BQ39" i="4" s="1"/>
  <c r="BR38" i="4"/>
  <c r="BS38" i="4"/>
  <c r="BT38" i="4"/>
  <c r="BT39" i="4" s="1"/>
  <c r="BU38" i="4"/>
  <c r="BV38" i="4"/>
  <c r="BV39" i="4" s="1"/>
  <c r="BW38" i="4"/>
  <c r="BW39" i="4" s="1"/>
  <c r="BR39" i="4"/>
  <c r="BS39" i="4"/>
  <c r="BL40" i="4"/>
  <c r="BL48" i="4" s="1"/>
  <c r="BM40" i="4"/>
  <c r="BN40" i="4"/>
  <c r="BN48" i="4" s="1"/>
  <c r="BO40" i="4"/>
  <c r="BO48" i="4" s="1"/>
  <c r="BP40" i="4"/>
  <c r="BQ40" i="4"/>
  <c r="BR40" i="4"/>
  <c r="BS40" i="4"/>
  <c r="BT40" i="4"/>
  <c r="BT48" i="4" s="1"/>
  <c r="BU40" i="4"/>
  <c r="BV40" i="4"/>
  <c r="BV48" i="4" s="1"/>
  <c r="BW40" i="4"/>
  <c r="BW48" i="4" s="1"/>
  <c r="BQ48" i="4"/>
  <c r="BR48" i="4"/>
  <c r="BS48" i="4"/>
  <c r="BL49" i="4"/>
  <c r="BL54" i="4" s="1"/>
  <c r="BM49" i="4"/>
  <c r="BN49" i="4"/>
  <c r="BN54" i="4" s="1"/>
  <c r="BO49" i="4"/>
  <c r="BO54" i="4" s="1"/>
  <c r="BP49" i="4"/>
  <c r="BQ49" i="4"/>
  <c r="BR49" i="4"/>
  <c r="BS49" i="4"/>
  <c r="BT49" i="4"/>
  <c r="BT54" i="4" s="1"/>
  <c r="BU49" i="4"/>
  <c r="BV49" i="4"/>
  <c r="BV54" i="4" s="1"/>
  <c r="BW49" i="4"/>
  <c r="BW54" i="4" s="1"/>
  <c r="BQ54" i="4"/>
  <c r="BR54" i="4"/>
  <c r="BS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M57" i="4" s="1"/>
  <c r="BN56" i="4"/>
  <c r="BO56" i="4"/>
  <c r="BP56" i="4"/>
  <c r="BQ56" i="4"/>
  <c r="BQ57" i="4" s="1"/>
  <c r="BR56" i="4"/>
  <c r="BR57" i="4" s="1"/>
  <c r="BS56" i="4"/>
  <c r="BS57" i="4" s="1"/>
  <c r="BT56" i="4"/>
  <c r="BU56" i="4"/>
  <c r="BV56" i="4"/>
  <c r="BW56" i="4"/>
  <c r="BL57" i="4"/>
  <c r="BN57" i="4"/>
  <c r="BO57" i="4"/>
  <c r="BT57" i="4"/>
  <c r="BU57" i="4"/>
  <c r="BV57" i="4"/>
  <c r="BW57" i="4"/>
  <c r="BK56" i="4"/>
  <c r="BK55" i="4"/>
  <c r="BK49" i="4"/>
  <c r="BK40" i="4"/>
  <c r="BK36" i="4"/>
  <c r="BP57" i="4" l="1"/>
  <c r="B51" i="5"/>
  <c r="B60" i="5" s="1"/>
  <c r="BP54" i="4"/>
  <c r="BP48" i="4"/>
  <c r="BP39" i="4"/>
  <c r="BP37" i="4"/>
  <c r="BP35" i="4"/>
  <c r="BP33" i="4"/>
  <c r="BP31" i="4"/>
  <c r="BW33" i="4"/>
  <c r="BO33" i="4"/>
  <c r="BW31" i="4"/>
  <c r="BO31" i="4"/>
  <c r="BW29" i="4"/>
  <c r="BL11" i="4"/>
  <c r="B41" i="5"/>
  <c r="B62" i="5"/>
  <c r="BV29" i="4"/>
  <c r="BN29" i="4"/>
  <c r="BS11" i="4"/>
  <c r="BW11" i="4"/>
  <c r="B43" i="5"/>
  <c r="B64" i="5"/>
  <c r="C58" i="9"/>
  <c r="C47" i="9" s="1"/>
  <c r="BU54" i="4"/>
  <c r="BM54" i="4"/>
  <c r="BU48" i="4"/>
  <c r="BM48" i="4"/>
  <c r="BU39" i="4"/>
  <c r="BM39" i="4"/>
  <c r="BU37" i="4"/>
  <c r="BM37" i="4"/>
  <c r="BU35" i="4"/>
  <c r="BM35" i="4"/>
  <c r="BU33" i="4"/>
  <c r="BM33" i="4"/>
  <c r="BU31" i="4"/>
  <c r="BM31" i="4"/>
  <c r="BU29" i="4"/>
  <c r="BM29" i="4"/>
  <c r="BR11" i="4"/>
  <c r="BO11" i="4"/>
  <c r="BO29" i="4"/>
  <c r="B152" i="9"/>
  <c r="B151" i="9"/>
  <c r="B149" i="9"/>
  <c r="B148" i="9"/>
  <c r="B147" i="9"/>
  <c r="B146" i="9"/>
  <c r="B145" i="9"/>
  <c r="B144" i="9"/>
  <c r="B143" i="9"/>
  <c r="B142" i="9"/>
  <c r="B141" i="9"/>
  <c r="B140" i="9"/>
  <c r="B139" i="9" s="1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99" i="9"/>
  <c r="B98" i="9"/>
  <c r="B97" i="9"/>
  <c r="B96" i="9"/>
  <c r="B93" i="9"/>
  <c r="B92" i="9"/>
  <c r="B91" i="9"/>
  <c r="B90" i="9"/>
  <c r="B89" i="9"/>
  <c r="B88" i="9"/>
  <c r="B85" i="9"/>
  <c r="B84" i="9"/>
  <c r="B81" i="9"/>
  <c r="B80" i="9"/>
  <c r="B77" i="9"/>
  <c r="B76" i="9"/>
  <c r="B75" i="9"/>
  <c r="B74" i="9"/>
  <c r="B73" i="9"/>
  <c r="B72" i="9"/>
  <c r="B71" i="9"/>
  <c r="B70" i="9"/>
  <c r="B67" i="9"/>
  <c r="B66" i="9"/>
  <c r="B64" i="9"/>
  <c r="B63" i="9"/>
  <c r="B61" i="9"/>
  <c r="B60" i="9"/>
  <c r="B54" i="9"/>
  <c r="B53" i="9"/>
  <c r="B52" i="9"/>
  <c r="B51" i="9"/>
  <c r="B50" i="9"/>
  <c r="B49" i="9"/>
  <c r="B45" i="9"/>
  <c r="B44" i="9"/>
  <c r="B43" i="9"/>
  <c r="B42" i="9"/>
  <c r="B41" i="9"/>
  <c r="B38" i="9"/>
  <c r="B37" i="9"/>
  <c r="B36" i="9"/>
  <c r="B33" i="9"/>
  <c r="B32" i="9"/>
  <c r="B29" i="9"/>
  <c r="B28" i="9"/>
  <c r="B27" i="9"/>
  <c r="B26" i="9"/>
  <c r="B25" i="9"/>
  <c r="B24" i="9"/>
  <c r="B23" i="9"/>
  <c r="B20" i="9"/>
  <c r="B19" i="9"/>
  <c r="B18" i="9"/>
  <c r="B17" i="9"/>
  <c r="B16" i="9"/>
  <c r="B15" i="9"/>
  <c r="B12" i="9"/>
  <c r="B11" i="9"/>
  <c r="C103" i="9"/>
  <c r="C38" i="11"/>
  <c r="C8" i="9"/>
  <c r="C138" i="9"/>
  <c r="C19" i="11"/>
  <c r="C29" i="11" s="1"/>
  <c r="C46" i="11"/>
  <c r="D46" i="11"/>
  <c r="E29" i="11"/>
  <c r="D38" i="11"/>
  <c r="D19" i="11"/>
  <c r="D29" i="11" s="1"/>
  <c r="E38" i="11"/>
  <c r="E46" i="11"/>
  <c r="B19" i="11"/>
  <c r="B29" i="11" s="1"/>
  <c r="B38" i="11"/>
  <c r="B46" i="11"/>
  <c r="C137" i="9"/>
  <c r="C56" i="9"/>
  <c r="B7" i="9"/>
  <c r="BL31" i="4"/>
  <c r="BL29" i="4"/>
  <c r="B59" i="5"/>
  <c r="B68" i="5"/>
  <c r="B61" i="5"/>
  <c r="B70" i="5"/>
  <c r="B54" i="5"/>
  <c r="B69" i="5"/>
  <c r="BK10" i="4"/>
  <c r="BK11" i="4" l="1"/>
  <c r="C154" i="9"/>
  <c r="B62" i="9"/>
  <c r="BK48" i="4"/>
  <c r="BK31" i="4"/>
  <c r="BK57" i="4"/>
  <c r="BK37" i="4"/>
  <c r="BK54" i="4"/>
  <c r="BK29" i="4"/>
  <c r="C100" i="9"/>
  <c r="C155" i="9" s="1"/>
  <c r="C47" i="11"/>
  <c r="C50" i="11" s="1"/>
  <c r="D47" i="11"/>
  <c r="D50" i="11" s="1"/>
  <c r="E47" i="11"/>
  <c r="E50" i="11" s="1"/>
  <c r="B31" i="9"/>
  <c r="B48" i="9"/>
  <c r="B59" i="9"/>
  <c r="B65" i="9"/>
  <c r="B83" i="9"/>
  <c r="B47" i="11"/>
  <c r="B50" i="11" s="1"/>
  <c r="B22" i="9"/>
  <c r="B102" i="9"/>
  <c r="B137" i="9"/>
  <c r="B56" i="9"/>
  <c r="B150" i="9"/>
  <c r="B138" i="9" s="1"/>
  <c r="B87" i="9"/>
  <c r="B40" i="9"/>
  <c r="B10" i="9"/>
  <c r="B104" i="9"/>
  <c r="B79" i="9"/>
  <c r="B121" i="9"/>
  <c r="B14" i="9"/>
  <c r="B35" i="9"/>
  <c r="B95" i="9"/>
  <c r="B72" i="5"/>
  <c r="B63" i="5"/>
  <c r="AL15" i="1"/>
  <c r="AK15" i="1"/>
  <c r="AJ15" i="1"/>
  <c r="AI15" i="1"/>
  <c r="AH15" i="1"/>
  <c r="AG15" i="1"/>
  <c r="AF15" i="1"/>
  <c r="AE15" i="1"/>
  <c r="B103" i="9" l="1"/>
  <c r="B154" i="9" s="1"/>
  <c r="B58" i="9"/>
  <c r="B47" i="9" s="1"/>
  <c r="B8" i="9"/>
  <c r="BK39" i="4" l="1"/>
  <c r="BK34" i="4"/>
  <c r="BK35" i="4" s="1"/>
  <c r="BK33" i="4"/>
  <c r="B100" i="9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39410C5F-4FD9-4203-924F-B9FBE1BE2669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D0380771-2AA2-4FB6-AEE1-D6E5B464D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<sst xmlns="http://schemas.openxmlformats.org/spreadsheetml/2006/main" count="1984" uniqueCount="630">
  <si>
    <t>CÔNG TY TNHH THU MUA PHẾ LIỆU ĐẠI LỘC</t>
  </si>
  <si>
    <t>Địa chỉ: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</si>
  <si>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</si>
  <si>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</si>
  <si>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</si>
  <si>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</si>
  <si>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</si>
  <si>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</si>
  <si>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Trần Thị Hương</t>
  </si>
  <si>
    <t>KẾ TOÁN TRƯỞNG</t>
  </si>
  <si>
    <t>GIÁM ĐỐC TÀI CHÍNH</t>
  </si>
  <si>
    <t xml:space="preserve"> THÁNG 01 NĂM 2026</t>
  </si>
  <si>
    <t>Thành phố Hồ Chí Minh, Ngày 31 tháng 01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</si>
  <si>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</si>
  <si>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</si>
  <si>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</si>
  <si>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</si>
  <si>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</si>
  <si>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</si>
  <si>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</si>
  <si>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</si>
  <si>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</si>
  <si>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</si>
  <si>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</si>
  <si>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</si>
  <si>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</si>
  <si>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</si>
  <si>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</si>
  <si>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</si>
  <si>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</si>
  <si>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</si>
  <si>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</si>
  <si>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</si>
  <si>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</si>
  <si>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</si>
  <si>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</si>
  <si>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</si>
  <si>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</si>
  <si>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</si>
  <si>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</si>
  <si>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</si>
  <si>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</si>
  <si>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</si>
  <si>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</si>
  <si>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</si>
  <si>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</si>
  <si>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</si>
  <si>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</si>
  <si>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</si>
  <si>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</si>
  <si>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</si>
  <si>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</si>
  <si>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</si>
  <si>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</si>
  <si>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</si>
  <si>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</si>
  <si>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</si>
  <si>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</si>
  <si>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</si>
  <si>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</si>
  <si>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</si>
  <si>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</si>
  <si>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</si>
  <si>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</si>
  <si>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</si>
  <si>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</si>
  <si>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</si>
  <si>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</si>
  <si>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</si>
  <si>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</si>
  <si>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</si>
  <si>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</si>
  <si>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</si>
  <si>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</si>
  <si>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</si>
  <si>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</si>
  <si>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</si>
  <si>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</si>
  <si>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</si>
  <si>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</si>
  <si>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</si>
  <si>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</si>
  <si>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</si>
  <si>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</si>
  <si>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</si>
  <si>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</si>
  <si>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</si>
  <si>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</si>
  <si>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</si>
  <si>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</si>
  <si>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</si>
  <si>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</si>
  <si>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</si>
  <si>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</si>
  <si>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</si>
  <si>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</si>
  <si>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</si>
  <si>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</si>
  <si>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</si>
  <si>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</si>
  <si>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</si>
  <si>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</si>
  <si>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</si>
  <si>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</si>
  <si>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</si>
  <si>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</si>
  <si>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</si>
  <si>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</si>
  <si>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</si>
  <si>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</si>
  <si>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</si>
  <si>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</si>
  <si>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</si>
  <si>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</si>
  <si>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</si>
  <si>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</si>
  <si>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</si>
  <si>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</si>
  <si>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</si>
  <si>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</si>
  <si>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</si>
  <si>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</si>
  <si>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</si>
  <si>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</si>
  <si>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</si>
  <si>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</si>
  <si>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</si>
  <si>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</si>
  <si>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</si>
  <si>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</si>
  <si>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</si>
  <si>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</si>
  <si>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</si>
  <si>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</si>
  <si>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</si>
  <si>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</si>
  <si>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</si>
  <si>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</si>
  <si>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</si>
  <si>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</si>
  <si>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</si>
  <si>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</si>
  <si>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</si>
  <si>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</si>
  <si>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</si>
  <si>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</si>
  <si>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</si>
  <si>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</si>
  <si>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</si>
  <si>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</si>
  <si>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</si>
  <si>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</si>
  <si>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</si>
  <si>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</si>
  <si>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</si>
  <si>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</si>
  <si>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</si>
  <si>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</si>
  <si>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</si>
  <si>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</si>
  <si>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</si>
  <si>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</si>
  <si>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</si>
  <si>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</si>
  <si>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</si>
  <si>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</si>
  <si>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</si>
  <si>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</si>
  <si>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</si>
  <si>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</si>
  <si>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</si>
  <si>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</si>
  <si>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</si>
  <si>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</si>
  <si>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</si>
  <si>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</si>
  <si>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</si>
  <si>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</si>
  <si>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</si>
  <si>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</si>
  <si>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</si>
  <si>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</si>
  <si>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</si>
  <si>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</si>
  <si>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</si>
  <si>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</si>
  <si>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</si>
  <si>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</si>
  <si>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</si>
  <si>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</si>
  <si>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</si>
  <si>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</si>
  <si>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</si>
  <si>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</si>
  <si>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</si>
  <si>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</si>
  <si>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31 tháng 03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</si>
  <si>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</si>
  <si>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</si>
  <si>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</si>
  <si>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</si>
  <si>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</si>
  <si>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</si>
  <si>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</si>
  <si>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</si>
  <si>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</si>
  <si>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</si>
  <si>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</si>
  <si>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</si>
  <si>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</si>
  <si>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</si>
  <si>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</si>
  <si>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</si>
  <si>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</si>
  <si>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</si>
  <si>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</si>
  <si>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</si>
  <si>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</si>
  <si>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</si>
  <si>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</si>
  <si>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</si>
  <si>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</si>
  <si>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</si>
  <si>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</si>
  <si>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</si>
  <si>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</si>
  <si>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</si>
  <si>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</si>
  <si>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</si>
  <si>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</si>
  <si>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</si>
  <si>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</si>
  <si>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</si>
  <si>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</si>
  <si>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</si>
  <si>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</si>
  <si>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</si>
  <si>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</si>
  <si>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</si>
  <si>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</si>
  <si>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</si>
  <si>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</si>
  <si>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</si>
  <si>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</si>
  <si>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</si>
  <si>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</si>
  <si>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</si>
  <si>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</si>
  <si>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</si>
  <si>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</si>
  <si>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</si>
  <si>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</si>
  <si>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</si>
  <si>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</si>
  <si>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</si>
  <si>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</si>
  <si>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</si>
  <si>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</si>
  <si>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</si>
  <si>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</si>
  <si>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</si>
  <si>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</si>
  <si>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</si>
  <si>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</si>
  <si>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</si>
  <si>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</si>
  <si>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</si>
  <si>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</si>
  <si>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</si>
  <si>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</si>
  <si>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</si>
  <si>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</si>
  <si>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</si>
  <si>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</si>
  <si>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</si>
  <si>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</si>
  <si>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</si>
  <si>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</si>
  <si>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</si>
  <si>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</si>
  <si>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</si>
  <si>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</si>
  <si>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</si>
  <si>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</si>
  <si>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</si>
  <si>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</si>
  <si>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</si>
  <si>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</si>
  <si>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</si>
  <si>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</si>
  <si>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</si>
  <si>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</si>
  <si>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</si>
  <si>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</si>
  <si>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</si>
  <si>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</si>
  <si>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</si>
  <si>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</si>
  <si>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</si>
  <si>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</si>
  <si>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</si>
  <si>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</si>
  <si>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</si>
  <si>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</si>
  <si>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</si>
  <si>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</si>
  <si>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</si>
  <si>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</si>
  <si>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</si>
  <si>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</si>
  <si>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</si>
  <si>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</si>
  <si>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</si>
  <si>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</si>
  <si>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</si>
  <si>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</si>
  <si>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</si>
  <si>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</si>
  <si>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</si>
  <si>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</si>
  <si>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</si>
  <si>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</si>
  <si>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</si>
  <si>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</si>
  <si>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</si>
  <si>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</si>
  <si>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</si>
  <si>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</si>
  <si>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</si>
  <si>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</si>
  <si>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</si>
  <si>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</si>
  <si>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</si>
  <si>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</si>
  <si>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</si>
  <si>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</si>
  <si>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</si>
  <si>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</si>
  <si>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</si>
  <si>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</si>
  <si>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</si>
  <si>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</si>
  <si>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</si>
  <si>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</si>
  <si>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</si>
  <si>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</si>
  <si>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</si>
  <si>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</si>
  <si>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</si>
  <si>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</si>
  <si>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</si>
  <si>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</si>
  <si>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</si>
  <si>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</si>
  <si>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</si>
  <si>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</si>
  <si>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</si>
  <si>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</si>
  <si>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</si>
  <si>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</si>
  <si>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</si>
  <si>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</si>
  <si>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</si>
  <si>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</si>
  <si>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</si>
  <si>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</si>
  <si>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</si>
  <si>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</si>
  <si>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</si>
  <si>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</si>
  <si>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</si>
  <si>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</si>
  <si>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</si>
  <si>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</si>
  <si>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</si>
  <si>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</si>
  <si>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</si>
  <si>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</si>
  <si>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</si>
  <si>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</si>
  <si>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</si>
  <si>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</si>
  <si>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</si>
  <si>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</si>
  <si>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</si>
  <si>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</si>
  <si>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</si>
  <si>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</si>
  <si>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</si>
  <si>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</si>
  <si>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</si>
  <si>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</si>
  <si>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</si>
  <si>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</si>
  <si>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</si>
  <si>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</si>
  <si>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</si>
  <si>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</si>
  <si>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</si>
  <si>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</si>
  <si>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</si>
  <si>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</si>
  <si>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</si>
  <si>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</si>
  <si>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</si>
  <si>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</si>
  <si>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</si>
  <si>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</si>
  <si>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</si>
  <si>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</si>
  <si>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</si>
  <si>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</si>
  <si>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</si>
  <si>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</si>
  <si>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</si>
  <si>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/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</si>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</sst>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  <numFmt numFmtId="176" formatCode="_(* #,##0.000_);_(* \(#,##0.000\);_(* &quot;-&quot;??_);_(@_)"/>
  </numFmts>
  <fonts count="1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sz val="11"/>
      <color rgb="FF000080"/>
      <name val="Times New Roman"/>
      <family val="1"/>
    </font>
    <font>
      <b/>
      <sz val="11"/>
      <color rgb="FF008000"/>
      <name val="Times New Roman"/>
      <family val="1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sz val="10"/>
      <color rgb="FFC65911"/>
      <name val="Arial Nova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</borders>
  <cellStyleXfs count="15">
    <xf numFmtId="0" fontId="0" fillId="0" borderId="0"/>
    <xf numFmtId="9" fontId="17" fillId="0" borderId="0" applyFont="0" applyFill="0" applyBorder="0" applyAlignment="0" applyProtection="0"/>
    <xf numFmtId="0" fontId="2" fillId="0" borderId="0"/>
    <xf numFmtId="0" fontId="6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0" fontId="2" fillId="0" borderId="0"/>
    <xf numFmtId="9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99" fillId="0" borderId="0"/>
    <xf numFmtId="172" fontId="99" fillId="0" borderId="0" applyFont="0" applyFill="0" applyBorder="0" applyAlignment="0" applyProtection="0"/>
  </cellStyleXfs>
  <cellXfs count="682">
    <xf numFmtId="0" fontId="0" fillId="0" borderId="0" xfId="0"/>
    <xf numFmtId="165" fontId="12" fillId="0" borderId="4" xfId="4" applyNumberFormat="1" applyFont="1" applyFill="1" applyBorder="1" applyAlignment="1" applyProtection="1">
      <alignment vertical="top" wrapText="1"/>
      <protection locked="0"/>
    </xf>
    <xf numFmtId="165" fontId="9" fillId="0" borderId="4" xfId="4" applyNumberFormat="1" applyFont="1" applyFill="1" applyBorder="1" applyAlignment="1" applyProtection="1">
      <alignment vertical="top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8" fillId="0" borderId="4" xfId="2" applyNumberFormat="1" applyFont="1" applyBorder="1" applyAlignment="1" applyProtection="1">
      <alignment vertical="top" wrapText="1"/>
      <protection locked="0"/>
    </xf>
    <xf numFmtId="3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Alignment="1" applyProtection="1">
      <alignment vertical="top" wrapText="1"/>
      <protection locked="0"/>
    </xf>
    <xf numFmtId="3" fontId="12" fillId="0" borderId="4" xfId="2" applyNumberFormat="1" applyFont="1" applyBorder="1" applyAlignment="1" applyProtection="1">
      <alignment vertical="top" wrapText="1"/>
      <protection locked="0"/>
    </xf>
    <xf numFmtId="3" fontId="12" fillId="0" borderId="4" xfId="0" applyNumberFormat="1" applyFont="1" applyBorder="1" applyAlignment="1" applyProtection="1">
      <alignment vertical="top" wrapText="1"/>
      <protection locked="0"/>
    </xf>
    <xf numFmtId="3" fontId="16" fillId="0" borderId="1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5" fillId="3" borderId="4" xfId="2" applyNumberFormat="1" applyFont="1" applyFill="1" applyBorder="1" applyAlignment="1" applyProtection="1">
      <alignment vertical="center" wrapText="1"/>
      <protection locked="0"/>
    </xf>
    <xf numFmtId="3" fontId="5" fillId="3" borderId="4" xfId="0" applyNumberFormat="1" applyFont="1" applyFill="1" applyBorder="1" applyAlignment="1" applyProtection="1">
      <alignment vertical="center" wrapText="1"/>
      <protection locked="0"/>
    </xf>
    <xf numFmtId="3" fontId="9" fillId="2" borderId="1" xfId="2" applyNumberFormat="1" applyFont="1" applyFill="1" applyBorder="1" applyAlignment="1">
      <alignment horizontal="left" vertical="top" wrapText="1"/>
    </xf>
    <xf numFmtId="165" fontId="10" fillId="3" borderId="2" xfId="6" applyNumberFormat="1" applyFont="1" applyFill="1" applyBorder="1" applyAlignment="1">
      <alignment horizontal="center" vertical="center" wrapText="1"/>
    </xf>
    <xf numFmtId="3" fontId="29" fillId="0" borderId="1" xfId="2" applyNumberFormat="1" applyFont="1" applyBorder="1" applyAlignment="1">
      <alignment horizontal="left" vertical="top" wrapText="1" indent="1"/>
    </xf>
    <xf numFmtId="3" fontId="13" fillId="0" borderId="1" xfId="2" applyNumberFormat="1" applyFont="1" applyBorder="1" applyAlignment="1">
      <alignment horizontal="left" vertical="top" wrapText="1" indent="1"/>
    </xf>
    <xf numFmtId="3" fontId="15" fillId="0" borderId="1" xfId="2" applyNumberFormat="1" applyFont="1" applyBorder="1" applyAlignment="1">
      <alignment horizontal="left" vertical="top" wrapText="1" indent="1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165" fontId="32" fillId="0" borderId="6" xfId="4" applyNumberFormat="1" applyFont="1" applyBorder="1" applyAlignment="1" applyProtection="1">
      <alignment horizontal="center" vertical="top" wrapText="1"/>
      <protection locked="0"/>
    </xf>
    <xf numFmtId="165" fontId="32" fillId="0" borderId="6" xfId="4" applyNumberFormat="1" applyFont="1" applyFill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vertical="top" wrapText="1"/>
      <protection locked="0"/>
    </xf>
    <xf numFmtId="3" fontId="15" fillId="0" borderId="1" xfId="2" applyNumberFormat="1" applyFont="1" applyBorder="1" applyAlignment="1">
      <alignment horizontal="left" vertical="top" wrapText="1" indent="2"/>
    </xf>
    <xf numFmtId="3" fontId="7" fillId="0" borderId="1" xfId="2" applyNumberFormat="1" applyFont="1" applyBorder="1" applyAlignment="1">
      <alignment horizontal="left" vertical="top" wrapText="1" indent="1"/>
    </xf>
    <xf numFmtId="3" fontId="33" fillId="0" borderId="4" xfId="2" applyNumberFormat="1" applyFont="1" applyBorder="1" applyAlignment="1" applyProtection="1">
      <alignment vertical="top" wrapText="1"/>
      <protection locked="0"/>
    </xf>
    <xf numFmtId="3" fontId="33" fillId="0" borderId="4" xfId="0" applyNumberFormat="1" applyFont="1" applyBorder="1" applyAlignment="1" applyProtection="1">
      <alignment vertical="top" wrapText="1"/>
      <protection locked="0"/>
    </xf>
    <xf numFmtId="165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Protection="1">
      <protection locked="0"/>
    </xf>
    <xf numFmtId="0" fontId="21" fillId="0" borderId="4" xfId="0" applyFont="1" applyBorder="1" applyProtection="1">
      <protection locked="0"/>
    </xf>
    <xf numFmtId="165" fontId="7" fillId="0" borderId="4" xfId="4" quotePrefix="1" applyNumberFormat="1" applyFont="1" applyFill="1" applyBorder="1" applyAlignment="1" applyProtection="1">
      <alignment horizontal="left" indent="1"/>
      <protection locked="0"/>
    </xf>
    <xf numFmtId="165" fontId="7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7" fillId="0" borderId="4" xfId="5" quotePrefix="1" applyNumberFormat="1" applyFont="1" applyFill="1" applyBorder="1" applyAlignment="1" applyProtection="1">
      <alignment horizontal="left" indent="1"/>
      <protection locked="0"/>
    </xf>
    <xf numFmtId="165" fontId="10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0" borderId="4" xfId="5" applyNumberFormat="1" applyFont="1" applyFill="1" applyBorder="1" applyAlignment="1" applyProtection="1">
      <alignment horizontal="left"/>
      <protection locked="0"/>
    </xf>
    <xf numFmtId="165" fontId="9" fillId="0" borderId="4" xfId="4" applyNumberFormat="1" applyFont="1" applyFill="1" applyBorder="1" applyAlignment="1" applyProtection="1">
      <alignment horizontal="left"/>
      <protection locked="0"/>
    </xf>
    <xf numFmtId="165" fontId="10" fillId="0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165" fontId="9" fillId="0" borderId="4" xfId="5" applyNumberFormat="1" applyFont="1" applyFill="1" applyBorder="1" applyProtection="1">
      <protection locked="0"/>
    </xf>
    <xf numFmtId="165" fontId="7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4" borderId="4" xfId="5" applyNumberFormat="1" applyFont="1" applyFill="1" applyBorder="1" applyProtection="1">
      <protection locked="0"/>
    </xf>
    <xf numFmtId="165" fontId="9" fillId="4" borderId="4" xfId="4" applyNumberFormat="1" applyFont="1" applyFill="1" applyBorder="1" applyProtection="1">
      <protection locked="0"/>
    </xf>
    <xf numFmtId="165" fontId="9" fillId="0" borderId="4" xfId="4" applyNumberFormat="1" applyFont="1" applyFill="1" applyBorder="1" applyProtection="1">
      <protection locked="0"/>
    </xf>
    <xf numFmtId="0" fontId="38" fillId="0" borderId="4" xfId="0" applyFont="1" applyBorder="1" applyAlignment="1" applyProtection="1">
      <alignment horizontal="left" indent="1"/>
      <protection locked="0"/>
    </xf>
    <xf numFmtId="0" fontId="38" fillId="0" borderId="4" xfId="2" applyFont="1" applyBorder="1" applyAlignment="1" applyProtection="1">
      <alignment horizontal="left" indent="1"/>
      <protection locked="0"/>
    </xf>
    <xf numFmtId="3" fontId="39" fillId="0" borderId="4" xfId="2" applyNumberFormat="1" applyFont="1" applyBorder="1" applyAlignment="1" applyProtection="1">
      <alignment vertical="top" wrapText="1"/>
      <protection locked="0"/>
    </xf>
    <xf numFmtId="0" fontId="6" fillId="0" borderId="0" xfId="3"/>
    <xf numFmtId="0" fontId="3" fillId="0" borderId="0" xfId="2" applyFont="1" applyAlignment="1">
      <alignment horizontal="left"/>
    </xf>
    <xf numFmtId="0" fontId="5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7" fillId="0" borderId="0" xfId="2" applyFont="1" applyAlignment="1">
      <alignment horizontal="center" vertical="center"/>
    </xf>
    <xf numFmtId="3" fontId="5" fillId="0" borderId="0" xfId="2" applyNumberFormat="1" applyFont="1" applyAlignment="1">
      <alignment horizontal="center"/>
    </xf>
    <xf numFmtId="0" fontId="9" fillId="2" borderId="1" xfId="2" applyFont="1" applyFill="1" applyBorder="1" applyAlignment="1">
      <alignment horizontal="left" vertical="center" wrapText="1"/>
    </xf>
    <xf numFmtId="0" fontId="10" fillId="3" borderId="2" xfId="2" applyFont="1" applyFill="1" applyBorder="1" applyAlignment="1">
      <alignment horizontal="center" vertical="center" wrapText="1"/>
    </xf>
    <xf numFmtId="0" fontId="10" fillId="3" borderId="1" xfId="2" applyFont="1" applyFill="1" applyBorder="1" applyAlignment="1">
      <alignment horizontal="center" vertical="center" wrapText="1"/>
    </xf>
    <xf numFmtId="0" fontId="10" fillId="3" borderId="3" xfId="2" applyFont="1" applyFill="1" applyBorder="1" applyAlignment="1">
      <alignment horizontal="center" vertical="center" wrapText="1"/>
    </xf>
    <xf numFmtId="0" fontId="11" fillId="0" borderId="1" xfId="2" applyFont="1" applyBorder="1" applyAlignment="1">
      <alignment horizontal="left" vertical="top" wrapText="1"/>
    </xf>
    <xf numFmtId="0" fontId="13" fillId="0" borderId="1" xfId="2" applyFont="1" applyBorder="1" applyAlignment="1">
      <alignment horizontal="left" vertical="top" wrapText="1" indent="1"/>
    </xf>
    <xf numFmtId="0" fontId="14" fillId="0" borderId="1" xfId="2" applyFont="1" applyBorder="1" applyAlignment="1">
      <alignment horizontal="left" vertical="top" wrapText="1" indent="2"/>
    </xf>
    <xf numFmtId="0" fontId="14" fillId="0" borderId="4" xfId="2" applyFont="1" applyBorder="1" applyAlignment="1">
      <alignment horizontal="left" vertical="top" wrapText="1" indent="2"/>
    </xf>
    <xf numFmtId="0" fontId="15" fillId="0" borderId="1" xfId="2" applyFont="1" applyBorder="1" applyAlignment="1">
      <alignment horizontal="left" vertical="top" wrapText="1" indent="2"/>
    </xf>
    <xf numFmtId="0" fontId="15" fillId="0" borderId="4" xfId="2" applyFont="1" applyBorder="1" applyAlignment="1">
      <alignment horizontal="left" vertical="top" wrapText="1" indent="2"/>
    </xf>
    <xf numFmtId="0" fontId="12" fillId="0" borderId="1" xfId="2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 indent="1"/>
    </xf>
    <xf numFmtId="0" fontId="9" fillId="0" borderId="1" xfId="2" applyFont="1" applyBorder="1" applyAlignment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3"/>
    </xf>
    <xf numFmtId="0" fontId="9" fillId="0" borderId="4" xfId="2" applyFont="1" applyBorder="1" applyAlignment="1">
      <alignment horizontal="left" vertical="top" wrapText="1" indent="1"/>
    </xf>
    <xf numFmtId="0" fontId="10" fillId="0" borderId="4" xfId="2" applyFont="1" applyBorder="1" applyAlignment="1">
      <alignment horizontal="left" vertical="top" wrapText="1" indent="1"/>
    </xf>
    <xf numFmtId="0" fontId="22" fillId="0" borderId="0" xfId="3" applyFont="1"/>
    <xf numFmtId="0" fontId="23" fillId="3" borderId="1" xfId="2" applyFont="1" applyFill="1" applyBorder="1" applyAlignment="1">
      <alignment horizontal="center" vertical="top" wrapText="1"/>
    </xf>
    <xf numFmtId="0" fontId="25" fillId="0" borderId="0" xfId="3" applyFont="1"/>
    <xf numFmtId="0" fontId="15" fillId="0" borderId="1" xfId="2" applyFont="1" applyBorder="1" applyAlignment="1">
      <alignment horizontal="left" vertical="top" wrapText="1" indent="1"/>
    </xf>
    <xf numFmtId="0" fontId="15" fillId="0" borderId="4" xfId="2" applyFont="1" applyBorder="1" applyAlignment="1">
      <alignment horizontal="left" vertical="top" wrapText="1" indent="1"/>
    </xf>
    <xf numFmtId="0" fontId="26" fillId="0" borderId="1" xfId="2" applyFont="1" applyBorder="1" applyAlignment="1">
      <alignment horizontal="left" vertical="top" wrapText="1" indent="1"/>
    </xf>
    <xf numFmtId="0" fontId="27" fillId="0" borderId="1" xfId="2" applyFont="1" applyBorder="1" applyAlignment="1">
      <alignment horizontal="left" vertical="top" wrapText="1" indent="1"/>
    </xf>
    <xf numFmtId="0" fontId="5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43" fontId="8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8" fillId="0" borderId="0" xfId="2" applyFont="1"/>
    <xf numFmtId="165" fontId="2" fillId="0" borderId="0" xfId="6" applyNumberFormat="1" applyFont="1" applyProtection="1"/>
    <xf numFmtId="0" fontId="46" fillId="0" borderId="0" xfId="2" applyFont="1"/>
    <xf numFmtId="3" fontId="46" fillId="0" borderId="0" xfId="2" applyNumberFormat="1" applyFont="1"/>
    <xf numFmtId="165" fontId="14" fillId="0" borderId="1" xfId="6" applyNumberFormat="1" applyFont="1" applyFill="1" applyBorder="1" applyAlignment="1" applyProtection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4"/>
    </xf>
    <xf numFmtId="0" fontId="12" fillId="0" borderId="4" xfId="4" applyNumberFormat="1" applyFont="1" applyFill="1" applyBorder="1" applyAlignment="1" applyProtection="1">
      <alignment horizontal="center" vertical="top" wrapText="1"/>
      <protection locked="0"/>
    </xf>
    <xf numFmtId="0" fontId="9" fillId="0" borderId="4" xfId="4" applyNumberFormat="1" applyFont="1" applyFill="1" applyBorder="1" applyAlignment="1" applyProtection="1">
      <alignment horizontal="center" vertical="top" wrapText="1"/>
      <protection locked="0"/>
    </xf>
    <xf numFmtId="0" fontId="16" fillId="0" borderId="4" xfId="2" applyFont="1" applyBorder="1" applyAlignment="1" applyProtection="1">
      <alignment horizontal="center" vertical="top" wrapText="1"/>
      <protection locked="0"/>
    </xf>
    <xf numFmtId="0" fontId="18" fillId="0" borderId="4" xfId="2" applyFont="1" applyBorder="1" applyAlignment="1" applyProtection="1">
      <alignment horizontal="center" vertical="top" wrapText="1"/>
      <protection locked="0"/>
    </xf>
    <xf numFmtId="0" fontId="9" fillId="0" borderId="4" xfId="2" applyFont="1" applyBorder="1" applyAlignment="1" applyProtection="1">
      <alignment horizontal="center" vertical="top" wrapText="1"/>
      <protection locked="0"/>
    </xf>
    <xf numFmtId="0" fontId="12" fillId="0" borderId="4" xfId="2" applyFont="1" applyBorder="1" applyAlignment="1" applyProtection="1">
      <alignment horizontal="center" vertical="top" wrapText="1"/>
      <protection locked="0"/>
    </xf>
    <xf numFmtId="0" fontId="24" fillId="3" borderId="4" xfId="2" applyFont="1" applyFill="1" applyBorder="1" applyAlignment="1" applyProtection="1">
      <alignment horizontal="center" vertical="top" wrapText="1"/>
      <protection locked="0"/>
    </xf>
    <xf numFmtId="0" fontId="16" fillId="0" borderId="4" xfId="0" applyFont="1" applyBorder="1" applyAlignment="1" applyProtection="1">
      <alignment horizontal="center" vertical="top" wrapText="1"/>
      <protection locked="0"/>
    </xf>
    <xf numFmtId="0" fontId="5" fillId="3" borderId="4" xfId="2" applyFont="1" applyFill="1" applyBorder="1" applyAlignment="1" applyProtection="1">
      <alignment horizontal="center" vertical="center" wrapText="1"/>
      <protection locked="0"/>
    </xf>
    <xf numFmtId="0" fontId="2" fillId="0" borderId="0" xfId="6" applyNumberFormat="1" applyFont="1" applyBorder="1" applyAlignment="1" applyProtection="1">
      <alignment horizontal="center" vertical="top" wrapText="1"/>
    </xf>
    <xf numFmtId="0" fontId="8" fillId="0" borderId="0" xfId="2" applyFont="1" applyAlignment="1">
      <alignment horizontal="center"/>
    </xf>
    <xf numFmtId="0" fontId="1" fillId="0" borderId="0" xfId="4" applyNumberFormat="1" applyFont="1" applyFill="1" applyBorder="1" applyAlignment="1" applyProtection="1">
      <alignment horizontal="center" vertical="top" wrapText="1"/>
    </xf>
    <xf numFmtId="0" fontId="2" fillId="0" borderId="0" xfId="6" applyNumberFormat="1" applyFont="1" applyAlignment="1" applyProtection="1">
      <alignment horizontal="center"/>
    </xf>
    <xf numFmtId="0" fontId="46" fillId="0" borderId="0" xfId="2" applyFont="1" applyAlignment="1">
      <alignment horizontal="center"/>
    </xf>
    <xf numFmtId="0" fontId="10" fillId="3" borderId="2" xfId="6" applyNumberFormat="1" applyFont="1" applyFill="1" applyBorder="1" applyAlignment="1">
      <alignment horizontal="center" vertical="center" wrapText="1"/>
    </xf>
    <xf numFmtId="0" fontId="30" fillId="0" borderId="5" xfId="4" applyNumberFormat="1" applyFont="1" applyFill="1" applyBorder="1" applyAlignment="1">
      <alignment horizontal="center" vertical="top" wrapText="1"/>
    </xf>
    <xf numFmtId="0" fontId="10" fillId="0" borderId="4" xfId="2" applyFont="1" applyBorder="1" applyAlignment="1" applyProtection="1">
      <alignment horizontal="center" vertical="top" wrapText="1"/>
      <protection locked="0"/>
    </xf>
    <xf numFmtId="0" fontId="18" fillId="0" borderId="4" xfId="0" applyFont="1" applyBorder="1" applyAlignment="1" applyProtection="1">
      <alignment horizontal="center" vertical="top" wrapText="1"/>
      <protection locked="0"/>
    </xf>
    <xf numFmtId="0" fontId="33" fillId="0" borderId="4" xfId="2" applyFont="1" applyBorder="1" applyAlignment="1" applyProtection="1">
      <alignment horizontal="center" vertical="top" wrapText="1"/>
      <protection locked="0"/>
    </xf>
    <xf numFmtId="0" fontId="15" fillId="0" borderId="4" xfId="2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horizontal="center"/>
    </xf>
    <xf numFmtId="0" fontId="30" fillId="0" borderId="4" xfId="4" applyNumberFormat="1" applyFont="1" applyFill="1" applyBorder="1" applyAlignment="1">
      <alignment horizontal="center" vertical="top" wrapText="1"/>
    </xf>
    <xf numFmtId="3" fontId="9" fillId="0" borderId="4" xfId="2" applyNumberFormat="1" applyFont="1" applyBorder="1" applyAlignment="1" applyProtection="1">
      <alignment horizontal="center" vertical="top" wrapText="1"/>
      <protection locked="0"/>
    </xf>
    <xf numFmtId="3" fontId="16" fillId="0" borderId="4" xfId="2" applyNumberFormat="1" applyFont="1" applyBorder="1" applyAlignment="1" applyProtection="1">
      <alignment horizontal="center" vertical="top" wrapText="1"/>
      <protection locked="0"/>
    </xf>
    <xf numFmtId="3" fontId="10" fillId="0" borderId="4" xfId="2" applyNumberFormat="1" applyFont="1" applyBorder="1" applyAlignment="1" applyProtection="1">
      <alignment horizontal="center" vertical="top" wrapText="1"/>
      <protection locked="0"/>
    </xf>
    <xf numFmtId="3" fontId="16" fillId="0" borderId="1" xfId="2" applyNumberFormat="1" applyFont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horizontal="center" vertical="top" wrapText="1"/>
      <protection locked="0"/>
    </xf>
    <xf numFmtId="0" fontId="21" fillId="0" borderId="4" xfId="0" applyFont="1" applyBorder="1" applyAlignment="1" applyProtection="1">
      <alignment horizontal="center"/>
      <protection locked="0"/>
    </xf>
    <xf numFmtId="0" fontId="7" fillId="0" borderId="4" xfId="5" quotePrefix="1" applyNumberFormat="1" applyFont="1" applyFill="1" applyBorder="1" applyAlignment="1" applyProtection="1">
      <alignment horizontal="center"/>
      <protection locked="0"/>
    </xf>
    <xf numFmtId="0" fontId="10" fillId="0" borderId="4" xfId="5" quotePrefix="1" applyNumberFormat="1" applyFont="1" applyFill="1" applyBorder="1" applyAlignment="1" applyProtection="1">
      <alignment horizontal="center" vertical="center"/>
      <protection locked="0"/>
    </xf>
    <xf numFmtId="0" fontId="9" fillId="0" borderId="4" xfId="5" applyNumberFormat="1" applyFont="1" applyFill="1" applyBorder="1" applyAlignment="1" applyProtection="1">
      <alignment horizontal="center"/>
      <protection locked="0"/>
    </xf>
    <xf numFmtId="0" fontId="10" fillId="0" borderId="4" xfId="5" applyNumberFormat="1" applyFont="1" applyFill="1" applyBorder="1" applyAlignment="1" applyProtection="1">
      <alignment horizontal="center"/>
      <protection locked="0"/>
    </xf>
    <xf numFmtId="0" fontId="7" fillId="0" borderId="4" xfId="5" quotePrefix="1" applyNumberFormat="1" applyFont="1" applyFill="1" applyBorder="1" applyAlignment="1" applyProtection="1">
      <alignment horizontal="center" vertical="center"/>
      <protection locked="0"/>
    </xf>
    <xf numFmtId="0" fontId="9" fillId="4" borderId="4" xfId="5" applyNumberFormat="1" applyFont="1" applyFill="1" applyBorder="1" applyAlignment="1" applyProtection="1">
      <alignment horizontal="center"/>
      <protection locked="0"/>
    </xf>
    <xf numFmtId="0" fontId="38" fillId="0" borderId="4" xfId="0" applyFont="1" applyBorder="1" applyAlignment="1" applyProtection="1">
      <alignment horizontal="center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4" xfId="6" applyNumberFormat="1" applyFont="1" applyFill="1" applyBorder="1" applyAlignment="1" applyProtection="1">
      <alignment horizontal="right" vertical="top" wrapText="1"/>
      <protection locked="0"/>
    </xf>
    <xf numFmtId="0" fontId="9" fillId="2" borderId="4" xfId="2" applyFont="1" applyFill="1" applyBorder="1" applyAlignment="1">
      <alignment horizontal="center" vertical="center" wrapText="1"/>
    </xf>
    <xf numFmtId="0" fontId="13" fillId="0" borderId="4" xfId="2" applyFont="1" applyBorder="1" applyAlignment="1">
      <alignment horizontal="center"/>
    </xf>
    <xf numFmtId="0" fontId="13" fillId="0" borderId="1" xfId="2" applyFont="1" applyBorder="1"/>
    <xf numFmtId="0" fontId="35" fillId="0" borderId="1" xfId="4" applyNumberFormat="1" applyFont="1" applyFill="1" applyBorder="1" applyAlignment="1" applyProtection="1">
      <alignment horizontal="center" vertical="top" wrapText="1"/>
    </xf>
    <xf numFmtId="0" fontId="36" fillId="0" borderId="4" xfId="2" applyFont="1" applyBorder="1" applyAlignment="1">
      <alignment horizontal="center"/>
    </xf>
    <xf numFmtId="0" fontId="36" fillId="0" borderId="1" xfId="2" applyFont="1" applyBorder="1"/>
    <xf numFmtId="0" fontId="7" fillId="0" borderId="4" xfId="2" quotePrefix="1" applyFont="1" applyBorder="1" applyAlignment="1">
      <alignment horizontal="center"/>
    </xf>
    <xf numFmtId="0" fontId="7" fillId="0" borderId="1" xfId="2" quotePrefix="1" applyFont="1" applyBorder="1" applyAlignment="1">
      <alignment horizontal="left" indent="1"/>
    </xf>
    <xf numFmtId="0" fontId="19" fillId="0" borderId="1" xfId="0" quotePrefix="1" applyFont="1" applyBorder="1" applyAlignment="1">
      <alignment horizontal="center"/>
    </xf>
    <xf numFmtId="0" fontId="7" fillId="0" borderId="4" xfId="2" quotePrefix="1" applyFont="1" applyBorder="1" applyAlignment="1">
      <alignment horizontal="center" vertical="center"/>
    </xf>
    <xf numFmtId="0" fontId="7" fillId="0" borderId="1" xfId="2" quotePrefix="1" applyFont="1" applyBorder="1" applyAlignment="1">
      <alignment horizontal="left" vertical="center" indent="1"/>
    </xf>
    <xf numFmtId="0" fontId="19" fillId="0" borderId="1" xfId="0" quotePrefix="1" applyFont="1" applyBorder="1" applyAlignment="1">
      <alignment horizontal="center" vertical="center"/>
    </xf>
    <xf numFmtId="0" fontId="13" fillId="0" borderId="4" xfId="2" quotePrefix="1" applyFont="1" applyBorder="1" applyAlignment="1">
      <alignment horizontal="center" vertical="center"/>
    </xf>
    <xf numFmtId="0" fontId="13" fillId="0" borderId="1" xfId="2" quotePrefix="1" applyFont="1" applyBorder="1" applyAlignment="1">
      <alignment horizontal="left" vertical="center"/>
    </xf>
    <xf numFmtId="0" fontId="15" fillId="0" borderId="4" xfId="2" quotePrefix="1" applyFont="1" applyBorder="1" applyAlignment="1">
      <alignment horizontal="center"/>
    </xf>
    <xf numFmtId="0" fontId="15" fillId="0" borderId="1" xfId="2" quotePrefix="1" applyFont="1" applyBorder="1" applyAlignment="1">
      <alignment horizontal="left" indent="1"/>
    </xf>
    <xf numFmtId="0" fontId="15" fillId="0" borderId="4" xfId="2" quotePrefix="1" applyFont="1" applyBorder="1" applyAlignment="1">
      <alignment horizontal="center" wrapText="1"/>
    </xf>
    <xf numFmtId="0" fontId="15" fillId="0" borderId="1" xfId="2" quotePrefix="1" applyFont="1" applyBorder="1" applyAlignment="1">
      <alignment horizontal="left" wrapText="1" indent="1"/>
    </xf>
    <xf numFmtId="0" fontId="15" fillId="0" borderId="4" xfId="2" quotePrefix="1" applyFont="1" applyBorder="1" applyAlignment="1">
      <alignment horizontal="center" vertical="center"/>
    </xf>
    <xf numFmtId="0" fontId="15" fillId="0" borderId="1" xfId="2" quotePrefix="1" applyFont="1" applyBorder="1" applyAlignment="1">
      <alignment horizontal="left" vertical="center" indent="1"/>
    </xf>
    <xf numFmtId="0" fontId="19" fillId="0" borderId="4" xfId="0" quotePrefix="1" applyFont="1" applyBorder="1" applyAlignment="1">
      <alignment horizontal="center"/>
    </xf>
    <xf numFmtId="0" fontId="13" fillId="0" borderId="1" xfId="2" applyFont="1" applyBorder="1" applyAlignment="1">
      <alignment horizontal="left"/>
    </xf>
    <xf numFmtId="0" fontId="7" fillId="0" borderId="4" xfId="2" applyFont="1" applyBorder="1" applyAlignment="1">
      <alignment horizontal="center"/>
    </xf>
    <xf numFmtId="0" fontId="7" fillId="0" borderId="1" xfId="2" applyFont="1" applyBorder="1" applyAlignment="1">
      <alignment horizontal="left" indent="1"/>
    </xf>
    <xf numFmtId="0" fontId="7" fillId="0" borderId="4" xfId="2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 indent="1"/>
    </xf>
    <xf numFmtId="0" fontId="13" fillId="4" borderId="4" xfId="2" applyFont="1" applyFill="1" applyBorder="1" applyAlignment="1">
      <alignment horizontal="center"/>
    </xf>
    <xf numFmtId="0" fontId="13" fillId="4" borderId="1" xfId="2" applyFont="1" applyFill="1" applyBorder="1"/>
    <xf numFmtId="0" fontId="31" fillId="0" borderId="4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5" fillId="0" borderId="1" xfId="4" applyNumberFormat="1" applyFont="1" applyFill="1" applyBorder="1" applyAlignment="1" applyProtection="1">
      <alignment vertical="top" wrapText="1"/>
      <protection locked="0"/>
    </xf>
    <xf numFmtId="165" fontId="19" fillId="0" borderId="1" xfId="0" quotePrefix="1" applyNumberFormat="1" applyFont="1" applyBorder="1" applyAlignment="1" applyProtection="1">
      <alignment horizontal="right"/>
      <protection locked="0"/>
    </xf>
    <xf numFmtId="3" fontId="20" fillId="0" borderId="4" xfId="0" applyNumberFormat="1" applyFont="1" applyBorder="1" applyAlignment="1" applyProtection="1">
      <alignment vertical="top" wrapText="1"/>
      <protection locked="0"/>
    </xf>
    <xf numFmtId="3" fontId="19" fillId="0" borderId="1" xfId="0" quotePrefix="1" applyNumberFormat="1" applyFont="1" applyBorder="1" applyAlignment="1" applyProtection="1">
      <alignment vertical="center"/>
      <protection locked="0"/>
    </xf>
    <xf numFmtId="3" fontId="19" fillId="0" borderId="1" xfId="0" quotePrefix="1" applyNumberFormat="1" applyFont="1" applyBorder="1" applyProtection="1">
      <protection locked="0"/>
    </xf>
    <xf numFmtId="3" fontId="37" fillId="0" borderId="1" xfId="0" quotePrefix="1" applyNumberFormat="1" applyFont="1" applyBorder="1" applyProtection="1">
      <protection locked="0"/>
    </xf>
    <xf numFmtId="165" fontId="19" fillId="0" borderId="1" xfId="0" quotePrefix="1" applyNumberFormat="1" applyFont="1" applyBorder="1" applyAlignment="1" applyProtection="1">
      <alignment horizontal="right" vertical="center"/>
      <protection locked="0"/>
    </xf>
    <xf numFmtId="165" fontId="37" fillId="0" borderId="1" xfId="0" quotePrefix="1" applyNumberFormat="1" applyFont="1" applyBorder="1" applyAlignment="1" applyProtection="1">
      <alignment horizontal="right" vertical="center"/>
      <protection locked="0"/>
    </xf>
    <xf numFmtId="165" fontId="37" fillId="0" borderId="1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Protection="1">
      <protection locked="0"/>
    </xf>
    <xf numFmtId="165" fontId="19" fillId="0" borderId="4" xfId="0" quotePrefix="1" applyNumberFormat="1" applyFont="1" applyBorder="1" applyAlignment="1" applyProtection="1">
      <alignment horizontal="right"/>
      <protection locked="0"/>
    </xf>
    <xf numFmtId="0" fontId="40" fillId="2" borderId="9" xfId="2" applyFont="1" applyFill="1" applyBorder="1" applyAlignment="1">
      <alignment horizontal="center" vertical="center" wrapText="1"/>
    </xf>
    <xf numFmtId="0" fontId="40" fillId="2" borderId="1" xfId="2" applyFont="1" applyFill="1" applyBorder="1" applyAlignment="1">
      <alignment horizontal="left" vertical="center" wrapText="1"/>
    </xf>
    <xf numFmtId="0" fontId="42" fillId="0" borderId="4" xfId="2" applyFont="1" applyBorder="1" applyAlignment="1">
      <alignment horizontal="center" vertical="center" wrapText="1"/>
    </xf>
    <xf numFmtId="0" fontId="42" fillId="0" borderId="1" xfId="2" applyFont="1" applyBorder="1" applyAlignment="1">
      <alignment horizontal="left" vertical="center" wrapText="1" indent="2"/>
    </xf>
    <xf numFmtId="0" fontId="43" fillId="0" borderId="1" xfId="3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1" xfId="2" applyFont="1" applyBorder="1" applyAlignment="1">
      <alignment horizontal="left" vertical="center" wrapText="1" indent="1"/>
    </xf>
    <xf numFmtId="0" fontId="44" fillId="0" borderId="1" xfId="2" applyFont="1" applyBorder="1" applyAlignment="1">
      <alignment horizontal="center"/>
    </xf>
    <xf numFmtId="0" fontId="45" fillId="0" borderId="4" xfId="2" applyFont="1" applyBorder="1" applyAlignment="1">
      <alignment horizontal="center" vertical="center" wrapText="1"/>
    </xf>
    <xf numFmtId="0" fontId="45" fillId="0" borderId="1" xfId="2" applyFont="1" applyBorder="1" applyAlignment="1">
      <alignment horizontal="left" vertical="center" wrapText="1" indent="1"/>
    </xf>
    <xf numFmtId="0" fontId="46" fillId="0" borderId="1" xfId="2" applyFont="1" applyBorder="1" applyAlignment="1">
      <alignment horizontal="center"/>
    </xf>
    <xf numFmtId="0" fontId="46" fillId="0" borderId="1" xfId="1" applyNumberFormat="1" applyFont="1" applyBorder="1" applyAlignment="1" applyProtection="1">
      <alignment horizontal="center"/>
    </xf>
    <xf numFmtId="0" fontId="47" fillId="0" borderId="1" xfId="2" applyFont="1" applyBorder="1" applyAlignment="1">
      <alignment horizontal="center"/>
    </xf>
    <xf numFmtId="0" fontId="43" fillId="0" borderId="1" xfId="2" applyFont="1" applyBorder="1" applyAlignment="1">
      <alignment horizontal="center"/>
    </xf>
    <xf numFmtId="0" fontId="42" fillId="0" borderId="4" xfId="2" applyFont="1" applyBorder="1" applyAlignment="1">
      <alignment horizontal="center" vertical="center"/>
    </xf>
    <xf numFmtId="0" fontId="47" fillId="0" borderId="1" xfId="1" applyNumberFormat="1" applyFont="1" applyBorder="1" applyAlignment="1" applyProtection="1">
      <alignment horizontal="center"/>
    </xf>
    <xf numFmtId="0" fontId="41" fillId="0" borderId="4" xfId="2" applyFont="1" applyBorder="1" applyAlignment="1">
      <alignment horizontal="center" vertical="center"/>
    </xf>
    <xf numFmtId="0" fontId="41" fillId="0" borderId="1" xfId="2" applyFont="1" applyBorder="1" applyAlignment="1">
      <alignment horizontal="left" vertical="center" indent="1"/>
    </xf>
    <xf numFmtId="0" fontId="42" fillId="0" borderId="1" xfId="2" applyFont="1" applyBorder="1" applyAlignment="1">
      <alignment horizontal="left" vertical="center" indent="2"/>
    </xf>
    <xf numFmtId="0" fontId="45" fillId="0" borderId="4" xfId="2" applyFont="1" applyBorder="1" applyAlignment="1">
      <alignment horizontal="center" vertical="center"/>
    </xf>
    <xf numFmtId="0" fontId="45" fillId="0" borderId="1" xfId="2" applyFont="1" applyBorder="1" applyAlignment="1">
      <alignment horizontal="left" vertical="center" indent="1"/>
    </xf>
    <xf numFmtId="0" fontId="45" fillId="0" borderId="10" xfId="2" applyFont="1" applyBorder="1" applyAlignment="1">
      <alignment horizontal="center" vertical="center"/>
    </xf>
    <xf numFmtId="3" fontId="43" fillId="0" borderId="1" xfId="3" applyNumberFormat="1" applyFont="1" applyBorder="1" applyProtection="1">
      <protection locked="0"/>
    </xf>
    <xf numFmtId="3" fontId="44" fillId="0" borderId="1" xfId="2" applyNumberFormat="1" applyFont="1" applyBorder="1" applyProtection="1">
      <protection locked="0"/>
    </xf>
    <xf numFmtId="3" fontId="46" fillId="0" borderId="1" xfId="2" applyNumberFormat="1" applyFont="1" applyBorder="1" applyProtection="1">
      <protection locked="0"/>
    </xf>
    <xf numFmtId="169" fontId="46" fillId="0" borderId="1" xfId="1" applyNumberFormat="1" applyFont="1" applyBorder="1" applyProtection="1">
      <protection locked="0"/>
    </xf>
    <xf numFmtId="3" fontId="47" fillId="0" borderId="1" xfId="2" applyNumberFormat="1" applyFont="1" applyBorder="1" applyProtection="1">
      <protection locked="0"/>
    </xf>
    <xf numFmtId="3" fontId="43" fillId="0" borderId="1" xfId="2" applyNumberFormat="1" applyFont="1" applyBorder="1" applyProtection="1">
      <protection locked="0"/>
    </xf>
    <xf numFmtId="169" fontId="47" fillId="0" borderId="1" xfId="1" applyNumberFormat="1" applyFont="1" applyBorder="1" applyProtection="1">
      <protection locked="0"/>
    </xf>
    <xf numFmtId="168" fontId="41" fillId="3" borderId="2" xfId="3" applyNumberFormat="1" applyFont="1" applyFill="1" applyBorder="1" applyAlignment="1">
      <alignment horizontal="center" vertical="center" wrapText="1"/>
    </xf>
    <xf numFmtId="0" fontId="41" fillId="3" borderId="2" xfId="3" applyFont="1" applyFill="1" applyBorder="1" applyAlignment="1">
      <alignment horizontal="center" vertical="center" wrapText="1"/>
    </xf>
    <xf numFmtId="0" fontId="40" fillId="2" borderId="11" xfId="2" applyFont="1" applyFill="1" applyBorder="1" applyAlignment="1">
      <alignment horizontal="center" vertical="center" wrapText="1"/>
    </xf>
    <xf numFmtId="0" fontId="40" fillId="2" borderId="11" xfId="2" applyFont="1" applyFill="1" applyBorder="1" applyAlignment="1">
      <alignment horizontal="left" vertical="center" wrapText="1"/>
    </xf>
    <xf numFmtId="0" fontId="10" fillId="3" borderId="12" xfId="2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 vertical="center" wrapText="1"/>
    </xf>
    <xf numFmtId="0" fontId="48" fillId="0" borderId="7" xfId="2" applyFont="1" applyBorder="1" applyAlignment="1">
      <alignment horizontal="center"/>
    </xf>
    <xf numFmtId="0" fontId="48" fillId="0" borderId="7" xfId="2" applyFont="1" applyBorder="1"/>
    <xf numFmtId="0" fontId="8" fillId="0" borderId="7" xfId="2" applyFont="1" applyBorder="1" applyAlignment="1">
      <alignment horizontal="center"/>
    </xf>
    <xf numFmtId="0" fontId="8" fillId="0" borderId="0" xfId="2" applyFont="1" applyAlignment="1">
      <alignment horizontal="left" indent="1"/>
    </xf>
    <xf numFmtId="0" fontId="48" fillId="0" borderId="0" xfId="2" applyFont="1" applyAlignment="1">
      <alignment horizontal="center"/>
    </xf>
    <xf numFmtId="0" fontId="48" fillId="0" borderId="0" xfId="2" applyFont="1"/>
    <xf numFmtId="0" fontId="48" fillId="0" borderId="8" xfId="2" applyFont="1" applyBorder="1" applyAlignment="1">
      <alignment horizontal="center"/>
    </xf>
    <xf numFmtId="0" fontId="48" fillId="0" borderId="8" xfId="2" applyFont="1" applyBorder="1"/>
    <xf numFmtId="3" fontId="48" fillId="0" borderId="7" xfId="2" applyNumberFormat="1" applyFont="1" applyBorder="1" applyProtection="1">
      <protection locked="0"/>
    </xf>
    <xf numFmtId="3" fontId="8" fillId="0" borderId="0" xfId="2" applyNumberFormat="1" applyFont="1" applyProtection="1">
      <protection locked="0"/>
    </xf>
    <xf numFmtId="3" fontId="48" fillId="0" borderId="8" xfId="2" applyNumberFormat="1" applyFont="1" applyBorder="1" applyProtection="1">
      <protection locked="0"/>
    </xf>
    <xf numFmtId="0" fontId="8" fillId="0" borderId="0" xfId="2" applyFont="1" applyProtection="1">
      <protection locked="0"/>
    </xf>
    <xf numFmtId="165" fontId="10" fillId="3" borderId="2" xfId="6" applyNumberFormat="1" applyFont="1" applyFill="1" applyBorder="1" applyAlignment="1">
      <alignment horizontal="center" vertical="top" wrapText="1"/>
    </xf>
    <xf numFmtId="0" fontId="54" fillId="0" borderId="0" xfId="3" applyFont="1"/>
    <xf numFmtId="0" fontId="53" fillId="0" borderId="0" xfId="3" applyFont="1" applyAlignment="1">
      <alignment horizontal="right"/>
    </xf>
    <xf numFmtId="0" fontId="54" fillId="0" borderId="13" xfId="3" applyFont="1" applyBorder="1"/>
    <xf numFmtId="0" fontId="55" fillId="0" borderId="13" xfId="3" applyFont="1" applyBorder="1" applyAlignment="1">
      <alignment horizontal="right"/>
    </xf>
    <xf numFmtId="0" fontId="55" fillId="0" borderId="0" xfId="3" applyFont="1" applyAlignment="1">
      <alignment horizontal="right"/>
    </xf>
    <xf numFmtId="0" fontId="56" fillId="0" borderId="0" xfId="3" applyFont="1"/>
    <xf numFmtId="0" fontId="8" fillId="0" borderId="0" xfId="3" applyFont="1"/>
    <xf numFmtId="0" fontId="48" fillId="0" borderId="0" xfId="3" applyFont="1"/>
    <xf numFmtId="14" fontId="8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57" fillId="0" borderId="0" xfId="3" applyFont="1" applyAlignment="1">
      <alignment horizontal="right"/>
    </xf>
    <xf numFmtId="0" fontId="19" fillId="0" borderId="0" xfId="3" applyFont="1"/>
    <xf numFmtId="0" fontId="57" fillId="0" borderId="0" xfId="3" applyFont="1"/>
    <xf numFmtId="0" fontId="57" fillId="0" borderId="0" xfId="3" applyFont="1" applyAlignment="1">
      <alignment horizontal="centerContinuous"/>
    </xf>
    <xf numFmtId="0" fontId="57" fillId="0" borderId="0" xfId="3" applyFont="1" applyAlignment="1">
      <alignment horizontal="centerContinuous" wrapText="1"/>
    </xf>
    <xf numFmtId="0" fontId="19" fillId="0" borderId="0" xfId="3" applyFont="1" applyAlignment="1">
      <alignment horizontal="centerContinuous"/>
    </xf>
    <xf numFmtId="0" fontId="61" fillId="0" borderId="0" xfId="3" applyFont="1"/>
    <xf numFmtId="0" fontId="62" fillId="0" borderId="0" xfId="3" applyFont="1" applyAlignment="1">
      <alignment horizontal="centerContinuous"/>
    </xf>
    <xf numFmtId="0" fontId="53" fillId="0" borderId="0" xfId="3" applyFont="1"/>
    <xf numFmtId="0" fontId="64" fillId="0" borderId="0" xfId="3" applyFont="1"/>
    <xf numFmtId="0" fontId="32" fillId="0" borderId="0" xfId="3" applyFont="1"/>
    <xf numFmtId="0" fontId="65" fillId="0" borderId="0" xfId="3" applyFont="1"/>
    <xf numFmtId="0" fontId="64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15" fillId="0" borderId="13" xfId="3" applyFont="1" applyBorder="1"/>
    <xf numFmtId="170" fontId="75" fillId="0" borderId="13" xfId="3" applyNumberFormat="1" applyFont="1" applyBorder="1"/>
    <xf numFmtId="0" fontId="15" fillId="0" borderId="0" xfId="3" applyFont="1"/>
    <xf numFmtId="0" fontId="15" fillId="0" borderId="0" xfId="9" applyFont="1"/>
    <xf numFmtId="170" fontId="15" fillId="0" borderId="0" xfId="9" applyNumberFormat="1" applyFont="1"/>
    <xf numFmtId="170" fontId="78" fillId="0" borderId="0" xfId="9" applyNumberFormat="1" applyFont="1" applyAlignment="1">
      <alignment horizontal="right"/>
    </xf>
    <xf numFmtId="0" fontId="74" fillId="0" borderId="14" xfId="10" applyFont="1" applyBorder="1" applyAlignment="1">
      <alignment horizontal="center" vertical="center" wrapText="1"/>
    </xf>
    <xf numFmtId="170" fontId="74" fillId="0" borderId="14" xfId="10" applyNumberFormat="1" applyFont="1" applyBorder="1" applyAlignment="1">
      <alignment horizontal="center" vertical="center" wrapText="1"/>
    </xf>
    <xf numFmtId="14" fontId="74" fillId="0" borderId="14" xfId="10" applyNumberFormat="1" applyFont="1" applyBorder="1" applyAlignment="1">
      <alignment horizontal="center" vertical="center" wrapText="1"/>
    </xf>
    <xf numFmtId="0" fontId="21" fillId="5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0" fillId="0" borderId="15" xfId="10" applyFont="1" applyBorder="1" applyAlignment="1">
      <alignment horizontal="left" wrapText="1"/>
    </xf>
    <xf numFmtId="3" fontId="79" fillId="0" borderId="15" xfId="10" applyNumberFormat="1" applyFont="1" applyBorder="1" applyAlignment="1" applyProtection="1">
      <alignment horizontal="right" vertical="center"/>
      <protection hidden="1"/>
    </xf>
    <xf numFmtId="170" fontId="38" fillId="0" borderId="0" xfId="3" applyNumberFormat="1" applyFont="1"/>
    <xf numFmtId="0" fontId="38" fillId="0" borderId="0" xfId="3" applyFont="1"/>
    <xf numFmtId="0" fontId="15" fillId="0" borderId="16" xfId="10" applyFont="1" applyBorder="1"/>
    <xf numFmtId="3" fontId="80" fillId="0" borderId="16" xfId="10" applyNumberFormat="1" applyFont="1" applyBorder="1" applyProtection="1">
      <protection hidden="1"/>
    </xf>
    <xf numFmtId="0" fontId="74" fillId="0" borderId="16" xfId="10" applyFont="1" applyBorder="1"/>
    <xf numFmtId="3" fontId="81" fillId="0" borderId="16" xfId="10" applyNumberFormat="1" applyFont="1" applyBorder="1" applyProtection="1">
      <protection hidden="1"/>
    </xf>
    <xf numFmtId="16" fontId="15" fillId="0" borderId="0" xfId="3" applyNumberFormat="1" applyFont="1"/>
    <xf numFmtId="0" fontId="15" fillId="0" borderId="16" xfId="10" applyFont="1" applyBorder="1" applyAlignment="1">
      <alignment horizontal="left" wrapText="1"/>
    </xf>
    <xf numFmtId="0" fontId="7" fillId="0" borderId="16" xfId="10" applyFont="1" applyBorder="1"/>
    <xf numFmtId="9" fontId="15" fillId="0" borderId="0" xfId="11" applyFont="1"/>
    <xf numFmtId="3" fontId="2" fillId="0" borderId="16" xfId="10" applyNumberFormat="1" applyBorder="1" applyProtection="1">
      <protection hidden="1"/>
    </xf>
    <xf numFmtId="0" fontId="10" fillId="0" borderId="16" xfId="10" applyFont="1" applyBorder="1" applyAlignment="1">
      <alignment horizontal="left" wrapText="1"/>
    </xf>
    <xf numFmtId="3" fontId="79" fillId="0" borderId="16" xfId="10" applyNumberFormat="1" applyFont="1" applyBorder="1" applyAlignment="1" applyProtection="1">
      <alignment horizontal="right" vertical="center"/>
      <protection hidden="1"/>
    </xf>
    <xf numFmtId="3" fontId="81" fillId="0" borderId="16" xfId="10" applyNumberFormat="1" applyFont="1" applyBorder="1" applyAlignment="1" applyProtection="1">
      <alignment horizontal="right"/>
      <protection hidden="1"/>
    </xf>
    <xf numFmtId="0" fontId="15" fillId="0" borderId="17" xfId="10" applyFont="1" applyBorder="1"/>
    <xf numFmtId="3" fontId="80" fillId="0" borderId="18" xfId="10" applyNumberFormat="1" applyFont="1" applyBorder="1" applyProtection="1">
      <protection hidden="1"/>
    </xf>
    <xf numFmtId="0" fontId="15" fillId="0" borderId="0" xfId="10" applyFont="1"/>
    <xf numFmtId="3" fontId="80" fillId="0" borderId="0" xfId="10" applyNumberFormat="1" applyFont="1" applyProtection="1">
      <protection hidden="1"/>
    </xf>
    <xf numFmtId="3" fontId="74" fillId="0" borderId="14" xfId="10" applyNumberFormat="1" applyFont="1" applyBorder="1" applyAlignment="1" applyProtection="1">
      <alignment horizontal="center" vertical="center" wrapText="1"/>
      <protection hidden="1"/>
    </xf>
    <xf numFmtId="0" fontId="82" fillId="0" borderId="0" xfId="3" applyFont="1"/>
    <xf numFmtId="0" fontId="21" fillId="0" borderId="15" xfId="10" applyFont="1" applyBorder="1"/>
    <xf numFmtId="3" fontId="80" fillId="0" borderId="15" xfId="10" applyNumberFormat="1" applyFont="1" applyBorder="1" applyProtection="1">
      <protection hidden="1"/>
    </xf>
    <xf numFmtId="3" fontId="80" fillId="0" borderId="16" xfId="10" applyNumberFormat="1" applyFont="1" applyBorder="1" applyAlignment="1" applyProtection="1">
      <alignment horizontal="right"/>
      <protection hidden="1"/>
    </xf>
    <xf numFmtId="165" fontId="80" fillId="0" borderId="16" xfId="10" applyNumberFormat="1" applyFont="1" applyBorder="1" applyAlignment="1" applyProtection="1">
      <alignment horizontal="right"/>
      <protection hidden="1"/>
    </xf>
    <xf numFmtId="170" fontId="15" fillId="0" borderId="0" xfId="3" applyNumberFormat="1" applyFont="1"/>
    <xf numFmtId="0" fontId="15" fillId="0" borderId="16" xfId="10" applyFont="1" applyBorder="1" applyAlignment="1">
      <alignment horizontal="left" indent="1"/>
    </xf>
    <xf numFmtId="0" fontId="15" fillId="0" borderId="16" xfId="10" quotePrefix="1" applyFont="1" applyBorder="1" applyAlignment="1">
      <alignment horizontal="left" indent="2"/>
    </xf>
    <xf numFmtId="0" fontId="15" fillId="0" borderId="16" xfId="10" quotePrefix="1" applyFont="1" applyBorder="1"/>
    <xf numFmtId="0" fontId="15" fillId="0" borderId="18" xfId="10" applyFont="1" applyBorder="1"/>
    <xf numFmtId="0" fontId="9" fillId="0" borderId="14" xfId="10" applyFont="1" applyBorder="1"/>
    <xf numFmtId="3" fontId="83" fillId="0" borderId="14" xfId="10" applyNumberFormat="1" applyFont="1" applyBorder="1" applyProtection="1">
      <protection hidden="1"/>
    </xf>
    <xf numFmtId="3" fontId="15" fillId="0" borderId="0" xfId="3" applyNumberFormat="1" applyFont="1" applyProtection="1">
      <protection hidden="1"/>
    </xf>
    <xf numFmtId="0" fontId="10" fillId="0" borderId="16" xfId="10" applyFont="1" applyBorder="1"/>
    <xf numFmtId="3" fontId="79" fillId="0" borderId="16" xfId="10" applyNumberFormat="1" applyFont="1" applyBorder="1" applyProtection="1">
      <protection hidden="1"/>
    </xf>
    <xf numFmtId="3" fontId="15" fillId="0" borderId="0" xfId="10" applyNumberFormat="1" applyFont="1" applyProtection="1">
      <protection hidden="1"/>
    </xf>
    <xf numFmtId="3" fontId="84" fillId="0" borderId="0" xfId="10" applyNumberFormat="1" applyFont="1" applyAlignment="1" applyProtection="1">
      <alignment horizontal="right"/>
      <protection hidden="1"/>
    </xf>
    <xf numFmtId="3" fontId="80" fillId="0" borderId="16" xfId="10" applyNumberFormat="1" applyFont="1" applyBorder="1" applyAlignment="1" applyProtection="1">
      <alignment vertical="top"/>
      <protection hidden="1"/>
    </xf>
    <xf numFmtId="171" fontId="80" fillId="0" borderId="16" xfId="10" applyNumberFormat="1" applyFont="1" applyBorder="1" applyProtection="1">
      <protection hidden="1"/>
    </xf>
    <xf numFmtId="3" fontId="15" fillId="0" borderId="0" xfId="3" applyNumberFormat="1" applyFont="1"/>
    <xf numFmtId="0" fontId="85" fillId="0" borderId="16" xfId="10" applyFont="1" applyBorder="1" applyAlignment="1">
      <alignment horizontal="left" indent="1"/>
    </xf>
    <xf numFmtId="165" fontId="86" fillId="0" borderId="16" xfId="10" applyNumberFormat="1" applyFont="1" applyBorder="1" applyAlignment="1" applyProtection="1">
      <alignment vertical="center"/>
      <protection hidden="1"/>
    </xf>
    <xf numFmtId="0" fontId="15" fillId="0" borderId="15" xfId="10" applyFont="1" applyBorder="1"/>
    <xf numFmtId="168" fontId="15" fillId="0" borderId="0" xfId="3" applyNumberFormat="1" applyFont="1" applyProtection="1">
      <protection hidden="1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8" fillId="0" borderId="0" xfId="3" applyFont="1"/>
    <xf numFmtId="0" fontId="21" fillId="0" borderId="0" xfId="3" applyFont="1"/>
    <xf numFmtId="170" fontId="85" fillId="0" borderId="0" xfId="3" applyNumberFormat="1" applyFont="1" applyAlignment="1">
      <alignment horizontal="right"/>
    </xf>
    <xf numFmtId="170" fontId="78" fillId="0" borderId="0" xfId="10" applyNumberFormat="1" applyFont="1" applyAlignment="1">
      <alignment horizontal="right"/>
    </xf>
    <xf numFmtId="170" fontId="88" fillId="0" borderId="27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vertical="center"/>
    </xf>
    <xf numFmtId="3" fontId="90" fillId="0" borderId="31" xfId="3" applyNumberFormat="1" applyFont="1" applyBorder="1" applyAlignment="1" applyProtection="1">
      <alignment vertical="center"/>
      <protection hidden="1"/>
    </xf>
    <xf numFmtId="0" fontId="15" fillId="0" borderId="32" xfId="3" applyFont="1" applyBorder="1" applyAlignment="1">
      <alignment vertical="center"/>
    </xf>
    <xf numFmtId="0" fontId="15" fillId="0" borderId="33" xfId="3" applyFont="1" applyBorder="1" applyAlignment="1">
      <alignment vertical="center"/>
    </xf>
    <xf numFmtId="0" fontId="15" fillId="0" borderId="34" xfId="3" applyFont="1" applyBorder="1" applyAlignment="1">
      <alignment vertical="center"/>
    </xf>
    <xf numFmtId="3" fontId="91" fillId="0" borderId="6" xfId="3" applyNumberFormat="1" applyFont="1" applyBorder="1" applyAlignment="1" applyProtection="1">
      <alignment vertical="center"/>
      <protection hidden="1"/>
    </xf>
    <xf numFmtId="0" fontId="9" fillId="0" borderId="32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0" fontId="21" fillId="0" borderId="34" xfId="3" applyFont="1" applyBorder="1" applyAlignment="1">
      <alignment vertical="center"/>
    </xf>
    <xf numFmtId="3" fontId="90" fillId="0" borderId="6" xfId="3" applyNumberFormat="1" applyFont="1" applyBorder="1" applyAlignment="1" applyProtection="1">
      <alignment vertical="center"/>
      <protection hidden="1"/>
    </xf>
    <xf numFmtId="171" fontId="92" fillId="0" borderId="6" xfId="3" applyNumberFormat="1" applyFont="1" applyBorder="1" applyAlignment="1" applyProtection="1">
      <alignment horizontal="right" vertical="center"/>
      <protection hidden="1"/>
    </xf>
    <xf numFmtId="165" fontId="91" fillId="0" borderId="6" xfId="3" applyNumberFormat="1" applyFont="1" applyBorder="1" applyAlignment="1" applyProtection="1">
      <alignment vertical="center"/>
      <protection hidden="1"/>
    </xf>
    <xf numFmtId="0" fontId="85" fillId="0" borderId="32" xfId="3" applyFont="1" applyBorder="1" applyAlignment="1">
      <alignment vertical="center"/>
    </xf>
    <xf numFmtId="0" fontId="85" fillId="0" borderId="33" xfId="3" applyFont="1" applyBorder="1" applyAlignment="1">
      <alignment vertical="center"/>
    </xf>
    <xf numFmtId="0" fontId="85" fillId="0" borderId="34" xfId="3" applyFont="1" applyBorder="1" applyAlignment="1">
      <alignment vertical="center"/>
    </xf>
    <xf numFmtId="0" fontId="85" fillId="0" borderId="0" xfId="3" applyFont="1"/>
    <xf numFmtId="0" fontId="9" fillId="0" borderId="32" xfId="3" applyFont="1" applyBorder="1" applyAlignment="1">
      <alignment horizontal="left" vertical="center"/>
    </xf>
    <xf numFmtId="171" fontId="90" fillId="0" borderId="6" xfId="3" applyNumberFormat="1" applyFont="1" applyBorder="1" applyAlignment="1" applyProtection="1">
      <alignment vertical="center"/>
      <protection hidden="1"/>
    </xf>
    <xf numFmtId="0" fontId="9" fillId="0" borderId="33" xfId="3" applyFont="1" applyBorder="1" applyAlignment="1">
      <alignment vertical="center"/>
    </xf>
    <xf numFmtId="0" fontId="9" fillId="0" borderId="34" xfId="3" applyFont="1" applyBorder="1" applyAlignment="1">
      <alignment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171" fontId="93" fillId="0" borderId="6" xfId="3" applyNumberFormat="1" applyFont="1" applyBorder="1" applyAlignment="1" applyProtection="1">
      <alignment vertical="center"/>
      <protection hidden="1"/>
    </xf>
    <xf numFmtId="0" fontId="9" fillId="0" borderId="28" xfId="3" quotePrefix="1" applyFont="1" applyBorder="1" applyAlignment="1">
      <alignment horizontal="center" vertical="center"/>
    </xf>
    <xf numFmtId="0" fontId="9" fillId="0" borderId="0" xfId="3" applyFont="1" applyAlignment="1">
      <alignment vertical="center"/>
    </xf>
    <xf numFmtId="0" fontId="9" fillId="0" borderId="35" xfId="3" applyFont="1" applyBorder="1" applyAlignment="1">
      <alignment vertical="center"/>
    </xf>
    <xf numFmtId="171" fontId="92" fillId="0" borderId="31" xfId="3" applyNumberFormat="1" applyFont="1" applyBorder="1" applyAlignment="1" applyProtection="1">
      <alignment vertical="center"/>
      <protection hidden="1"/>
    </xf>
    <xf numFmtId="0" fontId="21" fillId="0" borderId="28" xfId="3" quotePrefix="1" applyFont="1" applyBorder="1" applyAlignment="1">
      <alignment vertical="top"/>
    </xf>
    <xf numFmtId="0" fontId="21" fillId="0" borderId="35" xfId="3" applyFont="1" applyBorder="1"/>
    <xf numFmtId="165" fontId="90" fillId="0" borderId="31" xfId="12" applyNumberFormat="1" applyFont="1" applyBorder="1" applyProtection="1">
      <protection hidden="1"/>
    </xf>
    <xf numFmtId="0" fontId="15" fillId="0" borderId="31" xfId="3" applyFont="1" applyBorder="1" applyProtection="1">
      <protection hidden="1"/>
    </xf>
    <xf numFmtId="170" fontId="90" fillId="0" borderId="31" xfId="3" applyNumberFormat="1" applyFont="1" applyBorder="1" applyProtection="1">
      <protection hidden="1"/>
    </xf>
    <xf numFmtId="0" fontId="15" fillId="0" borderId="24" xfId="3" applyFont="1" applyBorder="1"/>
    <xf numFmtId="0" fontId="15" fillId="0" borderId="25" xfId="3" applyFont="1" applyBorder="1"/>
    <xf numFmtId="0" fontId="15" fillId="0" borderId="26" xfId="3" applyFont="1" applyBorder="1"/>
    <xf numFmtId="10" fontId="15" fillId="0" borderId="36" xfId="11" applyNumberFormat="1" applyFont="1" applyBorder="1" applyProtection="1">
      <protection hidden="1"/>
    </xf>
    <xf numFmtId="0" fontId="15" fillId="0" borderId="36" xfId="3" applyFont="1" applyBorder="1" applyProtection="1">
      <protection hidden="1"/>
    </xf>
    <xf numFmtId="0" fontId="85" fillId="0" borderId="0" xfId="3" applyFont="1" applyAlignment="1">
      <alignment horizontal="center"/>
    </xf>
    <xf numFmtId="0" fontId="15" fillId="0" borderId="0" xfId="3" applyFont="1" applyAlignment="1">
      <alignment vertical="center"/>
    </xf>
    <xf numFmtId="170" fontId="15" fillId="0" borderId="0" xfId="3" applyNumberFormat="1" applyFont="1" applyAlignment="1">
      <alignment horizontal="center" vertical="center"/>
    </xf>
    <xf numFmtId="0" fontId="7" fillId="0" borderId="0" xfId="3" applyFont="1"/>
    <xf numFmtId="0" fontId="94" fillId="0" borderId="0" xfId="3" applyFont="1" applyAlignment="1">
      <alignment horizontal="centerContinuous"/>
    </xf>
    <xf numFmtId="170" fontId="78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8" fillId="0" borderId="37" xfId="3" applyNumberFormat="1" applyFont="1" applyBorder="1" applyAlignment="1">
      <alignment horizontal="center" vertical="center"/>
    </xf>
    <xf numFmtId="0" fontId="96" fillId="0" borderId="28" xfId="3" applyFont="1" applyBorder="1" applyAlignment="1">
      <alignment vertical="center"/>
    </xf>
    <xf numFmtId="173" fontId="7" fillId="0" borderId="31" xfId="12" applyNumberFormat="1" applyFont="1" applyBorder="1" applyAlignment="1" applyProtection="1">
      <alignment vertical="center"/>
      <protection hidden="1"/>
    </xf>
    <xf numFmtId="0" fontId="97" fillId="0" borderId="32" xfId="3" applyFont="1" applyBorder="1" applyAlignment="1">
      <alignment vertical="center"/>
    </xf>
    <xf numFmtId="171" fontId="97" fillId="0" borderId="6" xfId="12" applyNumberFormat="1" applyFont="1" applyBorder="1" applyAlignment="1" applyProtection="1">
      <alignment vertical="center"/>
      <protection hidden="1"/>
    </xf>
    <xf numFmtId="0" fontId="97" fillId="0" borderId="0" xfId="3" applyFont="1"/>
    <xf numFmtId="0" fontId="7" fillId="0" borderId="32" xfId="3" quotePrefix="1" applyFont="1" applyBorder="1" applyAlignment="1">
      <alignment horizontal="left" vertical="center"/>
    </xf>
    <xf numFmtId="171" fontId="7" fillId="0" borderId="6" xfId="12" applyNumberFormat="1" applyFont="1" applyBorder="1" applyAlignment="1" applyProtection="1">
      <alignment vertical="center"/>
      <protection hidden="1"/>
    </xf>
    <xf numFmtId="168" fontId="7" fillId="0" borderId="0" xfId="12" applyNumberFormat="1" applyFont="1"/>
    <xf numFmtId="0" fontId="7" fillId="0" borderId="32" xfId="3" quotePrefix="1" applyFont="1" applyBorder="1" applyAlignment="1">
      <alignment horizontal="justify" vertical="center" wrapText="1"/>
    </xf>
    <xf numFmtId="0" fontId="97" fillId="0" borderId="32" xfId="3" applyFont="1" applyBorder="1" applyAlignment="1">
      <alignment horizontal="left" vertical="center" wrapText="1"/>
    </xf>
    <xf numFmtId="171" fontId="97" fillId="0" borderId="6" xfId="12" applyNumberFormat="1" applyFont="1" applyBorder="1" applyAlignment="1" applyProtection="1">
      <alignment horizontal="right" vertical="center"/>
      <protection hidden="1"/>
    </xf>
    <xf numFmtId="0" fontId="98" fillId="0" borderId="0" xfId="3" applyFont="1"/>
    <xf numFmtId="0" fontId="15" fillId="0" borderId="32" xfId="3" quotePrefix="1" applyFont="1" applyBorder="1" applyAlignment="1">
      <alignment horizontal="left" vertical="center"/>
    </xf>
    <xf numFmtId="0" fontId="15" fillId="0" borderId="32" xfId="3" quotePrefix="1" applyFont="1" applyBorder="1" applyAlignment="1">
      <alignment horizontal="left" vertical="center" wrapText="1"/>
    </xf>
    <xf numFmtId="0" fontId="96" fillId="0" borderId="32" xfId="3" applyFont="1" applyBorder="1" applyAlignment="1">
      <alignment vertical="center"/>
    </xf>
    <xf numFmtId="171" fontId="96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left" vertical="center" wrapText="1"/>
    </xf>
    <xf numFmtId="0" fontId="7" fillId="0" borderId="0" xfId="3" applyFont="1" applyAlignment="1">
      <alignment vertical="center"/>
    </xf>
    <xf numFmtId="0" fontId="7" fillId="0" borderId="32" xfId="3" applyFont="1" applyBorder="1" applyAlignment="1">
      <alignment horizontal="left" vertical="center"/>
    </xf>
    <xf numFmtId="171" fontId="9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justify" vertical="center" wrapText="1"/>
    </xf>
    <xf numFmtId="0" fontId="7" fillId="0" borderId="32" xfId="3" applyFont="1" applyBorder="1" applyAlignment="1">
      <alignment vertical="center"/>
    </xf>
    <xf numFmtId="0" fontId="97" fillId="0" borderId="32" xfId="3" applyFont="1" applyBorder="1" applyAlignment="1">
      <alignment horizontal="left" vertical="center"/>
    </xf>
    <xf numFmtId="171" fontId="97" fillId="0" borderId="6" xfId="12" applyNumberFormat="1" applyFont="1" applyFill="1" applyBorder="1" applyAlignment="1" applyProtection="1">
      <alignment vertical="center"/>
      <protection hidden="1"/>
    </xf>
    <xf numFmtId="0" fontId="9" fillId="0" borderId="24" xfId="3" applyFont="1" applyBorder="1" applyAlignment="1">
      <alignment vertical="center"/>
    </xf>
    <xf numFmtId="171" fontId="9" fillId="0" borderId="36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6" fillId="0" borderId="0" xfId="3" applyFont="1"/>
    <xf numFmtId="168" fontId="96" fillId="0" borderId="0" xfId="12" applyNumberFormat="1" applyFont="1" applyBorder="1" applyProtection="1">
      <protection hidden="1"/>
    </xf>
    <xf numFmtId="165" fontId="7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6" borderId="0" xfId="13" applyFont="1" applyFill="1"/>
    <xf numFmtId="0" fontId="100" fillId="0" borderId="0" xfId="13" applyFont="1"/>
    <xf numFmtId="174" fontId="101" fillId="7" borderId="0" xfId="14" applyNumberFormat="1" applyFont="1" applyFill="1" applyAlignment="1">
      <alignment horizontal="centerContinuous"/>
    </xf>
    <xf numFmtId="0" fontId="1" fillId="7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0" fillId="0" borderId="38" xfId="13" applyFont="1" applyBorder="1" applyAlignment="1">
      <alignment horizontal="center"/>
    </xf>
    <xf numFmtId="0" fontId="1" fillId="0" borderId="39" xfId="13" applyFont="1" applyBorder="1" applyAlignment="1">
      <alignment horizontal="center"/>
    </xf>
    <xf numFmtId="0" fontId="2" fillId="0" borderId="39" xfId="13" applyFont="1" applyBorder="1"/>
    <xf numFmtId="0" fontId="1" fillId="0" borderId="39" xfId="13" applyFont="1" applyBorder="1"/>
    <xf numFmtId="0" fontId="1" fillId="0" borderId="39" xfId="13" applyFont="1" applyBorder="1" applyAlignment="1">
      <alignment horizontal="left"/>
    </xf>
    <xf numFmtId="3" fontId="1" fillId="0" borderId="39" xfId="13" quotePrefix="1" applyNumberFormat="1" applyFont="1" applyBorder="1"/>
    <xf numFmtId="3" fontId="1" fillId="0" borderId="39" xfId="13" applyNumberFormat="1" applyFont="1" applyBorder="1"/>
    <xf numFmtId="0" fontId="1" fillId="0" borderId="40" xfId="13" applyFont="1" applyBorder="1" applyAlignment="1">
      <alignment horizontal="center"/>
    </xf>
    <xf numFmtId="0" fontId="1" fillId="0" borderId="41" xfId="13" applyFont="1" applyBorder="1"/>
    <xf numFmtId="2" fontId="1" fillId="0" borderId="42" xfId="13" applyNumberFormat="1" applyFont="1" applyBorder="1"/>
    <xf numFmtId="3" fontId="2" fillId="0" borderId="39" xfId="13" applyNumberFormat="1" applyFont="1" applyBorder="1" applyAlignment="1">
      <alignment horizontal="left"/>
    </xf>
    <xf numFmtId="0" fontId="1" fillId="0" borderId="43" xfId="13" applyFont="1" applyBorder="1"/>
    <xf numFmtId="0" fontId="1" fillId="0" borderId="41" xfId="13" applyFont="1" applyBorder="1" applyAlignment="1">
      <alignment horizontal="left"/>
    </xf>
    <xf numFmtId="0" fontId="1" fillId="0" borderId="44" xfId="13" applyFont="1" applyBorder="1" applyAlignment="1">
      <alignment horizontal="center"/>
    </xf>
    <xf numFmtId="2" fontId="1" fillId="0" borderId="41" xfId="13" applyNumberFormat="1" applyFont="1" applyBorder="1"/>
    <xf numFmtId="3" fontId="2" fillId="0" borderId="41" xfId="13" applyNumberFormat="1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0" fontId="1" fillId="0" borderId="45" xfId="13" applyFont="1" applyBorder="1"/>
    <xf numFmtId="2" fontId="1" fillId="0" borderId="46" xfId="13" applyNumberFormat="1" applyFont="1" applyBorder="1"/>
    <xf numFmtId="3" fontId="2" fillId="0" borderId="43" xfId="13" quotePrefix="1" applyNumberFormat="1" applyFont="1" applyBorder="1" applyAlignment="1">
      <alignment horizontal="left"/>
    </xf>
    <xf numFmtId="3" fontId="1" fillId="0" borderId="45" xfId="13" quotePrefix="1" applyNumberFormat="1" applyFont="1" applyBorder="1"/>
    <xf numFmtId="174" fontId="1" fillId="0" borderId="45" xfId="14" applyNumberFormat="1" applyFont="1" applyBorder="1"/>
    <xf numFmtId="2" fontId="103" fillId="0" borderId="41" xfId="13" applyNumberFormat="1" applyFont="1" applyBorder="1"/>
    <xf numFmtId="3" fontId="1" fillId="0" borderId="41" xfId="13" applyNumberFormat="1" applyFont="1" applyBorder="1"/>
    <xf numFmtId="3" fontId="1" fillId="0" borderId="41" xfId="13" quotePrefix="1" applyNumberFormat="1" applyFont="1" applyBorder="1"/>
    <xf numFmtId="0" fontId="1" fillId="0" borderId="41" xfId="13" applyFont="1" applyBorder="1" applyAlignment="1">
      <alignment horizontal="center"/>
    </xf>
    <xf numFmtId="2" fontId="1" fillId="0" borderId="39" xfId="13" applyNumberFormat="1" applyFont="1" applyBorder="1"/>
    <xf numFmtId="0" fontId="1" fillId="0" borderId="43" xfId="13" applyFont="1" applyBorder="1" applyAlignment="1">
      <alignment horizontal="center"/>
    </xf>
    <xf numFmtId="2" fontId="103" fillId="0" borderId="43" xfId="13" applyNumberFormat="1" applyFont="1" applyBorder="1"/>
    <xf numFmtId="2" fontId="1" fillId="0" borderId="47" xfId="13" applyNumberFormat="1" applyFont="1" applyBorder="1"/>
    <xf numFmtId="3" fontId="1" fillId="0" borderId="43" xfId="13" quotePrefix="1" applyNumberFormat="1" applyFont="1" applyBorder="1"/>
    <xf numFmtId="0" fontId="2" fillId="0" borderId="43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41" xfId="13" applyNumberFormat="1" applyFont="1" applyBorder="1"/>
    <xf numFmtId="0" fontId="1" fillId="0" borderId="47" xfId="13" applyFont="1" applyBorder="1" applyAlignment="1">
      <alignment horizontal="center"/>
    </xf>
    <xf numFmtId="2" fontId="2" fillId="0" borderId="43" xfId="13" applyNumberFormat="1" applyFont="1" applyBorder="1"/>
    <xf numFmtId="2" fontId="1" fillId="0" borderId="43" xfId="13" applyNumberFormat="1" applyFont="1" applyBorder="1"/>
    <xf numFmtId="2" fontId="2" fillId="0" borderId="39" xfId="13" applyNumberFormat="1" applyFont="1" applyBorder="1"/>
    <xf numFmtId="3" fontId="2" fillId="0" borderId="39" xfId="13" quotePrefix="1" applyNumberFormat="1" applyFont="1" applyBorder="1" applyAlignment="1">
      <alignment horizontal="left"/>
    </xf>
    <xf numFmtId="2" fontId="2" fillId="0" borderId="48" xfId="13" applyNumberFormat="1" applyFont="1" applyBorder="1"/>
    <xf numFmtId="174" fontId="1" fillId="0" borderId="41" xfId="14" applyNumberFormat="1" applyFont="1" applyBorder="1"/>
    <xf numFmtId="3" fontId="2" fillId="0" borderId="43" xfId="13" applyNumberFormat="1" applyFont="1" applyBorder="1" applyAlignment="1">
      <alignment horizontal="left"/>
    </xf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0" fontId="2" fillId="0" borderId="47" xfId="13" applyFont="1" applyBorder="1" applyAlignment="1">
      <alignment horizontal="left"/>
    </xf>
    <xf numFmtId="0" fontId="1" fillId="0" borderId="48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5" xfId="13" applyNumberFormat="1" applyFont="1" applyBorder="1"/>
    <xf numFmtId="0" fontId="2" fillId="0" borderId="45" xfId="13" applyFont="1" applyBorder="1" applyAlignment="1">
      <alignment horizontal="left"/>
    </xf>
    <xf numFmtId="0" fontId="2" fillId="0" borderId="43" xfId="13" applyFont="1" applyBorder="1" applyAlignment="1">
      <alignment horizontal="left"/>
    </xf>
    <xf numFmtId="2" fontId="1" fillId="0" borderId="45" xfId="13" applyNumberFormat="1" applyFont="1" applyBorder="1"/>
    <xf numFmtId="3" fontId="1" fillId="0" borderId="43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0" fontId="1" fillId="0" borderId="45" xfId="13" applyFont="1" applyBorder="1" applyAlignment="1">
      <alignment horizontal="left"/>
    </xf>
    <xf numFmtId="0" fontId="2" fillId="0" borderId="39" xfId="13" applyFont="1" applyBorder="1" applyAlignment="1">
      <alignment horizontal="left"/>
    </xf>
    <xf numFmtId="0" fontId="2" fillId="0" borderId="41" xfId="13" applyFont="1" applyBorder="1" applyAlignment="1">
      <alignment horizontal="left"/>
    </xf>
    <xf numFmtId="3" fontId="1" fillId="0" borderId="47" xfId="13" applyNumberFormat="1" applyFont="1" applyBorder="1"/>
    <xf numFmtId="3" fontId="1" fillId="0" borderId="45" xfId="13" applyNumberFormat="1" applyFont="1" applyBorder="1"/>
    <xf numFmtId="0" fontId="101" fillId="0" borderId="41" xfId="13" applyFont="1" applyBorder="1" applyAlignment="1">
      <alignment horizontal="center"/>
    </xf>
    <xf numFmtId="0" fontId="1" fillId="0" borderId="41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39" xfId="13" applyFont="1" applyBorder="1" applyAlignment="1">
      <alignment horizontal="left" vertical="center"/>
    </xf>
    <xf numFmtId="0" fontId="1" fillId="0" borderId="39" xfId="13" applyFont="1" applyBorder="1" applyAlignment="1">
      <alignment vertical="center"/>
    </xf>
    <xf numFmtId="0" fontId="1" fillId="0" borderId="41" xfId="13" applyFont="1" applyBorder="1" applyAlignment="1">
      <alignment vertical="center"/>
    </xf>
    <xf numFmtId="0" fontId="101" fillId="0" borderId="45" xfId="13" applyFont="1" applyBorder="1" applyAlignment="1">
      <alignment horizontal="center"/>
    </xf>
    <xf numFmtId="0" fontId="1" fillId="0" borderId="45" xfId="13" applyFont="1" applyBorder="1" applyAlignment="1">
      <alignment vertical="center"/>
    </xf>
    <xf numFmtId="0" fontId="1" fillId="0" borderId="45" xfId="13" applyFont="1" applyBorder="1" applyAlignment="1">
      <alignment horizontal="left" vertical="center"/>
    </xf>
    <xf numFmtId="0" fontId="101" fillId="0" borderId="47" xfId="13" applyFont="1" applyBorder="1" applyAlignment="1">
      <alignment horizontal="center"/>
    </xf>
    <xf numFmtId="0" fontId="1" fillId="0" borderId="47" xfId="13" applyFont="1" applyBorder="1"/>
    <xf numFmtId="174" fontId="1" fillId="0" borderId="45" xfId="14" applyNumberFormat="1" applyFont="1" applyFill="1" applyBorder="1"/>
    <xf numFmtId="0" fontId="101" fillId="0" borderId="43" xfId="13" applyFont="1" applyBorder="1" applyAlignment="1">
      <alignment horizontal="center"/>
    </xf>
    <xf numFmtId="0" fontId="2" fillId="0" borderId="47" xfId="13" applyFont="1" applyBorder="1"/>
    <xf numFmtId="0" fontId="1" fillId="0" borderId="43" xfId="13" applyFont="1" applyBorder="1" applyAlignment="1">
      <alignment horizontal="left" vertical="center"/>
    </xf>
    <xf numFmtId="174" fontId="1" fillId="0" borderId="41" xfId="14" applyNumberFormat="1" applyFont="1" applyFill="1" applyBorder="1"/>
    <xf numFmtId="0" fontId="101" fillId="0" borderId="7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0" fontId="1" fillId="0" borderId="46" xfId="13" applyFont="1" applyBorder="1" applyAlignment="1">
      <alignment horizontal="left"/>
    </xf>
    <xf numFmtId="3" fontId="1" fillId="0" borderId="49" xfId="13" applyNumberFormat="1" applyFont="1" applyBorder="1"/>
    <xf numFmtId="3" fontId="1" fillId="0" borderId="46" xfId="13" applyNumberFormat="1" applyFont="1" applyBorder="1"/>
    <xf numFmtId="0" fontId="2" fillId="0" borderId="45" xfId="13" applyFont="1" applyBorder="1" applyAlignment="1">
      <alignment horizontal="center"/>
    </xf>
    <xf numFmtId="0" fontId="2" fillId="0" borderId="45" xfId="13" applyFont="1" applyBorder="1"/>
    <xf numFmtId="3" fontId="1" fillId="0" borderId="50" xfId="13" applyNumberFormat="1" applyFont="1" applyBorder="1"/>
    <xf numFmtId="0" fontId="1" fillId="0" borderId="43" xfId="13" applyFont="1" applyBorder="1" applyAlignment="1">
      <alignment horizontal="left"/>
    </xf>
    <xf numFmtId="0" fontId="2" fillId="0" borderId="41" xfId="13" applyFont="1" applyBorder="1" applyAlignment="1">
      <alignment horizontal="center"/>
    </xf>
    <xf numFmtId="0" fontId="2" fillId="0" borderId="41" xfId="13" applyFont="1" applyBorder="1"/>
    <xf numFmtId="0" fontId="1" fillId="0" borderId="42" xfId="13" applyFont="1" applyBorder="1"/>
    <xf numFmtId="0" fontId="1" fillId="0" borderId="51" xfId="13" applyFont="1" applyBorder="1"/>
    <xf numFmtId="0" fontId="101" fillId="0" borderId="41" xfId="13" applyFont="1" applyBorder="1"/>
    <xf numFmtId="0" fontId="101" fillId="0" borderId="41" xfId="13" applyFont="1" applyBorder="1" applyAlignment="1">
      <alignment horizontal="left"/>
    </xf>
    <xf numFmtId="0" fontId="104" fillId="0" borderId="41" xfId="13" applyFont="1" applyBorder="1"/>
    <xf numFmtId="0" fontId="101" fillId="0" borderId="52" xfId="13" applyFont="1" applyBorder="1" applyAlignment="1">
      <alignment horizontal="center"/>
    </xf>
    <xf numFmtId="0" fontId="53" fillId="9" borderId="0" xfId="3" applyFont="1" applyFill="1"/>
    <xf numFmtId="0" fontId="54" fillId="9" borderId="0" xfId="3" applyFont="1" applyFill="1"/>
    <xf numFmtId="0" fontId="54" fillId="9" borderId="13" xfId="3" applyFont="1" applyFill="1" applyBorder="1"/>
    <xf numFmtId="0" fontId="54" fillId="9" borderId="0" xfId="3" quotePrefix="1" applyFont="1" applyFill="1"/>
    <xf numFmtId="0" fontId="8" fillId="9" borderId="0" xfId="3" applyFont="1" applyFill="1"/>
    <xf numFmtId="0" fontId="48" fillId="9" borderId="0" xfId="3" applyFont="1" applyFill="1" applyAlignment="1">
      <alignment horizontal="center"/>
    </xf>
    <xf numFmtId="0" fontId="7" fillId="9" borderId="0" xfId="3" applyFont="1" applyFill="1" applyAlignment="1">
      <alignment horizontal="left"/>
    </xf>
    <xf numFmtId="0" fontId="7" fillId="9" borderId="0" xfId="3" applyFont="1" applyFill="1"/>
    <xf numFmtId="0" fontId="105" fillId="0" borderId="13" xfId="3" applyFont="1" applyBorder="1"/>
    <xf numFmtId="2" fontId="103" fillId="0" borderId="39" xfId="13" applyNumberFormat="1" applyFont="1" applyBorder="1"/>
    <xf numFmtId="2" fontId="103" fillId="0" borderId="47" xfId="13" applyNumberFormat="1" applyFont="1" applyBorder="1"/>
    <xf numFmtId="2" fontId="2" fillId="0" borderId="47" xfId="13" applyNumberFormat="1" applyFont="1" applyBorder="1"/>
    <xf numFmtId="2" fontId="2" fillId="0" borderId="46" xfId="13" applyNumberFormat="1" applyFont="1" applyBorder="1"/>
    <xf numFmtId="0" fontId="100" fillId="0" borderId="47" xfId="13" applyFont="1" applyBorder="1"/>
    <xf numFmtId="0" fontId="2" fillId="0" borderId="43" xfId="13" applyFont="1" applyBorder="1"/>
    <xf numFmtId="0" fontId="2" fillId="0" borderId="0" xfId="13" applyFont="1" applyAlignment="1">
      <alignment horizontal="left"/>
    </xf>
    <xf numFmtId="0" fontId="2" fillId="0" borderId="42" xfId="13" applyFont="1" applyBorder="1" applyAlignment="1">
      <alignment horizontal="left"/>
    </xf>
    <xf numFmtId="0" fontId="2" fillId="0" borderId="53" xfId="13" applyFont="1" applyBorder="1"/>
    <xf numFmtId="0" fontId="101" fillId="0" borderId="3" xfId="13" applyFont="1" applyBorder="1" applyAlignment="1">
      <alignment horizontal="center" vertical="top"/>
    </xf>
    <xf numFmtId="0" fontId="79" fillId="0" borderId="3" xfId="13" applyFont="1" applyBorder="1" applyAlignment="1">
      <alignment vertical="top"/>
    </xf>
    <xf numFmtId="0" fontId="79" fillId="0" borderId="3" xfId="13" applyFont="1" applyBorder="1" applyAlignment="1">
      <alignment horizontal="center" vertical="top" wrapText="1"/>
    </xf>
    <xf numFmtId="16" fontId="1" fillId="8" borderId="3" xfId="13" applyNumberFormat="1" applyFont="1" applyFill="1" applyBorder="1" applyAlignment="1">
      <alignment horizontal="centerContinuous" vertical="center"/>
    </xf>
    <xf numFmtId="174" fontId="79" fillId="0" borderId="3" xfId="14" applyNumberFormat="1" applyFont="1" applyBorder="1" applyAlignment="1">
      <alignment horizontal="center" vertical="center"/>
    </xf>
    <xf numFmtId="0" fontId="100" fillId="0" borderId="3" xfId="13" applyFont="1" applyBorder="1"/>
    <xf numFmtId="0" fontId="79" fillId="0" borderId="3" xfId="13" applyFont="1" applyBorder="1" applyAlignment="1">
      <alignment vertical="top" wrapText="1"/>
    </xf>
    <xf numFmtId="0" fontId="1" fillId="0" borderId="3" xfId="13" applyFont="1" applyBorder="1" applyAlignment="1">
      <alignment horizontal="center" vertical="top" wrapText="1"/>
    </xf>
    <xf numFmtId="0" fontId="100" fillId="0" borderId="3" xfId="13" applyFont="1" applyBorder="1" applyAlignment="1">
      <alignment horizontal="center"/>
    </xf>
    <xf numFmtId="174" fontId="1" fillId="0" borderId="3" xfId="14" applyNumberFormat="1" applyFont="1" applyBorder="1"/>
    <xf numFmtId="0" fontId="1" fillId="0" borderId="3" xfId="13" applyFont="1" applyBorder="1"/>
    <xf numFmtId="0" fontId="79" fillId="0" borderId="3" xfId="13" applyFont="1" applyBorder="1" applyAlignment="1">
      <alignment horizontal="center"/>
    </xf>
    <xf numFmtId="0" fontId="79" fillId="0" borderId="3" xfId="13" applyFont="1" applyBorder="1"/>
    <xf numFmtId="16" fontId="1" fillId="8" borderId="3" xfId="13" applyNumberFormat="1" applyFont="1" applyFill="1" applyBorder="1" applyAlignment="1">
      <alignment horizontal="centerContinuous"/>
    </xf>
    <xf numFmtId="165" fontId="106" fillId="0" borderId="4" xfId="4" applyNumberFormat="1" applyFont="1" applyFill="1" applyBorder="1" applyAlignment="1" applyProtection="1">
      <alignment vertical="top" wrapText="1"/>
      <protection locked="0"/>
    </xf>
    <xf numFmtId="165" fontId="10" fillId="0" borderId="9" xfId="4" applyNumberFormat="1" applyFont="1" applyFill="1" applyBorder="1" applyAlignment="1" applyProtection="1">
      <alignment vertical="top" wrapText="1"/>
      <protection locked="0"/>
    </xf>
    <xf numFmtId="3" fontId="107" fillId="0" borderId="9" xfId="2" applyNumberFormat="1" applyFont="1" applyBorder="1" applyAlignment="1" applyProtection="1">
      <alignment vertical="top" wrapText="1"/>
      <protection locked="0"/>
    </xf>
    <xf numFmtId="3" fontId="108" fillId="0" borderId="9" xfId="2" applyNumberFormat="1" applyFont="1" applyBorder="1" applyAlignment="1" applyProtection="1">
      <alignment vertical="top" wrapText="1"/>
      <protection locked="0"/>
    </xf>
    <xf numFmtId="3" fontId="10" fillId="0" borderId="9" xfId="0" applyNumberFormat="1" applyFont="1" applyBorder="1" applyAlignment="1" applyProtection="1">
      <alignment vertical="top" wrapText="1"/>
      <protection locked="0"/>
    </xf>
    <xf numFmtId="3" fontId="106" fillId="0" borderId="9" xfId="0" applyNumberFormat="1" applyFont="1" applyBorder="1" applyAlignment="1" applyProtection="1">
      <alignment vertical="top" wrapText="1"/>
      <protection locked="0"/>
    </xf>
    <xf numFmtId="3" fontId="107" fillId="0" borderId="9" xfId="2" quotePrefix="1" applyNumberFormat="1" applyFont="1" applyBorder="1" applyAlignment="1" applyProtection="1">
      <alignment vertical="top" wrapText="1"/>
      <protection locked="0"/>
    </xf>
    <xf numFmtId="3" fontId="10" fillId="0" borderId="9" xfId="2" applyNumberFormat="1" applyFont="1" applyBorder="1" applyAlignment="1" applyProtection="1">
      <alignment vertical="top" wrapText="1"/>
      <protection locked="0"/>
    </xf>
    <xf numFmtId="3" fontId="24" fillId="10" borderId="9" xfId="0" applyNumberFormat="1" applyFont="1" applyFill="1" applyBorder="1" applyAlignment="1" applyProtection="1">
      <alignment vertical="top" wrapText="1"/>
      <protection locked="0"/>
    </xf>
    <xf numFmtId="3" fontId="106" fillId="0" borderId="9" xfId="0" quotePrefix="1" applyNumberFormat="1" applyFont="1" applyBorder="1" applyAlignment="1" applyProtection="1">
      <alignment vertical="top" wrapText="1"/>
      <protection locked="0"/>
    </xf>
    <xf numFmtId="3" fontId="107" fillId="0" borderId="9" xfId="0" quotePrefix="1" applyNumberFormat="1" applyFont="1" applyBorder="1" applyAlignment="1" applyProtection="1">
      <alignment vertical="top" wrapText="1"/>
      <protection locked="0"/>
    </xf>
    <xf numFmtId="3" fontId="5" fillId="10" borderId="9" xfId="0" applyNumberFormat="1" applyFont="1" applyFill="1" applyBorder="1" applyAlignment="1" applyProtection="1">
      <alignment vertical="center" wrapText="1"/>
      <protection locked="0"/>
    </xf>
    <xf numFmtId="3" fontId="109" fillId="0" borderId="1" xfId="3" applyNumberFormat="1" applyFont="1" applyBorder="1" applyProtection="1">
      <protection locked="0"/>
    </xf>
    <xf numFmtId="3" fontId="109" fillId="0" borderId="4" xfId="3" applyNumberFormat="1" applyFont="1" applyBorder="1" applyProtection="1">
      <protection locked="0"/>
    </xf>
    <xf numFmtId="3" fontId="109" fillId="0" borderId="11" xfId="3" applyNumberFormat="1" applyFont="1" applyBorder="1" applyProtection="1">
      <protection locked="0"/>
    </xf>
    <xf numFmtId="3" fontId="109" fillId="0" borderId="9" xfId="3" applyNumberFormat="1" applyFont="1" applyBorder="1" applyProtection="1">
      <protection locked="0"/>
    </xf>
    <xf numFmtId="3" fontId="8" fillId="0" borderId="8" xfId="2" applyNumberFormat="1" applyFont="1" applyBorder="1" applyProtection="1">
      <protection locked="0"/>
    </xf>
    <xf numFmtId="176" fontId="15" fillId="0" borderId="0" xfId="3" applyNumberFormat="1" applyFont="1" applyProtection="1">
      <protection hidden="1"/>
    </xf>
    <xf numFmtId="174" fontId="79" fillId="0" borderId="3" xfId="14" applyNumberFormat="1" applyFont="1" applyBorder="1" applyAlignment="1">
      <alignment horizontal="right" vertical="top"/>
    </xf>
    <xf numFmtId="174" fontId="1" fillId="0" borderId="39" xfId="14" applyNumberFormat="1" applyFont="1" applyBorder="1" applyAlignment="1">
      <alignment horizontal="right"/>
    </xf>
    <xf numFmtId="174" fontId="1" fillId="0" borderId="45" xfId="14" applyNumberFormat="1" applyFont="1" applyBorder="1" applyAlignment="1">
      <alignment horizontal="right"/>
    </xf>
    <xf numFmtId="174" fontId="1" fillId="0" borderId="47" xfId="14" applyNumberFormat="1" applyFont="1" applyBorder="1" applyAlignment="1">
      <alignment horizontal="right"/>
    </xf>
    <xf numFmtId="174" fontId="1" fillId="0" borderId="41" xfId="14" applyNumberFormat="1" applyFont="1" applyBorder="1" applyAlignment="1">
      <alignment horizontal="right"/>
    </xf>
    <xf numFmtId="0" fontId="1" fillId="0" borderId="3" xfId="13" applyFont="1" applyBorder="1" applyAlignment="1">
      <alignment horizontal="right"/>
    </xf>
    <xf numFmtId="175" fontId="1" fillId="0" borderId="41" xfId="14" applyNumberFormat="1" applyFont="1" applyBorder="1" applyAlignment="1">
      <alignment horizontal="right"/>
    </xf>
    <xf numFmtId="175" fontId="1" fillId="0" borderId="45" xfId="14" applyNumberFormat="1" applyFont="1" applyBorder="1" applyAlignment="1">
      <alignment horizontal="right"/>
    </xf>
    <xf numFmtId="174" fontId="1" fillId="0" borderId="43" xfId="14" applyNumberFormat="1" applyFont="1" applyBorder="1" applyAlignment="1">
      <alignment horizontal="right"/>
    </xf>
    <xf numFmtId="174" fontId="1" fillId="0" borderId="39" xfId="14" applyNumberFormat="1" applyFont="1" applyFill="1" applyBorder="1" applyAlignment="1">
      <alignment horizontal="right"/>
    </xf>
    <xf numFmtId="3" fontId="1" fillId="0" borderId="41" xfId="14" applyNumberFormat="1" applyFont="1" applyBorder="1"/>
    <xf numFmtId="3" fontId="1" fillId="0" borderId="43" xfId="14" applyNumberFormat="1" applyFont="1" applyBorder="1"/>
    <xf numFmtId="3" fontId="1" fillId="0" borderId="45" xfId="14" applyNumberFormat="1" applyFont="1" applyBorder="1"/>
    <xf numFmtId="3" fontId="1" fillId="0" borderId="39" xfId="14" applyNumberFormat="1" applyFont="1" applyBorder="1"/>
    <xf numFmtId="3" fontId="1" fillId="0" borderId="41" xfId="14" applyNumberFormat="1" applyFont="1" applyFill="1" applyBorder="1"/>
    <xf numFmtId="3" fontId="107" fillId="0" borderId="9" xfId="0" applyNumberFormat="1" applyFont="1" applyBorder="1" applyAlignment="1" applyProtection="1">
      <alignment vertical="top" wrapText="1"/>
      <protection locked="0"/>
    </xf>
    <xf numFmtId="174" fontId="1" fillId="11" borderId="39" xfId="14" applyNumberFormat="1" applyFont="1" applyFill="1" applyBorder="1" applyAlignment="1">
      <alignment horizontal="right"/>
    </xf>
    <xf numFmtId="3" fontId="1" fillId="11" borderId="39" xfId="13" applyNumberFormat="1" applyFont="1" applyFill="1" applyBorder="1"/>
    <xf numFmtId="0" fontId="1" fillId="11" borderId="0" xfId="13" applyFont="1" applyFill="1"/>
    <xf numFmtId="0" fontId="2" fillId="11" borderId="39" xfId="13" applyFont="1" applyFill="1" applyBorder="1" applyAlignment="1">
      <alignment horizontal="left"/>
    </xf>
    <xf numFmtId="3" fontId="1" fillId="12" borderId="39" xfId="13" quotePrefix="1" applyNumberFormat="1" applyFont="1" applyFill="1" applyBorder="1"/>
    <xf numFmtId="174" fontId="1" fillId="12" borderId="39" xfId="14" applyNumberFormat="1" applyFont="1" applyFill="1" applyBorder="1" applyAlignment="1">
      <alignment horizontal="right"/>
    </xf>
    <xf numFmtId="0" fontId="1" fillId="12" borderId="0" xfId="13" applyFont="1" applyFill="1"/>
    <xf numFmtId="174" fontId="1" fillId="12" borderId="0" xfId="14" applyNumberFormat="1" applyFont="1" applyFill="1"/>
    <xf numFmtId="0" fontId="2" fillId="12" borderId="41" xfId="13" applyFont="1" applyFill="1" applyBorder="1" applyAlignment="1">
      <alignment horizontal="center"/>
    </xf>
    <xf numFmtId="0" fontId="2" fillId="12" borderId="41" xfId="13" applyFont="1" applyFill="1" applyBorder="1"/>
    <xf numFmtId="0" fontId="1" fillId="12" borderId="41" xfId="13" applyFont="1" applyFill="1" applyBorder="1" applyAlignment="1">
      <alignment horizontal="left"/>
    </xf>
    <xf numFmtId="0" fontId="1" fillId="12" borderId="41" xfId="13" applyFont="1" applyFill="1" applyBorder="1"/>
    <xf numFmtId="3" fontId="1" fillId="12" borderId="41" xfId="14" applyNumberFormat="1" applyFont="1" applyFill="1" applyBorder="1"/>
    <xf numFmtId="3" fontId="1" fillId="12" borderId="41" xfId="13" applyNumberFormat="1" applyFont="1" applyFill="1" applyBorder="1"/>
    <xf numFmtId="0" fontId="1" fillId="12" borderId="41" xfId="13" applyFont="1" applyFill="1" applyBorder="1" applyAlignment="1">
      <alignment horizontal="center"/>
    </xf>
    <xf numFmtId="2" fontId="2" fillId="12" borderId="41" xfId="13" applyNumberFormat="1" applyFont="1" applyFill="1" applyBorder="1"/>
    <xf numFmtId="0" fontId="1" fillId="12" borderId="54" xfId="13" applyFont="1" applyFill="1" applyBorder="1" applyAlignment="1">
      <alignment horizontal="center"/>
    </xf>
    <xf numFmtId="2" fontId="2" fillId="12" borderId="54" xfId="13" applyNumberFormat="1" applyFont="1" applyFill="1" applyBorder="1"/>
    <xf numFmtId="2" fontId="1" fillId="12" borderId="54" xfId="13" applyNumberFormat="1" applyFont="1" applyFill="1" applyBorder="1"/>
    <xf numFmtId="3" fontId="2" fillId="12" borderId="54" xfId="13" applyNumberFormat="1" applyFont="1" applyFill="1" applyBorder="1" applyAlignment="1">
      <alignment horizontal="left"/>
    </xf>
    <xf numFmtId="0" fontId="1" fillId="0" borderId="54" xfId="13" applyFont="1" applyBorder="1" applyAlignment="1">
      <alignment horizontal="center"/>
    </xf>
    <xf numFmtId="2" fontId="2" fillId="0" borderId="54" xfId="13" applyNumberFormat="1" applyFont="1" applyBorder="1"/>
    <xf numFmtId="2" fontId="1" fillId="0" borderId="54" xfId="13" applyNumberFormat="1" applyFont="1" applyBorder="1"/>
    <xf numFmtId="3" fontId="2" fillId="0" borderId="54" xfId="13" applyNumberFormat="1" applyFont="1" applyBorder="1" applyAlignment="1">
      <alignment horizontal="left"/>
    </xf>
    <xf numFmtId="3" fontId="1" fillId="0" borderId="54" xfId="13" quotePrefix="1" applyNumberFormat="1" applyFont="1" applyBorder="1"/>
    <xf numFmtId="174" fontId="1" fillId="0" borderId="54" xfId="14" applyNumberFormat="1" applyFont="1" applyBorder="1" applyAlignment="1">
      <alignment horizontal="right"/>
    </xf>
    <xf numFmtId="3" fontId="1" fillId="0" borderId="54" xfId="13" applyNumberFormat="1" applyFont="1" applyBorder="1"/>
    <xf numFmtId="3" fontId="2" fillId="0" borderId="54" xfId="13" quotePrefix="1" applyNumberFormat="1" applyFont="1" applyBorder="1" applyAlignment="1">
      <alignment horizontal="left"/>
    </xf>
    <xf numFmtId="0" fontId="1" fillId="11" borderId="54" xfId="13" applyFont="1" applyFill="1" applyBorder="1" applyAlignment="1">
      <alignment horizontal="center"/>
    </xf>
    <xf numFmtId="2" fontId="2" fillId="11" borderId="54" xfId="13" applyNumberFormat="1" applyFont="1" applyFill="1" applyBorder="1"/>
    <xf numFmtId="2" fontId="1" fillId="11" borderId="54" xfId="13" applyNumberFormat="1" applyFont="1" applyFill="1" applyBorder="1"/>
    <xf numFmtId="0" fontId="2" fillId="0" borderId="54" xfId="13" applyFont="1" applyBorder="1" applyAlignment="1">
      <alignment horizontal="left"/>
    </xf>
    <xf numFmtId="0" fontId="1" fillId="0" borderId="54" xfId="13" applyFont="1" applyBorder="1"/>
    <xf numFmtId="0" fontId="1" fillId="0" borderId="54" xfId="13" applyFont="1" applyBorder="1" applyAlignment="1">
      <alignment horizontal="left"/>
    </xf>
    <xf numFmtId="0" fontId="2" fillId="0" borderId="54" xfId="13" applyFont="1" applyBorder="1"/>
    <xf numFmtId="0" fontId="2" fillId="0" borderId="55" xfId="13" applyFont="1" applyBorder="1"/>
    <xf numFmtId="2" fontId="1" fillId="0" borderId="55" xfId="13" applyNumberFormat="1" applyFont="1" applyBorder="1"/>
    <xf numFmtId="174" fontId="1" fillId="0" borderId="54" xfId="14" applyNumberFormat="1" applyFont="1" applyBorder="1"/>
    <xf numFmtId="0" fontId="101" fillId="0" borderId="54" xfId="13" applyFont="1" applyBorder="1" applyAlignment="1">
      <alignment horizontal="center"/>
    </xf>
    <xf numFmtId="0" fontId="1" fillId="0" borderId="54" xfId="13" applyFont="1" applyBorder="1" applyAlignment="1">
      <alignment horizontal="left" vertical="center"/>
    </xf>
    <xf numFmtId="0" fontId="100" fillId="0" borderId="54" xfId="13" applyFont="1" applyBorder="1" applyAlignment="1">
      <alignment horizontal="center"/>
    </xf>
    <xf numFmtId="0" fontId="100" fillId="0" borderId="54" xfId="13" applyFont="1" applyBorder="1"/>
    <xf numFmtId="0" fontId="101" fillId="0" borderId="54" xfId="13" applyFont="1" applyBorder="1"/>
    <xf numFmtId="0" fontId="2" fillId="0" borderId="54" xfId="13" applyFont="1" applyBorder="1" applyAlignment="1">
      <alignment horizontal="center"/>
    </xf>
    <xf numFmtId="3" fontId="1" fillId="0" borderId="55" xfId="13" applyNumberFormat="1" applyFont="1" applyBorder="1"/>
    <xf numFmtId="0" fontId="2" fillId="12" borderId="54" xfId="13" applyFont="1" applyFill="1" applyBorder="1" applyAlignment="1">
      <alignment horizontal="center"/>
    </xf>
    <xf numFmtId="0" fontId="2" fillId="12" borderId="54" xfId="13" applyFont="1" applyFill="1" applyBorder="1"/>
    <xf numFmtId="0" fontId="1" fillId="12" borderId="54" xfId="13" applyFont="1" applyFill="1" applyBorder="1" applyAlignment="1">
      <alignment horizontal="left"/>
    </xf>
    <xf numFmtId="0" fontId="1" fillId="12" borderId="54" xfId="13" applyFont="1" applyFill="1" applyBorder="1"/>
    <xf numFmtId="3" fontId="1" fillId="12" borderId="55" xfId="13" applyNumberFormat="1" applyFont="1" applyFill="1" applyBorder="1"/>
    <xf numFmtId="3" fontId="1" fillId="12" borderId="54" xfId="13" applyNumberFormat="1" applyFont="1" applyFill="1" applyBorder="1"/>
    <xf numFmtId="3" fontId="1" fillId="0" borderId="54" xfId="14" applyNumberFormat="1" applyFont="1" applyBorder="1"/>
    <xf numFmtId="3" fontId="1" fillId="12" borderId="54" xfId="14" applyNumberFormat="1" applyFont="1" applyFill="1" applyBorder="1"/>
    <xf numFmtId="0" fontId="1" fillId="0" borderId="56" xfId="13" applyFont="1" applyBorder="1"/>
    <xf numFmtId="0" fontId="101" fillId="0" borderId="57" xfId="13" applyFont="1" applyBorder="1" applyAlignment="1">
      <alignment horizontal="center"/>
    </xf>
    <xf numFmtId="174" fontId="1" fillId="0" borderId="3" xfId="14" applyNumberFormat="1" applyFont="1" applyFill="1" applyBorder="1"/>
    <xf numFmtId="3" fontId="1" fillId="5" borderId="54" xfId="14" applyNumberFormat="1" applyFont="1" applyFill="1" applyBorder="1"/>
    <xf numFmtId="0" fontId="2" fillId="11" borderId="54" xfId="13" applyFont="1" applyFill="1" applyBorder="1"/>
    <xf numFmtId="0" fontId="1" fillId="11" borderId="54" xfId="13" applyFont="1" applyFill="1" applyBorder="1" applyAlignment="1">
      <alignment horizontal="left"/>
    </xf>
    <xf numFmtId="0" fontId="1" fillId="11" borderId="54" xfId="13" applyFont="1" applyFill="1" applyBorder="1"/>
    <xf numFmtId="3" fontId="1" fillId="11" borderId="54" xfId="14" applyNumberFormat="1" applyFont="1" applyFill="1" applyBorder="1"/>
    <xf numFmtId="174" fontId="1" fillId="11" borderId="0" xfId="14" applyNumberFormat="1" applyFont="1" applyFill="1"/>
    <xf numFmtId="3" fontId="1" fillId="11" borderId="54" xfId="13" applyNumberFormat="1" applyFont="1" applyFill="1" applyBorder="1"/>
    <xf numFmtId="0" fontId="2" fillId="11" borderId="54" xfId="13" applyFont="1" applyFill="1" applyBorder="1" applyAlignment="1">
      <alignment horizontal="left"/>
    </xf>
    <xf numFmtId="174" fontId="1" fillId="11" borderId="54" xfId="14" applyNumberFormat="1" applyFont="1" applyFill="1" applyBorder="1" applyAlignment="1">
      <alignment horizontal="right"/>
    </xf>
    <xf numFmtId="3" fontId="1" fillId="0" borderId="58" xfId="13" applyNumberFormat="1" applyFont="1" applyBorder="1"/>
    <xf numFmtId="3" fontId="1" fillId="0" borderId="59" xfId="13" applyNumberFormat="1" applyFont="1" applyBorder="1"/>
    <xf numFmtId="0" fontId="58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6" fillId="0" borderId="0" xfId="9" applyFont="1" applyAlignment="1">
      <alignment horizontal="center"/>
    </xf>
    <xf numFmtId="0" fontId="77" fillId="0" borderId="0" xfId="9" applyFont="1" applyAlignment="1">
      <alignment horizontal="center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5" fontId="15" fillId="0" borderId="0" xfId="12" applyNumberFormat="1" applyFont="1" applyAlignment="1">
      <alignment horizontal="center"/>
    </xf>
    <xf numFmtId="0" fontId="89" fillId="0" borderId="0" xfId="3" applyFont="1" applyAlignment="1">
      <alignment horizontal="center"/>
    </xf>
    <xf numFmtId="0" fontId="77" fillId="0" borderId="0" xfId="3" applyFont="1" applyAlignment="1">
      <alignment horizontal="center"/>
    </xf>
    <xf numFmtId="0" fontId="88" fillId="0" borderId="19" xfId="3" applyFont="1" applyBorder="1" applyAlignment="1">
      <alignment horizontal="center" vertical="center" wrapText="1"/>
    </xf>
    <xf numFmtId="0" fontId="88" fillId="0" borderId="20" xfId="3" applyFont="1" applyBorder="1" applyAlignment="1">
      <alignment horizontal="center" vertical="center" wrapText="1"/>
    </xf>
    <xf numFmtId="0" fontId="88" fillId="0" borderId="21" xfId="3" applyFont="1" applyBorder="1" applyAlignment="1">
      <alignment horizontal="center" vertical="center" wrapText="1"/>
    </xf>
    <xf numFmtId="0" fontId="88" fillId="0" borderId="24" xfId="3" applyFont="1" applyBorder="1" applyAlignment="1">
      <alignment horizontal="center" vertical="center" wrapText="1"/>
    </xf>
    <xf numFmtId="0" fontId="88" fillId="0" borderId="25" xfId="3" applyFont="1" applyBorder="1" applyAlignment="1">
      <alignment horizontal="center" vertical="center" wrapText="1"/>
    </xf>
    <xf numFmtId="0" fontId="88" fillId="0" borderId="26" xfId="3" applyFont="1" applyBorder="1" applyAlignment="1">
      <alignment horizontal="center" vertical="center" wrapText="1"/>
    </xf>
    <xf numFmtId="1" fontId="88" fillId="0" borderId="22" xfId="3" applyNumberFormat="1" applyFont="1" applyBorder="1" applyAlignment="1">
      <alignment horizontal="center" vertical="center"/>
    </xf>
    <xf numFmtId="1" fontId="88" fillId="0" borderId="23" xfId="3" applyNumberFormat="1" applyFont="1" applyBorder="1" applyAlignment="1">
      <alignment horizontal="center" vertical="center"/>
    </xf>
    <xf numFmtId="170" fontId="88" fillId="0" borderId="22" xfId="3" applyNumberFormat="1" applyFont="1" applyBorder="1" applyAlignment="1">
      <alignment horizontal="center" vertical="center"/>
    </xf>
    <xf numFmtId="170" fontId="88" fillId="0" borderId="23" xfId="3" applyNumberFormat="1" applyFont="1" applyBorder="1" applyAlignment="1">
      <alignment horizontal="center" vertical="center"/>
    </xf>
    <xf numFmtId="0" fontId="21" fillId="0" borderId="29" xfId="3" applyFont="1" applyBorder="1" applyAlignment="1">
      <alignment horizontal="left" vertical="center" wrapText="1"/>
    </xf>
    <xf numFmtId="0" fontId="21" fillId="0" borderId="30" xfId="3" applyFont="1" applyBorder="1" applyAlignment="1">
      <alignment horizontal="left" vertical="center" wrapText="1"/>
    </xf>
    <xf numFmtId="0" fontId="9" fillId="0" borderId="33" xfId="3" applyFont="1" applyBorder="1" applyAlignment="1">
      <alignment horizontal="left" vertical="center" wrapText="1"/>
    </xf>
    <xf numFmtId="0" fontId="9" fillId="0" borderId="34" xfId="3" applyFont="1" applyBorder="1" applyAlignment="1">
      <alignment horizontal="left" vertical="center" wrapText="1"/>
    </xf>
    <xf numFmtId="0" fontId="85" fillId="0" borderId="0" xfId="3" applyFont="1" applyAlignment="1">
      <alignment horizontal="right"/>
    </xf>
    <xf numFmtId="0" fontId="85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  <xf numFmtId="0" fontId="78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8" fillId="0" borderId="27" xfId="3" applyFont="1" applyBorder="1" applyAlignment="1">
      <alignment horizontal="center" vertical="center" wrapText="1"/>
    </xf>
    <xf numFmtId="0" fontId="88" fillId="0" borderId="36" xfId="3" applyFont="1" applyBorder="1" applyAlignment="1">
      <alignment horizontal="center" vertical="center" wrapText="1"/>
    </xf>
  </cellXfs>
  <cellStyles count="15">
    <cellStyle name="Comma 2" xfId="8" xr:uid="{AA299401-8648-43A2-9D27-1C8B30F22EF1}"/>
    <cellStyle name="Comma 3" xfId="6" xr:uid="{BCFB69AA-87CB-45A9-B383-2BB2F1EA0146}"/>
    <cellStyle name="Comma 3 2" xfId="14" xr:uid="{21BEB6C7-6282-4C39-841C-11E600339EEE}"/>
    <cellStyle name="Comma 4" xfId="12" xr:uid="{35DE702F-4FFA-49B2-A6DC-595A21191268}"/>
    <cellStyle name="Comma 5" xfId="5" xr:uid="{0F47A350-1944-4684-BD42-A3D77D4BB976}"/>
    <cellStyle name="Comma 5 2" xfId="4" xr:uid="{53F67D78-7ACD-42CC-8BD3-FCC8EE6C44BB}"/>
    <cellStyle name="Normal" xfId="0" builtinId="0"/>
    <cellStyle name="Normal 2" xfId="2" xr:uid="{B6AD2562-49D3-4324-AAFD-FA2803E7DC53}"/>
    <cellStyle name="Normal 3" xfId="3" xr:uid="{0DE0941C-A1E1-40D9-A860-B8753EFE6AA1}"/>
    <cellStyle name="Normal 4" xfId="13" xr:uid="{9BBA443F-F91A-424C-B8B4-8C13D7404EAD}"/>
    <cellStyle name="Normal_2010_09_BCTC_CTCP" xfId="9" xr:uid="{D65003D2-ECB7-4342-B107-6E0C283C6D56}"/>
    <cellStyle name="Normal_2010_09_BCTC_CTCP 2" xfId="10" xr:uid="{4F255C8E-99E0-4221-BDA6-94A9270E1DB8}"/>
    <cellStyle name="Percent" xfId="1" builtinId="5"/>
    <cellStyle name="Percent 2" xfId="11" xr:uid="{0D90C971-91C6-4FF8-B5D5-E3641A504262}"/>
    <cellStyle name="Percent 2 2" xfId="7" xr:uid="{EDF314E2-12F3-4A31-A633-647C2824D577}"/>
  </cellStyles>
  <dxfs count="3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protection hidden="0"/>
    </dxf>
    <dxf>
      <protection hidden="0"/>
    </dxf>
    <dxf>
      <numFmt numFmtId="178" formatCode="#.##0.."/>
      <protection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1BDAF34-69AC-4D99-B316-B19688E06124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479E113C-BBF4-47EE-B4FC-B80663F42EF9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BC730A9C-4599-4D7F-9CB5-2D8C897DB6C6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62D6789D-E09E-48FD-9CFB-212C3CF73CEE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AC19BE2-09FF-438E-97E5-BA959257267E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63322B8F-D167-419F-9CE2-9F8510EDC4EE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039CDA9-69D5-44EE-BC01-2E7445EBDEEF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2E7833A-E75E-46DD-BC0C-47C548476F51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TNHH THU MUA PHẾ LIỆU ĐẠI LỘC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2B3D2A-F413-4E26-847F-040D3CCF4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A4C674-7C7F-4683-A3A1-F57072C57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-my.sharepoint.com/personal/tranthihuong_dailoc-recycling_vn/Documents/Documents/HUONG%20TRAN/BAO%20CAO/BCKD%20-%205/2026/05.26/GUI%20BGD/6_FS_Dai%20Loc%20T5.xlsx" TargetMode="External"/><Relationship Id="rId1" Type="http://schemas.openxmlformats.org/officeDocument/2006/relationships/externalLinkPath" Target="https://dtg-my.sharepoint.com/personal/tranthihuong_dailoc-recycling_vn/Documents/Documents/HUONG%20TRAN/BAO%20CAO/BCKD%20-%205/2026/05.26/GUI%20BGD/6_FS_Dai%20Loc%20T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ong tin"/>
      <sheetName val="BIA"/>
      <sheetName val="Index"/>
      <sheetName val="THTC in"/>
      <sheetName val="KQKD in"/>
      <sheetName val="LCTT_GT in"/>
      <sheetName val="Tinh hinh tai chinh"/>
      <sheetName val="Ket qua kinh doanh"/>
      <sheetName val="Luu chuyen tien te"/>
      <sheetName val="KQKD theo yeu to"/>
      <sheetName val="No vay"/>
      <sheetName val="Giao dich voi BL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EFF223-FF8A-4D79-8361-377FF4CC3FBB}" name="Data_BS" displayName="Data_BS" ref="A3:BW129" totalsRowShown="0" headerRowDxfId="294" dataDxfId="293" headerRowCellStyle="Normal 2" dataCellStyle="Normal 2">
  <tableColumns count="75">
    <tableColumn id="1" xr3:uid="{00E4E22A-96CF-4826-BE7F-4D3FCD8D6A56}" name="Index BS" dataDxfId="292" dataCellStyle="Normal 2"/>
    <tableColumn id="2" xr3:uid="{D50E8B7C-D459-4E44-A5B8-8FB7BCC5E7C3}" name="PHẦN I-BÁO CÁO TÌNH HÌNH TÀI CHÍNH" dataDxfId="291" dataCellStyle="Normal 2"/>
    <tableColumn id="3" xr3:uid="{D3122D6E-7CCD-4D34-A1B8-94E9B66D7E32}" name="TenCongTyID" dataDxfId="290" dataCellStyle="Normal 2"/>
    <tableColumn id="4" xr3:uid="{57E644CF-1CE9-42CA-806E-D18AD6006191}" name="T1.2021" dataDxfId="289" dataCellStyle="Normal 2"/>
    <tableColumn id="5" xr3:uid="{222B9B42-98EF-4B38-A1CC-AD5552CB9028}" name="T02.2021" dataDxfId="288" dataCellStyle="Normal 2"/>
    <tableColumn id="6" xr3:uid="{FA2E6EA8-AF7B-4432-858F-B672F051F34F}" name="T03.2021" dataDxfId="287" dataCellStyle="Normal 2"/>
    <tableColumn id="7" xr3:uid="{58950A1E-5D22-4053-B697-020D15A39408}" name="T04.2021" dataDxfId="286" dataCellStyle="Normal 2"/>
    <tableColumn id="8" xr3:uid="{CC17E92F-0767-40D6-8C77-1865EFA793FE}" name="T05.2021" dataDxfId="285" dataCellStyle="Normal 2"/>
    <tableColumn id="9" xr3:uid="{76767990-EAC7-4B2A-9C39-39ED4FFF509E}" name="T06.2021" dataDxfId="284" dataCellStyle="Normal 2"/>
    <tableColumn id="10" xr3:uid="{4BFA44D0-1E40-4589-A8A5-A7D85E13B372}" name="T07.2021" dataDxfId="283" dataCellStyle="Normal 2"/>
    <tableColumn id="11" xr3:uid="{946F089F-8D54-44CB-9E81-D00139A693E2}" name="T08.2021" dataDxfId="282" dataCellStyle="Normal 2"/>
    <tableColumn id="12" xr3:uid="{7735330C-C4C4-4344-8019-81713B2421A4}" name="T09.2021" dataDxfId="281" dataCellStyle="Normal 2"/>
    <tableColumn id="13" xr3:uid="{C90D82DA-A293-45D9-8B96-4D13890905B7}" name="T10.2021" dataDxfId="280" dataCellStyle="Normal 2"/>
    <tableColumn id="14" xr3:uid="{0A6EC468-B87C-4ACF-B39B-2BAC88CD6382}" name="T11.2021" dataDxfId="279" dataCellStyle="Normal 2"/>
    <tableColumn id="15" xr3:uid="{073283CA-9F5F-4DC1-AAFD-4AD34C16F95A}" name="T12.2021" dataDxfId="278" dataCellStyle="Normal 2"/>
    <tableColumn id="16" xr3:uid="{46E37263-C237-47E1-82BF-AA3482C19A21}" name="T1.2022" dataDxfId="277" dataCellStyle="Normal 2"/>
    <tableColumn id="17" xr3:uid="{2BCE97CB-26C7-4957-832C-99D5ADFEBFE6}" name="T02.2022" dataDxfId="276" dataCellStyle="Normal 2"/>
    <tableColumn id="18" xr3:uid="{E8D85AF6-D3D2-40F6-A664-F6CFDD58D59F}" name="T03.2022" dataDxfId="275" dataCellStyle="Normal 2"/>
    <tableColumn id="19" xr3:uid="{D2AACB7F-0612-45DF-8D23-09A3801E3BA8}" name="T04.2022" dataDxfId="274" dataCellStyle="Normal 2"/>
    <tableColumn id="20" xr3:uid="{5BF5F98D-BAA2-4049-8927-509863172CF4}" name="T05.2022" dataDxfId="273" dataCellStyle="Normal 2"/>
    <tableColumn id="21" xr3:uid="{2A4393BB-0876-46B2-9468-0E4AADEB2D4E}" name="T06.2022" dataDxfId="272" dataCellStyle="Normal 2"/>
    <tableColumn id="22" xr3:uid="{C19FFE9D-FF12-4370-B94B-B567497CE150}" name="T07.2022" dataDxfId="271" dataCellStyle="Normal 2"/>
    <tableColumn id="23" xr3:uid="{134CA01D-7ED1-45E0-9F7F-3BAF0C2ED96C}" name="T08.2022" dataDxfId="270" dataCellStyle="Normal 2"/>
    <tableColumn id="24" xr3:uid="{3D14664A-C05E-471A-A4B9-0C9AC83E1985}" name="T09.2022" dataDxfId="269" dataCellStyle="Normal 2"/>
    <tableColumn id="25" xr3:uid="{3EB63648-1446-41EF-90C3-7AF8F42837A8}" name="T10.2022" dataDxfId="268" dataCellStyle="Normal 2"/>
    <tableColumn id="26" xr3:uid="{9B0C5473-DBA0-444C-AE5D-4FF1CCE62517}" name="T11.2022" dataDxfId="267" dataCellStyle="Normal 2"/>
    <tableColumn id="27" xr3:uid="{4EE2020F-30D2-4199-A34E-EBAE1C2E5A37}" name="T12.2022" dataDxfId="266" dataCellStyle="Normal 2"/>
    <tableColumn id="28" xr3:uid="{CCB80F2D-290F-43E3-9157-B47C60D95103}" name="T1.2023" dataDxfId="265" dataCellStyle="Normal 2"/>
    <tableColumn id="29" xr3:uid="{9B34C6CB-48D5-4C01-AA07-D6CED2019D88}" name="T02.2023" dataDxfId="264" dataCellStyle="Normal 2"/>
    <tableColumn id="30" xr3:uid="{63B2E977-686F-4995-ABE8-9AEA5572EB4D}" name="T03.2023" dataDxfId="263" dataCellStyle="Normal 2"/>
    <tableColumn id="31" xr3:uid="{B27ADED5-D7DC-4125-9C99-3EA0337B0B96}" name="T04.2023" dataDxfId="262" dataCellStyle="Normal 2"/>
    <tableColumn id="32" xr3:uid="{9CD183EF-14C8-49C9-847C-5664E955EFB4}" name="T05.2023" dataDxfId="261" dataCellStyle="Normal 2"/>
    <tableColumn id="33" xr3:uid="{31CA36D5-D9AB-433F-B4F3-817E12621385}" name="T06.2023" dataDxfId="260" dataCellStyle="Normal 2"/>
    <tableColumn id="34" xr3:uid="{D5AE34F9-4E01-4FF5-98D4-C051EB4E3639}" name="T07.2023" dataDxfId="259" dataCellStyle="Normal 2"/>
    <tableColumn id="35" xr3:uid="{61114547-4D2E-4104-86A6-1657375825F0}" name="T08.2023" dataDxfId="258" dataCellStyle="Normal 2"/>
    <tableColumn id="36" xr3:uid="{77331387-22CB-4546-ACDC-1A420F1EDBB6}" name="T09.2023" dataDxfId="257" dataCellStyle="Normal 2"/>
    <tableColumn id="37" xr3:uid="{043755AB-7B7A-4B04-9DBB-ADE7B3082AB7}" name="T10.2023" dataDxfId="256" dataCellStyle="Normal 2"/>
    <tableColumn id="38" xr3:uid="{C93E0764-86A6-4D03-8DEA-8F53620ACA4E}" name="T11.2023" dataDxfId="255" dataCellStyle="Normal 2"/>
    <tableColumn id="39" xr3:uid="{4C36384F-A08F-46D7-83DA-9250BC1D2838}" name="T12.2023" dataDxfId="254" dataCellStyle="Normal 2"/>
    <tableColumn id="40" xr3:uid="{F1F09A2E-096A-4010-8400-A08080A29545}" name="T01.2024" dataDxfId="253" dataCellStyle="Normal 2"/>
    <tableColumn id="41" xr3:uid="{CC7AF5A1-74CE-496E-A058-39045C5CBFA0}" name="T02.2024" dataDxfId="252" dataCellStyle="Normal 2"/>
    <tableColumn id="42" xr3:uid="{3B5F3CF9-CB22-489D-B50E-179329194B26}" name="T03.2024" dataDxfId="251" dataCellStyle="Normal 2"/>
    <tableColumn id="43" xr3:uid="{87F6605E-701C-4FE0-9874-C369662AB96C}" name="T04.2024" dataDxfId="250" dataCellStyle="Normal 2"/>
    <tableColumn id="44" xr3:uid="{7DF64420-0CCA-48F2-BA54-11594CAFE5E5}" name="T05.2024" dataDxfId="249" dataCellStyle="Normal 2"/>
    <tableColumn id="45" xr3:uid="{44C8539B-3807-4CE3-8FA6-3B6641B9D447}" name="T06.2024" dataDxfId="248" dataCellStyle="Normal 2"/>
    <tableColumn id="46" xr3:uid="{67653732-DF8D-4860-A7D6-6C83019F0A81}" name="T07.2024" dataDxfId="247" dataCellStyle="Normal 2"/>
    <tableColumn id="47" xr3:uid="{FDA0C70B-9782-48AE-A916-3F34D91003DE}" name="T08.2024" dataDxfId="246" dataCellStyle="Normal 2"/>
    <tableColumn id="48" xr3:uid="{8E679F86-2EED-4892-BE27-86BE15CFBCD9}" name="T09.2024" dataDxfId="245" dataCellStyle="Normal 2"/>
    <tableColumn id="49" xr3:uid="{78BF558C-BC09-4AA4-811D-20BD54BCEAE0}" name="T10.2024" dataDxfId="244" dataCellStyle="Normal 2"/>
    <tableColumn id="50" xr3:uid="{2E63217C-5394-4362-8D45-0B400CE209C1}" name="T11.2024" dataDxfId="243" dataCellStyle="Normal 2"/>
    <tableColumn id="51" xr3:uid="{C05BAF71-83A1-4E06-A988-2F4FF1535C65}" name="T12.2024" dataDxfId="242" dataCellStyle="Normal 2"/>
    <tableColumn id="52" xr3:uid="{C21F9876-9CA0-41B5-9020-67D6AB664BCB}" name="T01.2025"/>
    <tableColumn id="53" xr3:uid="{7C7DC28B-DEB2-40A3-B4BE-E17AF7CFF2E0}" name="T02.2025"/>
    <tableColumn id="54" xr3:uid="{054AB700-05E1-4FC1-993F-E3718C661FE2}" name="T03.2025"/>
    <tableColumn id="55" xr3:uid="{8D644B6B-1E06-42DD-BE4A-306ED24D9326}" name="T04.2025"/>
    <tableColumn id="56" xr3:uid="{AC343B04-3148-4C9A-9C87-8817B2D5E858}" name="T05.2025"/>
    <tableColumn id="57" xr3:uid="{FE24316C-E5B1-44E5-B30A-5BC48F88EB65}" name="T06.2025"/>
    <tableColumn id="58" xr3:uid="{0D8BFEA4-FAAA-452B-ABF4-2598F6583204}" name="T07.2025"/>
    <tableColumn id="59" xr3:uid="{AF6841F2-A7F6-4AB5-90AF-67E2302B1FC0}" name="T08.2025"/>
    <tableColumn id="60" xr3:uid="{64D4293D-7D3E-42F8-9431-D35455019851}" name="T09.2025"/>
    <tableColumn id="61" xr3:uid="{3DD15A1C-2344-47C2-BDA6-8D32BA4E1A66}" name="T10.2025"/>
    <tableColumn id="62" xr3:uid="{D4A32F11-5430-4B3D-9BB1-469A23C82FDE}" name="T11.2025"/>
    <tableColumn id="63" xr3:uid="{7AE3AB70-992D-4E2C-A982-367899FA0579}" name="T12.2025"/>
    <tableColumn id="64" xr3:uid="{8375F71C-9221-40BC-8253-72A00A3C829A}" name="T01.2026"/>
    <tableColumn id="65" xr3:uid="{0B3D7FA0-40B7-4114-8506-01F0855E87A9}" name="T02.2026" dataDxfId="241" dataCellStyle="Normal 2"/>
    <tableColumn id="66" xr3:uid="{7F9DAB85-70B8-4DCE-A36F-4A543A77C893}" name="T03.2026" dataDxfId="240" dataCellStyle="Normal 2"/>
    <tableColumn id="67" xr3:uid="{E880EAB4-65B9-4338-8CA0-DDCA4C47FCE8}" name="T04.2026" dataDxfId="239" dataCellStyle="Normal 2"/>
    <tableColumn id="68" xr3:uid="{490615BF-8AB4-4C3B-A757-DA220E9CE5CB}" name="T05.2026" dataDxfId="238" dataCellStyle="Normal 2"/>
    <tableColumn id="69" xr3:uid="{ED5F0427-8D16-43C9-B29F-8B1757E55586}" name="T06.2026" dataDxfId="237" dataCellStyle="Normal 2"/>
    <tableColumn id="70" xr3:uid="{2E6F763A-1A6E-405C-872B-2F8176FB7FA2}" name="T07.2026" dataDxfId="236" dataCellStyle="Normal 2"/>
    <tableColumn id="71" xr3:uid="{8C38ECEC-D99F-476C-8745-3EED40B646C8}" name="T08.2026" dataDxfId="235" dataCellStyle="Normal 2"/>
    <tableColumn id="72" xr3:uid="{3B228F44-3392-496E-AE5F-14AEBFB13CD7}" name="T09.2026" dataDxfId="234" dataCellStyle="Normal 2"/>
    <tableColumn id="73" xr3:uid="{12DE6018-C798-4392-AA6C-4C03CE5EAEA0}" name="T10.2026" dataDxfId="233" dataCellStyle="Normal 2"/>
    <tableColumn id="74" xr3:uid="{E6BEC9F4-8605-4100-AEFE-665DF717610D}" name="T11.2026" dataDxfId="232" dataCellStyle="Normal 2"/>
    <tableColumn id="75" xr3:uid="{F543D14B-A55D-43A1-88A3-53A69AA12D81}" name="T12.2026" dataDxfId="231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BD8881-0C01-4955-8F6A-E29C22F9647E}" name="Data_PL" displayName="Data_PL" ref="A3:BW23" totalsRowShown="0" headerRowDxfId="230" headerRowCellStyle="Comma 3">
  <tableColumns count="75">
    <tableColumn id="1" xr3:uid="{4523589F-011E-49E3-88C8-54E4180A19DB}" name="Index PL" dataDxfId="229" dataCellStyle="Normal 2"/>
    <tableColumn id="2" xr3:uid="{BA68DF1A-C53C-455A-BC7D-4EE1C7EAD505}" name="PHẦN II-KẾT QUẢ HOẠT ĐỘNG KINH DOANH" dataDxfId="228" dataCellStyle="Normal 2"/>
    <tableColumn id="3" xr3:uid="{FEF95399-A55F-48FB-9154-D66025A748B5}" name="TenCongTyID"/>
    <tableColumn id="4" xr3:uid="{F53CD9CA-27C0-4A56-8D44-C1156EC116AE}" name="T1.2021" dataDxfId="227"/>
    <tableColumn id="5" xr3:uid="{4A72FF55-F629-44E7-B6C2-9F99DEB4E98C}" name="T02.2021" dataDxfId="226"/>
    <tableColumn id="6" xr3:uid="{536022B1-4AB3-446C-8A63-6F44A0078D36}" name="T03.2021" dataDxfId="225"/>
    <tableColumn id="7" xr3:uid="{DD6C5D02-B229-41FF-B472-4F48D4F2C74F}" name="T04.2021" dataDxfId="224"/>
    <tableColumn id="8" xr3:uid="{C6360F1F-5270-451B-86A2-987CD4BA684F}" name="T05.2021" dataDxfId="223"/>
    <tableColumn id="9" xr3:uid="{C6B6A828-6F7B-4D2F-A9BC-C4A2EB0297CA}" name="T06.2021" dataDxfId="222"/>
    <tableColumn id="10" xr3:uid="{81D1497C-7816-4D32-AB4D-FBCF5CF66BDD}" name="T07.2021" dataDxfId="221"/>
    <tableColumn id="11" xr3:uid="{1650AC0B-AB24-4E0C-ADEF-05976078D8F3}" name="T08.2021" dataDxfId="220"/>
    <tableColumn id="12" xr3:uid="{FE8FE336-DDF5-48DD-ACCC-696366F0CEBB}" name="T09.2021" dataDxfId="219"/>
    <tableColumn id="13" xr3:uid="{9857639B-A017-434F-8AC3-D16C21A185A6}" name="T10.2021" dataDxfId="218"/>
    <tableColumn id="14" xr3:uid="{6D4AEA07-F391-481F-9131-F525C91E2E16}" name="T11.2021" dataDxfId="217"/>
    <tableColumn id="15" xr3:uid="{768BA007-84A3-4211-9695-2C05A189B79C}" name="T12.2021" dataDxfId="216"/>
    <tableColumn id="16" xr3:uid="{C9DE3FB1-11D7-499A-A07E-837FA76F3755}" name="T1.2022" dataDxfId="215"/>
    <tableColumn id="17" xr3:uid="{EA6B2321-C15C-48E0-AF2C-63958B15801B}" name="T02.2022" dataDxfId="214"/>
    <tableColumn id="18" xr3:uid="{5B23873A-A23B-444A-A208-E98B05417D9D}" name="T03.2022" dataDxfId="213"/>
    <tableColumn id="19" xr3:uid="{D0850810-562A-460E-9962-963EF6AC2CFC}" name="T04.2022" dataDxfId="212"/>
    <tableColumn id="20" xr3:uid="{FC56480E-2335-4E89-9008-5D1AE46272E9}" name="T05.2022" dataDxfId="211"/>
    <tableColumn id="21" xr3:uid="{0FE12296-70AB-4914-AE5E-952744DD9914}" name="T06.2022" dataDxfId="210"/>
    <tableColumn id="22" xr3:uid="{025B198B-616F-4A23-9B8F-ED6CC9E3D274}" name="T07.2022" dataDxfId="209"/>
    <tableColumn id="23" xr3:uid="{19FBC5AA-D313-4E51-ADE1-AB0BA6DDA0DF}" name="T08.2022" dataDxfId="208"/>
    <tableColumn id="24" xr3:uid="{549101EA-8F78-43BB-86EC-6E7BE42CE37D}" name="T09.2022" dataDxfId="207"/>
    <tableColumn id="25" xr3:uid="{7FD3E7FF-92CB-46BD-A4BB-87EB65F35E54}" name="T10.2022" dataDxfId="206"/>
    <tableColumn id="26" xr3:uid="{6E4A76AC-2CA3-4CC5-B8DF-AE55D7B4214F}" name="T11.2022" dataDxfId="205"/>
    <tableColumn id="27" xr3:uid="{67A9C962-8D3B-49E4-AC67-639237E33968}" name="T12.2022" dataDxfId="204"/>
    <tableColumn id="28" xr3:uid="{1CB2ABFA-9577-487E-A5A6-19333B67BDB8}" name="T1.2023" dataDxfId="203"/>
    <tableColumn id="29" xr3:uid="{CBA2E3A8-C66D-4F90-B167-AE3E622132A8}" name="T02.2023" dataDxfId="202"/>
    <tableColumn id="30" xr3:uid="{85788C1D-01EE-4429-8D46-5D48F6BB563C}" name="T03.2023" dataDxfId="201"/>
    <tableColumn id="31" xr3:uid="{568BBD88-5331-4CD3-B7C1-8EBC6BE14318}" name="T04.2023" dataDxfId="200"/>
    <tableColumn id="32" xr3:uid="{9CB4CEB9-2509-4A50-9610-6C8B8D7A5605}" name="T05.2023" dataDxfId="199"/>
    <tableColumn id="33" xr3:uid="{D082A90F-3F08-4E8D-8D14-E1726EDD8932}" name="T06.2023" dataDxfId="198"/>
    <tableColumn id="34" xr3:uid="{A1A4D85A-8BCF-431E-A376-868014D71B75}" name="T07.2023" dataDxfId="197"/>
    <tableColumn id="35" xr3:uid="{3D6FE43F-2426-4E2A-9426-72E6DB4BCEC5}" name="T08.2023" dataDxfId="196"/>
    <tableColumn id="36" xr3:uid="{3F7C6039-21A5-4496-BBDC-7ED50FB3F9DB}" name="T09.2023" dataDxfId="195"/>
    <tableColumn id="37" xr3:uid="{F1069BCA-B508-4DEF-BA1B-ADDC5EF50E1F}" name="T10.2023" dataDxfId="194"/>
    <tableColumn id="38" xr3:uid="{EF44C89A-9BDD-449D-86E0-B29F0481B549}" name="T11.2023" dataDxfId="193"/>
    <tableColumn id="39" xr3:uid="{E6C73561-DFAE-4174-A878-5B31F5C96A6B}" name="T12.2023" dataDxfId="192"/>
    <tableColumn id="40" xr3:uid="{3B907321-E6CB-4D4F-B2C0-81B636338526}" name="T01.2024" dataDxfId="191"/>
    <tableColumn id="41" xr3:uid="{5B4E5821-F11A-416A-B0B5-AF404E054987}" name="T02.2024" dataDxfId="190"/>
    <tableColumn id="42" xr3:uid="{1ED76D86-93E2-4E5E-B140-1400FFCF54C1}" name="T03.2024" dataDxfId="189"/>
    <tableColumn id="43" xr3:uid="{17B9ABDF-BD46-4095-A947-90C512B262C8}" name="T04.2024" dataDxfId="188"/>
    <tableColumn id="44" xr3:uid="{4A719DC5-99D6-4DD9-AE2D-DB155D1EF358}" name="T05.2024" dataDxfId="187"/>
    <tableColumn id="45" xr3:uid="{C491FA5C-9356-47B8-BB77-5A6ED476485E}" name="T06.2024" dataDxfId="186"/>
    <tableColumn id="46" xr3:uid="{EB9E2F19-7022-4BC7-A6A0-E5D85F791FA7}" name="T07.2024" dataDxfId="185"/>
    <tableColumn id="47" xr3:uid="{1AC092BB-74C8-4D33-AA4E-EECDBF90BF5C}" name="T08.2024" dataDxfId="184"/>
    <tableColumn id="48" xr3:uid="{F9AE2E05-8560-4E5F-8DBC-615D8A7A338A}" name="T09.2024" dataDxfId="183"/>
    <tableColumn id="49" xr3:uid="{D26D2534-13B5-4020-9754-12F77FDFAB50}" name="T10.2024" dataDxfId="182"/>
    <tableColumn id="50" xr3:uid="{9E488286-9F2A-4183-847A-D702DC78AA1D}" name="T11.2024" dataDxfId="181"/>
    <tableColumn id="51" xr3:uid="{7A96824B-75C8-49A8-A001-28BC1AE80FF6}" name="T12.2024" dataDxfId="180"/>
    <tableColumn id="52" xr3:uid="{59B94D0D-FFFA-4912-9115-E8EB93C094A2}" name="T01.2025" dataDxfId="179"/>
    <tableColumn id="53" xr3:uid="{610D8CB5-F9B1-4EF3-8224-161EF98C16CB}" name="T02.2025" dataDxfId="178"/>
    <tableColumn id="54" xr3:uid="{7CFC3AE7-FF03-42CE-BB83-DABB33A8F118}" name="T03.2025" dataDxfId="177"/>
    <tableColumn id="55" xr3:uid="{BB9133A7-B205-4E44-92DA-EFAA85F85CB7}" name="T04.2025" dataDxfId="176"/>
    <tableColumn id="56" xr3:uid="{FFE81EAC-121A-435A-A418-807A0FB6E7DF}" name="T05.2025" dataDxfId="175"/>
    <tableColumn id="57" xr3:uid="{C34FC5B6-AF68-4355-8170-E8C0B0D11EB3}" name="T06.2025" dataDxfId="174"/>
    <tableColumn id="58" xr3:uid="{BBBCB5A0-8A84-4A75-B278-DE52BD74C10F}" name="T07.2025" dataDxfId="173"/>
    <tableColumn id="59" xr3:uid="{CAD65542-CEF7-4CE7-AE41-BD40D46171B1}" name="T08.2025" dataDxfId="172"/>
    <tableColumn id="60" xr3:uid="{7909950A-F1E5-4B06-8C04-1B289C2EC8F9}" name="T09.2025" dataDxfId="171"/>
    <tableColumn id="61" xr3:uid="{ED80D18F-DD24-4558-B9A8-2945D3AC1A43}" name="T10.2025" dataDxfId="170"/>
    <tableColumn id="62" xr3:uid="{48875C10-A663-4783-8577-CC6461B2A835}" name="T11.2025" dataDxfId="169"/>
    <tableColumn id="63" xr3:uid="{63E7FB30-A6DA-4E74-9221-F992F12BC25C}" name="T12.2025" dataDxfId="168"/>
    <tableColumn id="64" xr3:uid="{62B5C047-25CF-4EAA-9505-568F4EEA8817}" name="T01.2026" dataDxfId="167"/>
    <tableColumn id="65" xr3:uid="{EFD90CB4-8A39-475F-B0FF-150BC0693887}" name="T02.2026" dataDxfId="166"/>
    <tableColumn id="66" xr3:uid="{6680A88C-AED8-439B-9AAC-EA65E6158886}" name="T03.2026" dataDxfId="165"/>
    <tableColumn id="67" xr3:uid="{AEC997C0-501F-4078-A945-2F112E5E225F}" name="T04.2026" dataDxfId="164"/>
    <tableColumn id="68" xr3:uid="{5B5190C5-0016-4C27-8A89-17EBCEB3B9EE}" name="T05.2026" dataDxfId="163"/>
    <tableColumn id="69" xr3:uid="{2E2B8C0E-B1D9-400A-B6C1-574AD14BFC7D}" name="T06.2026" dataDxfId="162"/>
    <tableColumn id="70" xr3:uid="{D6C4B27F-8B58-4C66-8BDA-308221418F50}" name="T07.2026" dataDxfId="161"/>
    <tableColumn id="71" xr3:uid="{4F89185E-6FE5-4531-A964-24E07A71DBEB}" name="T08.2026" dataDxfId="160"/>
    <tableColumn id="72" xr3:uid="{71B45099-D0AC-4E76-B35D-6C5A420ABAAB}" name="T09.2026" dataDxfId="159"/>
    <tableColumn id="73" xr3:uid="{8825E8B7-A8E1-46F9-8724-3951FD2D2EE0}" name="T10.2026" dataDxfId="158"/>
    <tableColumn id="74" xr3:uid="{EE08A53C-7773-437A-A5AE-C74287AA512A}" name="T11.2026" dataDxfId="157"/>
    <tableColumn id="75" xr3:uid="{31C7BA0F-59CB-437A-9B62-63EF957A06A0}" name="T12.2026" dataDxfId="15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95BCE3-49BB-4D6E-A88A-A1F0C173F0F6}" name="Data_CF" displayName="Data_CF" ref="A3:BW44" totalsRowShown="0" headerRowDxfId="155" dataDxfId="154" headerRowCellStyle="Normal 2" dataCellStyle="Comma 5 2">
  <tableColumns count="75">
    <tableColumn id="1" xr3:uid="{EEEA07A0-A033-4F33-82C0-1B232626D5B1}" name="Index CF" dataDxfId="153" dataCellStyle="Normal 2"/>
    <tableColumn id="2" xr3:uid="{AE8865EA-76A8-4B46-A627-3116B31E8CB6}" name="PHẦN III- LƯU CHUYỂN TIỀN TỆ" dataDxfId="152" dataCellStyle="Normal 2"/>
    <tableColumn id="3" xr3:uid="{D486B0C3-F80B-437E-9806-53D4F2BFEB67}" name="TenCongTyID" dataDxfId="151" dataCellStyle="Comma 5"/>
    <tableColumn id="4" xr3:uid="{8A0DBE8E-34F2-4CFE-B373-38CBE30BE623}" name="T1.2021" dataDxfId="150" dataCellStyle="Comma 5"/>
    <tableColumn id="5" xr3:uid="{BD6E7955-08DF-48E5-AB4A-89509BD2D27A}" name="T02.2021" dataDxfId="149" dataCellStyle="Comma 5"/>
    <tableColumn id="6" xr3:uid="{57EE496F-EB26-46B6-BD28-BF4F982E3F40}" name="T03.2021" dataDxfId="148" dataCellStyle="Comma 5"/>
    <tableColumn id="7" xr3:uid="{A5C67F48-575A-49B4-9824-0F4284F4D888}" name="T04.2021" dataDxfId="147" dataCellStyle="Comma 5"/>
    <tableColumn id="8" xr3:uid="{B4881738-8034-45E2-A16B-CDDE1023F8D9}" name="T05.2021" dataDxfId="146" dataCellStyle="Comma 5"/>
    <tableColumn id="9" xr3:uid="{7074025F-8661-4834-B2EF-39599B7F4EB3}" name="T06.2021" dataDxfId="145" dataCellStyle="Comma 5"/>
    <tableColumn id="10" xr3:uid="{F0428730-AA4A-40A9-BB67-4ADB1344C570}" name="T07.2021" dataDxfId="144" dataCellStyle="Comma 5"/>
    <tableColumn id="11" xr3:uid="{88223225-9EF6-4541-877D-C71BEC314FE7}" name="T08.2021" dataDxfId="143" dataCellStyle="Comma 5"/>
    <tableColumn id="12" xr3:uid="{DBD97264-71FE-486B-827C-8D81C1B9F47D}" name="T09.2021" dataDxfId="142" dataCellStyle="Comma 5"/>
    <tableColumn id="13" xr3:uid="{27A3002A-784E-480F-9810-86A776162576}" name="T10.2021" dataDxfId="141" dataCellStyle="Comma 5"/>
    <tableColumn id="14" xr3:uid="{17C8A936-8F0F-41D9-98C5-234C9896DB96}" name="T11.2021" dataDxfId="140" dataCellStyle="Comma 5"/>
    <tableColumn id="15" xr3:uid="{56AF0D1A-7547-4232-8D0B-2B797CCCBAC0}" name="T12.2021" dataDxfId="139" dataCellStyle="Comma 5"/>
    <tableColumn id="16" xr3:uid="{9474ECFC-EB97-4190-886B-B4F80A2F7FC1}" name="T1.2022" dataDxfId="138" dataCellStyle="Comma 5"/>
    <tableColumn id="17" xr3:uid="{077EC830-2943-4735-85A8-1C09072E112A}" name="T02.2022" dataDxfId="137" dataCellStyle="Comma 5"/>
    <tableColumn id="18" xr3:uid="{F1E6C143-233A-477A-9890-5979D7FE6773}" name="T03.2022" dataDxfId="136" dataCellStyle="Comma 5"/>
    <tableColumn id="19" xr3:uid="{F27ED57B-857D-48D2-A8E8-29E8DE8D8449}" name="T04.2022" dataDxfId="135" dataCellStyle="Comma 5"/>
    <tableColumn id="20" xr3:uid="{D559AC8A-A50A-480B-8148-22310DB183A3}" name="T05.2022" dataDxfId="134" dataCellStyle="Comma 5"/>
    <tableColumn id="21" xr3:uid="{AD32BD25-F94D-4CF9-9993-30D59E388D46}" name="T06.2022" dataDxfId="133" dataCellStyle="Comma 5"/>
    <tableColumn id="22" xr3:uid="{E8123278-0416-4B80-9454-0873880B8A8A}" name="T07.2022" dataDxfId="132" dataCellStyle="Comma 5"/>
    <tableColumn id="23" xr3:uid="{D035D6F6-A10A-454D-A2D2-E7B32D260346}" name="T08.2022" dataDxfId="131" dataCellStyle="Comma 5"/>
    <tableColumn id="24" xr3:uid="{AF6EBDE4-09EB-4EBE-B138-6216E77B06AF}" name="T09.2022" dataDxfId="130" dataCellStyle="Comma 5"/>
    <tableColumn id="25" xr3:uid="{FCB0C161-2E57-4AAE-BA67-8854AD09C6EF}" name="T10.2022" dataDxfId="129" dataCellStyle="Comma 5"/>
    <tableColumn id="26" xr3:uid="{BFC40FB5-7932-4A18-A2D9-941AF92826E0}" name="T11.2022" dataDxfId="128" dataCellStyle="Comma 5"/>
    <tableColumn id="27" xr3:uid="{69218A36-7CDB-41BB-BC8C-9E2E8DD2F0DE}" name="T12.2022" dataDxfId="127" dataCellStyle="Comma 5"/>
    <tableColumn id="28" xr3:uid="{06D32B89-3B18-43E4-A7FA-32862592B76D}" name="T1.2023" dataDxfId="126" dataCellStyle="Comma 5"/>
    <tableColumn id="29" xr3:uid="{E67DE53F-57B8-4D27-9AE7-8BE55667A910}" name="T02.2023" dataDxfId="125" dataCellStyle="Comma 5"/>
    <tableColumn id="30" xr3:uid="{18E830A9-E324-4393-AD96-0CBDC44011F5}" name="T03.2023" dataDxfId="124" dataCellStyle="Comma 5"/>
    <tableColumn id="31" xr3:uid="{817A6F6E-886B-445A-9F31-6DF4DA2F1535}" name="T04.2023" dataDxfId="123" dataCellStyle="Comma 5"/>
    <tableColumn id="32" xr3:uid="{7F8DB099-22F4-4B91-9874-F6F225B9BB93}" name="T05.2023" dataDxfId="122" dataCellStyle="Comma 5"/>
    <tableColumn id="33" xr3:uid="{E35161A4-E17B-4AE9-A33F-4D6D82137057}" name="T06.2023" dataDxfId="121" dataCellStyle="Comma 5"/>
    <tableColumn id="34" xr3:uid="{999E71F2-235F-4AAC-ADD6-DD6D40D0052B}" name="T07.2023" dataDxfId="120" dataCellStyle="Comma 5"/>
    <tableColumn id="35" xr3:uid="{ECD7152E-9B5B-43F0-9E20-065DE6444459}" name="T08.2023" dataDxfId="119" dataCellStyle="Comma 5"/>
    <tableColumn id="36" xr3:uid="{D4A05B73-92F4-4606-8D40-0EF9BE71F079}" name="T09.2023" dataDxfId="118" dataCellStyle="Comma 5"/>
    <tableColumn id="37" xr3:uid="{4282954E-275A-408A-BED4-5A8DEACBE029}" name="T10.2023" dataDxfId="117" dataCellStyle="Comma 5"/>
    <tableColumn id="38" xr3:uid="{1C42D254-7A19-4517-A8AA-37F322F3BC42}" name="T11.2023" dataDxfId="116" dataCellStyle="Comma 5"/>
    <tableColumn id="39" xr3:uid="{0FD8AE1D-A205-484C-9681-D28D3EDBBE29}" name="T12.2023" dataDxfId="115" dataCellStyle="Comma 5"/>
    <tableColumn id="40" xr3:uid="{866CD385-286A-4DE5-90C1-76530D067F0A}" name="T01.2024" dataDxfId="114" dataCellStyle="Comma 5"/>
    <tableColumn id="41" xr3:uid="{26BE2872-732A-470F-A9BD-4DA66604C511}" name="T02.2024" dataDxfId="113" dataCellStyle="Comma 5"/>
    <tableColumn id="42" xr3:uid="{2979D058-5A6D-4238-A9B2-0C2D2E3A9C81}" name="T03.2024" dataDxfId="112" dataCellStyle="Comma 5"/>
    <tableColumn id="43" xr3:uid="{4EE4B1BB-482E-429C-8FE1-1F9DC97D7433}" name="T04.2024" dataDxfId="111" dataCellStyle="Comma 5"/>
    <tableColumn id="44" xr3:uid="{CE098DCB-6C71-4D33-AAC4-6C070B6301B6}" name="T05.2024" dataDxfId="110" dataCellStyle="Comma 5"/>
    <tableColumn id="45" xr3:uid="{DB311FD4-EF85-47C9-9861-B0CAA35B92C1}" name="T06.2024" dataDxfId="109" dataCellStyle="Comma 5"/>
    <tableColumn id="46" xr3:uid="{2FC8D95F-F98F-47CD-898D-91FDCDEF8AC9}" name="T07.2024" dataDxfId="108" dataCellStyle="Comma 5"/>
    <tableColumn id="47" xr3:uid="{32DA327C-A0F5-4406-B8BB-A7CFB51A47DF}" name="T08.2024" dataDxfId="107" dataCellStyle="Comma 5"/>
    <tableColumn id="48" xr3:uid="{5C3F608A-0CCE-4F0B-B9FF-C16E7E85AE38}" name="T09.2024" dataDxfId="106" dataCellStyle="Comma 5"/>
    <tableColumn id="49" xr3:uid="{4B37C5B7-F256-4A19-B04F-102EEE573EF1}" name="T10.2024" dataDxfId="105" dataCellStyle="Comma 5"/>
    <tableColumn id="50" xr3:uid="{AFDA9D06-59C8-41D5-8E8E-A07610E93BEB}" name="T11.2024" dataDxfId="104" dataCellStyle="Comma 5"/>
    <tableColumn id="51" xr3:uid="{B6C56175-60FF-44E8-8003-05ABC8F448D3}" name="T12.2024" dataDxfId="103" dataCellStyle="Comma 5 2"/>
    <tableColumn id="52" xr3:uid="{31756C44-FBE5-43EE-9234-563D95DCF12C}" name="T01.2025" dataDxfId="102" dataCellStyle="Comma 5 2"/>
    <tableColumn id="53" xr3:uid="{84710F3D-8E3D-49FC-8AB7-A42209EABA53}" name="T02.2025" dataDxfId="101" dataCellStyle="Comma 5 2"/>
    <tableColumn id="54" xr3:uid="{447DC279-ECB3-4DD4-B1F3-7F226FB2741C}" name="T03.2025" dataDxfId="100" dataCellStyle="Comma 5 2"/>
    <tableColumn id="55" xr3:uid="{D6CA8748-C26F-43F6-A097-689A707C7BE1}" name="T04.2025" dataDxfId="99" dataCellStyle="Comma 5 2"/>
    <tableColumn id="56" xr3:uid="{6058223D-A9C2-4A89-A119-E0F850D0B4B1}" name="T05.2025" dataDxfId="98" dataCellStyle="Comma 5 2"/>
    <tableColumn id="57" xr3:uid="{2A0E2739-AF75-42F8-AC03-1FFE82D44C6F}" name="T06.2025" dataDxfId="97" dataCellStyle="Comma 5 2"/>
    <tableColumn id="58" xr3:uid="{09C26F10-D927-49AB-8C69-0BFB24B8C94D}" name="T07.2025" dataDxfId="96" dataCellStyle="Comma 5 2"/>
    <tableColumn id="59" xr3:uid="{90501BD1-0C47-48C7-B5DB-68709ADA89DE}" name="T08.2025" dataDxfId="95" dataCellStyle="Comma 5 2"/>
    <tableColumn id="60" xr3:uid="{4A069D76-802F-40AA-850D-49EECD3BF59F}" name="T09.2025" dataDxfId="94" dataCellStyle="Comma 5 2"/>
    <tableColumn id="61" xr3:uid="{F06D8A3F-0097-4B25-89F6-63D07BF8C331}" name="T10.2025" dataDxfId="93" dataCellStyle="Comma 5 2"/>
    <tableColumn id="62" xr3:uid="{F32DB289-B542-4399-8E20-1F2C4DCC9DBE}" name="T11.2025" dataDxfId="92" dataCellStyle="Comma 5 2"/>
    <tableColumn id="63" xr3:uid="{D126F954-D34D-4A11-A369-D0DB2988D09A}" name="T12.2025" dataDxfId="91" dataCellStyle="Comma 5 2"/>
    <tableColumn id="64" xr3:uid="{180F64B7-C2A0-47C5-B849-B704F8C38023}" name="T01.2026" dataDxfId="90" dataCellStyle="Comma 5 2"/>
    <tableColumn id="65" xr3:uid="{E9A94088-554E-4A7D-BB99-3C029C5E6FCA}" name="T02.2026" dataDxfId="89" dataCellStyle="Comma 5 2"/>
    <tableColumn id="66" xr3:uid="{15ACA5A2-AF42-4234-9062-33C4482CAB69}" name="T03.2026" dataDxfId="88" dataCellStyle="Comma 5 2"/>
    <tableColumn id="67" xr3:uid="{DFABEBAB-B3A2-4E13-9586-3054C90DAEB9}" name="T04.2026" dataDxfId="87" dataCellStyle="Comma 5 2"/>
    <tableColumn id="68" xr3:uid="{1CF372B4-BFF9-45FC-9812-85E4AEFDB1F9}" name="T05.2026" dataDxfId="86" dataCellStyle="Comma 5 2"/>
    <tableColumn id="69" xr3:uid="{5A6EE4DD-5C5B-4FC1-8098-AF9E47C4967F}" name="T06.2026" dataDxfId="85" dataCellStyle="Comma 5 2"/>
    <tableColumn id="70" xr3:uid="{4A8AA837-695F-4C91-8EE9-3AF2A2251739}" name="T07.2026" dataDxfId="84" dataCellStyle="Comma 5 2"/>
    <tableColumn id="71" xr3:uid="{7EFD7EDE-332B-4E0A-A7BC-5EA15443D96B}" name="T08.2026" dataDxfId="83" dataCellStyle="Comma 5 2"/>
    <tableColumn id="72" xr3:uid="{DE0D6AE2-F6D3-4359-A660-1C95998BD6C3}" name="T09.2026" dataDxfId="82" dataCellStyle="Comma 5 2"/>
    <tableColumn id="73" xr3:uid="{15E06B95-F9B6-4BE7-B1D0-24A8D11AAD16}" name="T10.2026" dataDxfId="81" dataCellStyle="Comma 5 2"/>
    <tableColumn id="74" xr3:uid="{CFEA2FD2-E3CA-4613-9027-B59C1528E6C8}" name="T11.2026" dataDxfId="80" dataCellStyle="Comma 5 2"/>
    <tableColumn id="75" xr3:uid="{DA0CD324-6764-4D4F-B9EB-F565EFD800E1}" name="T12.2026" dataDxfId="79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466EC7-25E0-4B2E-9273-E7B22664A81C}" name="Data_PL_Element" displayName="Data_PL_Element" ref="A3:BW57" totalsRowShown="0" headerRowDxfId="372" dataDxfId="370" headerRowBorderDxfId="371" headerRowCellStyle="Normal 3">
  <tableColumns count="75">
    <tableColumn id="1" xr3:uid="{95CEE231-CE6F-43AB-885E-A981036B9261}" name="Index PL Element" dataDxfId="369"/>
    <tableColumn id="2" xr3:uid="{05922F47-6F2C-4290-ABD4-5CF02E59D34F}" name="PHẦN IV: CHI PHÍ THEO YẾU TỐ" dataDxfId="368"/>
    <tableColumn id="3" xr3:uid="{5F24A814-62C1-4D42-A913-AC3BE0AD42C8}" name="TenCongTyID" dataDxfId="367" dataCellStyle="Normal 2"/>
    <tableColumn id="4" xr3:uid="{6EEA1F89-1CCB-477E-A906-BE446177A28C}" name="T1.2021" dataDxfId="366"/>
    <tableColumn id="5" xr3:uid="{30C5059F-BFB8-420B-B4B1-547F100AEC1C}" name="T02.2021" dataDxfId="365"/>
    <tableColumn id="6" xr3:uid="{3526A037-F477-4DFE-A1B6-4BE478AC5EA2}" name="T03.2021" dataDxfId="364"/>
    <tableColumn id="7" xr3:uid="{DF294E8F-1DF9-4520-8D75-245024472D46}" name="T04.2021" dataDxfId="363"/>
    <tableColumn id="8" xr3:uid="{8074BBB7-CD7F-43C8-BA5E-0C0005F08B59}" name="T05.2021" dataDxfId="362"/>
    <tableColumn id="9" xr3:uid="{95D5B7B0-EA99-43E8-936B-C7101DD86A82}" name="T06.2021" dataDxfId="361"/>
    <tableColumn id="10" xr3:uid="{A9138648-868E-4E70-B89A-81513F9B146B}" name="T07.2021" dataDxfId="360"/>
    <tableColumn id="11" xr3:uid="{866956EB-CB8C-460B-8662-EF16A6D2E459}" name="T08.2021" dataDxfId="359"/>
    <tableColumn id="12" xr3:uid="{E9FD9088-01D4-41FA-A377-627EA078558D}" name="T09.2021" dataDxfId="358"/>
    <tableColumn id="13" xr3:uid="{83762E70-04C1-4B3E-84E2-D6C08DE0E232}" name="T10.2021" dataDxfId="357"/>
    <tableColumn id="14" xr3:uid="{92171101-05EF-46F8-A1A6-12FAAE6B1E1B}" name="T11.2021" dataDxfId="356"/>
    <tableColumn id="15" xr3:uid="{E4205C8C-CE94-469B-A28E-DF0AFEC11F2B}" name="T12.2021" dataDxfId="355"/>
    <tableColumn id="16" xr3:uid="{EC7CF9D4-A2FB-4AE6-982E-3DD585EB937E}" name="T1.2022" dataDxfId="354"/>
    <tableColumn id="17" xr3:uid="{21E4912F-9614-43A8-9FF1-06A5CB2D861E}" name="T02.2022" dataDxfId="353"/>
    <tableColumn id="18" xr3:uid="{D60890A7-A731-43F4-89C1-626632C1755A}" name="T03.2022" dataDxfId="352"/>
    <tableColumn id="19" xr3:uid="{4EB66450-EE47-4DB7-8F7F-86A9CDA48BAA}" name="T04.2022" dataDxfId="351"/>
    <tableColumn id="20" xr3:uid="{D9C53F65-B9CB-4DE1-B300-8E2164596B73}" name="T05.2022" dataDxfId="350"/>
    <tableColumn id="21" xr3:uid="{836FC64B-855D-4683-B819-5E725CF6E7C9}" name="T06.2022" dataDxfId="349"/>
    <tableColumn id="22" xr3:uid="{C24427A9-D7CC-4223-9CFD-9D0CDA391A11}" name="T07.2022" dataDxfId="348"/>
    <tableColumn id="23" xr3:uid="{B4AF70BF-FE49-48DF-91C4-9927ACFCC824}" name="T08.2022" dataDxfId="347"/>
    <tableColumn id="24" xr3:uid="{D2CFA44D-E402-46EC-B0D1-6F1202BE31A0}" name="T09.2022" dataDxfId="346"/>
    <tableColumn id="25" xr3:uid="{6095AD28-713C-4959-9CD7-C244DC29A59D}" name="T10.2022" dataDxfId="345"/>
    <tableColumn id="26" xr3:uid="{E27C75EE-A39C-426D-BE05-9FEE8AE28087}" name="T11.2022" dataDxfId="344"/>
    <tableColumn id="27" xr3:uid="{DCD4B580-6EF3-4780-8467-807C7B7DF913}" name="T12.2022" dataDxfId="343"/>
    <tableColumn id="28" xr3:uid="{F73A4FE8-2E94-4087-8358-F7AE9A21EE27}" name="T1.2023" dataDxfId="342"/>
    <tableColumn id="29" xr3:uid="{DD86072A-F731-4803-8026-0AAD3E564F0A}" name="T02.2023" dataDxfId="341"/>
    <tableColumn id="30" xr3:uid="{896FE432-08EA-4D2F-B83F-106E1E675731}" name="T03.2023" dataDxfId="340"/>
    <tableColumn id="31" xr3:uid="{3FCD278C-7951-465A-BBBD-B0380710768D}" name="T04.2023" dataDxfId="339"/>
    <tableColumn id="32" xr3:uid="{B12E79CF-77DC-4DA4-BD13-DB718C8955A6}" name="T05.2023" dataDxfId="338"/>
    <tableColumn id="33" xr3:uid="{F128E4D6-28A0-4FA8-9436-F0645C89E6DD}" name="T06.2023" dataDxfId="337"/>
    <tableColumn id="34" xr3:uid="{A61B8478-17B3-49CA-91BF-962CBFBB5104}" name="T07.2023" dataDxfId="336"/>
    <tableColumn id="35" xr3:uid="{E37CFA19-2CBF-4B25-8877-518E97F976A0}" name="T08.2023" dataDxfId="335"/>
    <tableColumn id="36" xr3:uid="{5BF10D1F-B681-48A6-A192-B3107602B52E}" name="T09.2023" dataDxfId="334"/>
    <tableColumn id="37" xr3:uid="{2CF4D6F1-9E60-4A59-8A7C-F93838310501}" name="T10.2023" dataDxfId="333"/>
    <tableColumn id="38" xr3:uid="{995E5CEE-9D46-4569-ADE7-BF8CEFDC24B6}" name="T11.2023" dataDxfId="332"/>
    <tableColumn id="39" xr3:uid="{289C89A7-104F-4876-BE66-BAFC8EBA862B}" name="T12.2023" dataDxfId="331"/>
    <tableColumn id="40" xr3:uid="{929C6C42-4497-456F-81F7-906264752730}" name="T01.2024" dataDxfId="330"/>
    <tableColumn id="41" xr3:uid="{6EB89366-4764-4833-A781-C60B3F9A3F74}" name="T02.2024" dataDxfId="329"/>
    <tableColumn id="42" xr3:uid="{AD5813C1-B2D3-4F16-947A-CB8252C4CC54}" name="T03.2024" dataDxfId="328"/>
    <tableColumn id="43" xr3:uid="{A453D849-26FA-4742-818F-361889A583B5}" name="T04.2024" dataDxfId="327"/>
    <tableColumn id="44" xr3:uid="{46511478-FA71-4214-9E2D-DCAFCBE88140}" name="T05.2024" dataDxfId="326"/>
    <tableColumn id="45" xr3:uid="{F41CDFBE-4477-4162-89A9-A8F902866FF8}" name="T06.2024" dataDxfId="325"/>
    <tableColumn id="46" xr3:uid="{EB910207-2476-4F03-8A92-DD4AB872A591}" name="T07.2024" dataDxfId="324"/>
    <tableColumn id="47" xr3:uid="{693D101F-5E35-45CA-8027-69BF79E5E474}" name="T08.2024" dataDxfId="323"/>
    <tableColumn id="48" xr3:uid="{56B0FAFB-4F33-4ED4-AA96-38DB55788DE0}" name="T09.2024" dataDxfId="322"/>
    <tableColumn id="49" xr3:uid="{A2B6F90C-EBD7-4121-9FC8-602E0B06B7CB}" name="T10.2024" dataDxfId="321"/>
    <tableColumn id="50" xr3:uid="{E0C925D2-B673-437A-A13C-BFDBD2901E01}" name="T11.2024" dataDxfId="320"/>
    <tableColumn id="51" xr3:uid="{96E98C62-C7FD-4494-BF4B-4BEBB6A4B78B}" name="T12.2024" dataDxfId="319"/>
    <tableColumn id="52" xr3:uid="{9AC18D38-4523-46E9-98BC-CE30641F48D0}" name="T01.2025" dataDxfId="318"/>
    <tableColumn id="53" xr3:uid="{7FBA456A-D56A-45F0-89F8-59A938DCBCD8}" name="T02.2025" dataDxfId="317"/>
    <tableColumn id="54" xr3:uid="{E51D6BEB-22B6-486A-8C5F-1588F83D3BA6}" name="T03.2025" dataDxfId="316"/>
    <tableColumn id="55" xr3:uid="{66022069-40AE-4DE6-B274-296F9E64367F}" name="T04.2025" dataDxfId="315"/>
    <tableColumn id="56" xr3:uid="{98CB5F62-C256-462F-B359-8121D671808E}" name="T05.2025" dataDxfId="314"/>
    <tableColumn id="57" xr3:uid="{F8140F8E-4F1E-49DA-B68B-422E59B42636}" name="T06.2025" dataDxfId="313"/>
    <tableColumn id="58" xr3:uid="{E0B4855B-9FC6-4066-81E8-1B22290265AC}" name="T07.2025" dataDxfId="312"/>
    <tableColumn id="59" xr3:uid="{3FE6A563-E128-4317-A305-75EB6468CF80}" name="T08.2025" dataDxfId="311"/>
    <tableColumn id="60" xr3:uid="{17EA5823-BC30-4090-8FA3-902E63DFBCFA}" name="T09.2025" dataDxfId="310"/>
    <tableColumn id="61" xr3:uid="{1C3C1D33-62F4-43F4-A8A3-872FD9B13807}" name="T10.2025" dataDxfId="309"/>
    <tableColumn id="62" xr3:uid="{8C6FF25C-7E85-4034-9F53-37856A0FA065}" name="T11.2025" dataDxfId="308"/>
    <tableColumn id="63" xr3:uid="{2CD8FDC2-54A8-41D2-A676-C9EBDF381DB9}" name="T12.2025" dataDxfId="307"/>
    <tableColumn id="64" xr3:uid="{AB5E3C47-62FB-4ED7-B333-FE43031DF4F3}" name="T01.2026" dataDxfId="306"/>
    <tableColumn id="65" xr3:uid="{C89585B4-38AF-4C02-B13C-0233BE88A310}" name="T02.2026" dataDxfId="305"/>
    <tableColumn id="66" xr3:uid="{8FC69402-A791-4E9B-921E-3D48EF60F680}" name="T03.2026" dataDxfId="304"/>
    <tableColumn id="67" xr3:uid="{79E7FC39-F80C-417B-B29B-A2F0A6ED75ED}" name="T04.2026" dataDxfId="303"/>
    <tableColumn id="68" xr3:uid="{87D5451F-D238-4A5C-ACBB-FD43A4863EA3}" name="T05.2026" dataDxfId="302"/>
    <tableColumn id="69" xr3:uid="{972FCC7F-FB43-485A-94BF-584EADBF4FDF}" name="T06.2026" dataDxfId="301"/>
    <tableColumn id="70" xr3:uid="{01FCFDE9-8C06-4E55-A749-10BEB18EBF2B}" name="T07.2026" dataDxfId="300"/>
    <tableColumn id="71" xr3:uid="{C31FFB48-7E93-4E3D-B100-4BFE681C12C1}" name="T08.2026" dataDxfId="299"/>
    <tableColumn id="72" xr3:uid="{8776721E-7F18-4EC0-B5E9-1EBE108FBF43}" name="T09.2026" dataDxfId="298"/>
    <tableColumn id="73" xr3:uid="{B5206FA5-C71F-45F7-B599-EFCF7E354DF7}" name="T10.2026" dataDxfId="297"/>
    <tableColumn id="74" xr3:uid="{F1084E99-4A58-49A1-91E4-7A268931B7F0}" name="T11.2026" dataDxfId="296"/>
    <tableColumn id="75" xr3:uid="{0B7D8CB8-A2A1-4805-9BFD-DA824D69A9E1}" name="T12.2026" dataDxfId="29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DCAA7C-5039-40F1-89A6-42D65C7C6854}" name="Data_Loan" displayName="Data_Loan" ref="A3:BW74" totalsRowShown="0" headerRowDxfId="78" dataDxfId="76" headerRowBorderDxfId="77" tableBorderDxfId="75" headerRowCellStyle="Normal 2" dataCellStyle="Normal 2">
  <tableColumns count="75">
    <tableColumn id="1" xr3:uid="{6F55A10D-39EA-4751-B15C-6194218B7998}" name="Index Loan" dataDxfId="74" dataCellStyle="Normal 2"/>
    <tableColumn id="2" xr3:uid="{9DE2D445-5FCD-4280-9941-47D86CBDC897}" name="PHẦN V: CHI TIẾT NỢ VAY NGÂN HÀNG" dataDxfId="73" dataCellStyle="Normal 2"/>
    <tableColumn id="3" xr3:uid="{C308C32B-F927-4E5E-90BD-B0514F74383F}" name="TenCongTyID" dataDxfId="72" dataCellStyle="Normal 2"/>
    <tableColumn id="4" xr3:uid="{054FC4D0-EE83-4768-A294-9DD19EB3B27E}" name="T1.2021" dataDxfId="71" dataCellStyle="Normal 2"/>
    <tableColumn id="5" xr3:uid="{BB966075-2082-4AB6-9F17-C6C9DB80B78B}" name="T02.2021" dataDxfId="70" dataCellStyle="Normal 2"/>
    <tableColumn id="6" xr3:uid="{55D1DBA5-1791-4660-A4A6-29F55AACF996}" name="T03.2021" dataDxfId="69" dataCellStyle="Normal 2"/>
    <tableColumn id="7" xr3:uid="{95BA0DE5-9098-409A-A4B7-76915358DC39}" name="T04.2021" dataDxfId="68" dataCellStyle="Normal 2"/>
    <tableColumn id="8" xr3:uid="{568FF8BA-F1C8-4061-984D-FDCB20DD1E33}" name="T05.2021" dataDxfId="67" dataCellStyle="Normal 2"/>
    <tableColumn id="9" xr3:uid="{6D92A89A-3084-4120-8C41-C46D8DEDB6F4}" name="T06.2021" dataDxfId="66" dataCellStyle="Normal 2"/>
    <tableColumn id="10" xr3:uid="{25E84D7E-96D7-41FF-8761-74C6DE7365D7}" name="T07.2021" dataDxfId="65" dataCellStyle="Normal 2"/>
    <tableColumn id="11" xr3:uid="{C711224A-33C9-4A61-859E-90347934E087}" name="T08.2021" dataDxfId="64" dataCellStyle="Normal 2"/>
    <tableColumn id="12" xr3:uid="{1F681919-4EEB-404A-A3B2-7AAF1916B192}" name="T09.2021" dataDxfId="63" dataCellStyle="Normal 2"/>
    <tableColumn id="13" xr3:uid="{B45EC502-31F4-4C24-8569-BA013D060CFF}" name="T10.2021" dataDxfId="62" dataCellStyle="Normal 2"/>
    <tableColumn id="14" xr3:uid="{B6E8C1C8-3109-4003-8F47-E1D423D303A0}" name="T11.2021" dataDxfId="61" dataCellStyle="Normal 2"/>
    <tableColumn id="15" xr3:uid="{FBAAD329-FECD-4A14-87A2-1CBA94DC155F}" name="T12.2021" dataDxfId="60" dataCellStyle="Normal 2"/>
    <tableColumn id="16" xr3:uid="{EE61342B-DFD9-48C2-A791-1E253BCF9F0E}" name="T1.2022" dataDxfId="59" dataCellStyle="Normal 2"/>
    <tableColumn id="17" xr3:uid="{A2BD8E68-6EE4-4E55-9FFC-16EADACA7824}" name="T02.2022" dataDxfId="58" dataCellStyle="Normal 2"/>
    <tableColumn id="18" xr3:uid="{7BD340F8-99AC-4D8E-B0E7-C0B05884FE12}" name="T03.2022" dataDxfId="57" dataCellStyle="Normal 2"/>
    <tableColumn id="19" xr3:uid="{686DFB40-80D3-4712-86EB-95586D6F5A5F}" name="T04.2022" dataDxfId="56" dataCellStyle="Normal 2"/>
    <tableColumn id="20" xr3:uid="{F786F363-E2CE-498E-9D13-4AA1E63476D0}" name="T05.2022" dataDxfId="55" dataCellStyle="Normal 2"/>
    <tableColumn id="21" xr3:uid="{4D82BB7E-BE78-45CC-8CC8-FB7FA1845316}" name="T06.2022" dataDxfId="54" dataCellStyle="Normal 2"/>
    <tableColumn id="22" xr3:uid="{47871EF0-2BAA-456B-B9E4-BDDC02810D8A}" name="T07.2022" dataDxfId="53" dataCellStyle="Normal 2"/>
    <tableColumn id="23" xr3:uid="{05C41FEF-54F7-4D3B-A32D-C9A6973E44B0}" name="T08.2022" dataDxfId="52" dataCellStyle="Normal 2"/>
    <tableColumn id="24" xr3:uid="{4597CB41-F464-44B1-9F9C-7D0506DDE710}" name="T09.2022" dataDxfId="51" dataCellStyle="Normal 2"/>
    <tableColumn id="25" xr3:uid="{21EFE414-B092-4A51-A648-81427D3118F1}" name="T10.2022" dataDxfId="50" dataCellStyle="Normal 2"/>
    <tableColumn id="26" xr3:uid="{2DFC7962-0127-40A7-84D8-1AE9EC8F5CDB}" name="T11.2022" dataDxfId="49" dataCellStyle="Normal 2"/>
    <tableColumn id="27" xr3:uid="{3CB10CFE-ACC3-4550-83EE-009C4DBDEA0D}" name="T12.2022" dataDxfId="48" dataCellStyle="Normal 2"/>
    <tableColumn id="28" xr3:uid="{02AC6900-925C-4A72-9492-96C5CCCBF5C0}" name="T1.2023" dataDxfId="47" dataCellStyle="Normal 2"/>
    <tableColumn id="29" xr3:uid="{77A2A631-2FCC-45F6-A66B-A9A90E647306}" name="T02.2023" dataDxfId="46" dataCellStyle="Normal 2"/>
    <tableColumn id="30" xr3:uid="{1C303878-8E5D-4943-8244-FB51D452E41E}" name="T03.2023" dataDxfId="45" dataCellStyle="Normal 2"/>
    <tableColumn id="31" xr3:uid="{39C1FBD9-C354-4A9A-935D-78DB9C25E035}" name="T04.2023" dataDxfId="44" dataCellStyle="Normal 2"/>
    <tableColumn id="32" xr3:uid="{8DA0B205-FABB-4209-974D-AB97582E4ADB}" name="T05.2023" dataDxfId="43" dataCellStyle="Normal 2"/>
    <tableColumn id="33" xr3:uid="{A99A1FF7-65BE-4068-8F34-310C876028FC}" name="T06.2023" dataDxfId="42" dataCellStyle="Normal 2"/>
    <tableColumn id="34" xr3:uid="{8789FB5B-8709-4723-9488-582273433115}" name="T07.2023" dataDxfId="41" dataCellStyle="Normal 2"/>
    <tableColumn id="35" xr3:uid="{69498B81-0411-46A5-BEA3-38526263F961}" name="T08.2023" dataDxfId="40" dataCellStyle="Normal 2"/>
    <tableColumn id="36" xr3:uid="{927A1E5E-76BC-4D73-B580-9233D5F9561D}" name="T09.2023" dataDxfId="39" dataCellStyle="Normal 2"/>
    <tableColumn id="37" xr3:uid="{916F4454-DFCB-4E0F-B70E-B724FADC133B}" name="T10.2023" dataDxfId="38" dataCellStyle="Normal 2"/>
    <tableColumn id="38" xr3:uid="{DC5D1EEF-D8BF-4413-9A3D-A3A4B43A86BD}" name="T11.2023" dataDxfId="37" dataCellStyle="Normal 2"/>
    <tableColumn id="39" xr3:uid="{F6DD641A-FCD7-4101-AE99-70F5AF0FF546}" name="T12.2023" dataDxfId="36" dataCellStyle="Normal 2"/>
    <tableColumn id="40" xr3:uid="{02C06818-7545-4A6E-81A0-06AC9DFEAE58}" name="T01.2024" dataDxfId="35" dataCellStyle="Normal 2"/>
    <tableColumn id="41" xr3:uid="{8D3B8746-0BF1-4C56-A088-F779D0994748}" name="T02.2024" dataDxfId="34" dataCellStyle="Normal 2"/>
    <tableColumn id="42" xr3:uid="{55490DB1-E80E-4114-900B-38B6090452F3}" name="T03.2024" dataDxfId="33" dataCellStyle="Normal 2"/>
    <tableColumn id="43" xr3:uid="{35B71ACE-757C-4347-8FB0-3539D7C5D4AF}" name="T04.2024" dataDxfId="32" dataCellStyle="Normal 2"/>
    <tableColumn id="44" xr3:uid="{740CB435-E751-4935-8D70-A64E8A704161}" name="T05.2024" dataDxfId="31" dataCellStyle="Normal 2"/>
    <tableColumn id="45" xr3:uid="{C12CF4A7-FB06-4347-B77C-5EB4AFED96CF}" name="T06.2024" dataDxfId="30" dataCellStyle="Normal 2"/>
    <tableColumn id="46" xr3:uid="{BB3F82AC-E801-4151-9602-2EE6BE9FE845}" name="T07.2024" dataDxfId="29" dataCellStyle="Normal 2"/>
    <tableColumn id="47" xr3:uid="{7C47807A-3FC0-442E-A337-116556A2FCF9}" name="T08.2024" dataDxfId="28" dataCellStyle="Normal 2"/>
    <tableColumn id="48" xr3:uid="{A2DA5532-4CB4-4144-9104-BB7E11BE6B41}" name="T09.2024" dataDxfId="27" dataCellStyle="Normal 2"/>
    <tableColumn id="49" xr3:uid="{D719DA90-E675-47B1-885F-830465117BA1}" name="T10.2024" dataDxfId="26" dataCellStyle="Normal 2"/>
    <tableColumn id="50" xr3:uid="{B93C8275-0A68-48C9-BB3D-F539305A33DC}" name="T11.2024" dataDxfId="25" dataCellStyle="Normal 2"/>
    <tableColumn id="51" xr3:uid="{68226154-104D-42FF-941F-C2D0D71514AD}" name="T12.2024" dataDxfId="24" dataCellStyle="Normal 2"/>
    <tableColumn id="52" xr3:uid="{1EAC3FFD-2526-49E7-8EB5-6240AA249C27}" name="T01.2025" dataDxfId="23" dataCellStyle="Normal 2"/>
    <tableColumn id="53" xr3:uid="{53EE9B52-C51C-40BA-852E-0A7A4E5F4002}" name="T02.2025" dataDxfId="22" dataCellStyle="Normal 2"/>
    <tableColumn id="54" xr3:uid="{F0045070-69CD-47DB-AE48-AC3C75D3A1B6}" name="T03.2025" dataDxfId="21" dataCellStyle="Normal 2"/>
    <tableColumn id="55" xr3:uid="{B7B828BF-FEF9-46FC-B1BE-2A50B2948AF4}" name="T04.2025" dataDxfId="20" dataCellStyle="Normal 2"/>
    <tableColumn id="56" xr3:uid="{BE50B18F-6A56-4264-B769-D3B2B3BC5BA9}" name="T05.2025" dataDxfId="19" dataCellStyle="Normal 2"/>
    <tableColumn id="57" xr3:uid="{70410E85-FEA6-416A-BFDA-28EEC668A936}" name="T06.2025" dataDxfId="18" dataCellStyle="Normal 2"/>
    <tableColumn id="58" xr3:uid="{A8A5263F-4A40-4B00-B5DF-DF1746229E1F}" name="T07.2025" dataDxfId="17" dataCellStyle="Normal 2"/>
    <tableColumn id="59" xr3:uid="{2D53D7B2-6FF5-4A2B-90B1-7AABCDD6CFF6}" name="T08.2025" dataDxfId="16" dataCellStyle="Normal 2"/>
    <tableColumn id="60" xr3:uid="{F17624A2-0BF9-4848-B594-C77AEEF5E389}" name="T09.2025" dataDxfId="15" dataCellStyle="Normal 2"/>
    <tableColumn id="61" xr3:uid="{7676C84A-2BF2-4334-9849-EF94B83D0020}" name="T10.2025" dataDxfId="14" dataCellStyle="Normal 2"/>
    <tableColumn id="62" xr3:uid="{27CE4CFE-AA6A-4C9D-98AF-681E5790468C}" name="T11.2025" dataDxfId="13" dataCellStyle="Normal 2"/>
    <tableColumn id="63" xr3:uid="{DD05BFC6-FF0D-4CB2-8516-B39CBC797292}" name="T12.2025" dataDxfId="12" dataCellStyle="Normal 2"/>
    <tableColumn id="64" xr3:uid="{0F7A7A74-289A-44A2-9396-740E6D63893A}" name="T01.2026" dataDxfId="11" dataCellStyle="Normal 2"/>
    <tableColumn id="65" xr3:uid="{3629FCFC-2BEB-40E4-B578-1BD8A635BA79}" name="T02.2026" dataDxfId="10" dataCellStyle="Normal 2"/>
    <tableColumn id="66" xr3:uid="{4BC5A287-41E1-4326-B367-3D35CBA5F106}" name="T03.2026" dataDxfId="9" dataCellStyle="Normal 2"/>
    <tableColumn id="67" xr3:uid="{75DDB615-1176-4273-9FAF-4DB6D87E0CB4}" name="T04.2026" dataDxfId="8" dataCellStyle="Normal 2"/>
    <tableColumn id="68" xr3:uid="{497191C3-3F8D-4CF9-856F-D2EF2EEBF9D7}" name="T05.2026" dataDxfId="7" dataCellStyle="Normal 2"/>
    <tableColumn id="69" xr3:uid="{21FCE85E-5CB3-4407-B1BC-2241F20798B3}" name="T06.2026" dataDxfId="6" dataCellStyle="Normal 2"/>
    <tableColumn id="70" xr3:uid="{F19A3237-C49B-4275-ACAE-C5387A02F1A7}" name="T07.2026" dataDxfId="5" dataCellStyle="Normal 2"/>
    <tableColumn id="71" xr3:uid="{C8E044F1-90BB-4139-ACD1-BADBFA7C7515}" name="T08.2026" dataDxfId="4" dataCellStyle="Normal 2"/>
    <tableColumn id="72" xr3:uid="{E48B437D-A35A-4F4F-93B1-96017B6C4874}" name="T09.2026" dataDxfId="3" dataCellStyle="Normal 2"/>
    <tableColumn id="73" xr3:uid="{52EF1ADE-1555-4911-8A26-A4AB6CC33C00}" name="T10.2026" dataDxfId="2" dataCellStyle="Normal 2"/>
    <tableColumn id="74" xr3:uid="{81FE1F5A-B330-4C98-BD87-AB45626CE26C}" name="T11.2026" dataDxfId="1" dataCellStyle="Normal 2"/>
    <tableColumn id="75" xr3:uid="{93ABE378-2CCC-40DA-A39C-4E427EF2D620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8EA21-BADD-49FE-9B20-E788BB020689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29" customWidth="1"/>
    <col min="2" max="2" width="19.5703125" style="229" bestFit="1" customWidth="1"/>
    <col min="3" max="3" width="11.28515625" style="229" customWidth="1"/>
    <col min="4" max="16384" width="9.140625" style="229"/>
  </cols>
  <sheetData>
    <row r="1" spans="1:10" s="223" customFormat="1" ht="15.75" x14ac:dyDescent="0.25">
      <c r="A1" s="513" t="s">
        <v>0</v>
      </c>
      <c r="B1" s="514"/>
      <c r="C1" s="514"/>
      <c r="D1" s="514"/>
      <c r="E1" s="514"/>
      <c r="J1" s="224"/>
    </row>
    <row r="2" spans="1:10" s="223" customFormat="1" ht="16.5" thickBot="1" x14ac:dyDescent="0.3">
      <c r="A2" s="515" t="s">
        <v>1</v>
      </c>
      <c r="B2" s="515"/>
      <c r="C2" s="515"/>
      <c r="D2" s="515"/>
      <c r="E2" s="515"/>
      <c r="F2" s="225"/>
      <c r="G2" s="225"/>
      <c r="H2" s="225"/>
      <c r="I2" s="225"/>
      <c r="J2" s="226"/>
    </row>
    <row r="3" spans="1:10" s="223" customFormat="1" ht="15.75" x14ac:dyDescent="0.25">
      <c r="A3" s="514" t="s">
        <v>2</v>
      </c>
      <c r="B3" s="516"/>
      <c r="J3" s="227"/>
    </row>
    <row r="4" spans="1:10" x14ac:dyDescent="0.2">
      <c r="A4" s="228" t="s">
        <v>3</v>
      </c>
    </row>
    <row r="6" spans="1:10" x14ac:dyDescent="0.2">
      <c r="B6" s="229" t="s">
        <v>4</v>
      </c>
      <c r="C6" s="517">
        <v>2026</v>
      </c>
    </row>
    <row r="7" spans="1:10" x14ac:dyDescent="0.2">
      <c r="B7" s="229" t="s">
        <v>5</v>
      </c>
      <c r="C7" s="229">
        <f>C6-1</f>
        <v>2025</v>
      </c>
    </row>
    <row r="9" spans="1:10" x14ac:dyDescent="0.2">
      <c r="B9" s="230" t="s">
        <v>6</v>
      </c>
      <c r="C9" s="518">
        <f ca="1">MONTH(TODAY())-1</f>
        <v>5</v>
      </c>
      <c r="F9" s="231"/>
    </row>
    <row r="10" spans="1:10" x14ac:dyDescent="0.2">
      <c r="B10" s="230"/>
    </row>
    <row r="12" spans="1:10" ht="14.25" x14ac:dyDescent="0.2">
      <c r="B12" s="232" t="s">
        <v>7</v>
      </c>
    </row>
    <row r="13" spans="1:10" ht="15" x14ac:dyDescent="0.25">
      <c r="B13" s="519" t="s">
        <v>8</v>
      </c>
    </row>
    <row r="15" spans="1:10" ht="14.25" x14ac:dyDescent="0.2">
      <c r="B15" s="232" t="s">
        <v>9</v>
      </c>
    </row>
    <row r="16" spans="1:10" ht="15" x14ac:dyDescent="0.25">
      <c r="B16" s="519" t="s">
        <v>8</v>
      </c>
    </row>
    <row r="18" spans="2:2" ht="14.25" x14ac:dyDescent="0.2">
      <c r="B18" s="232" t="s">
        <v>10</v>
      </c>
    </row>
    <row r="19" spans="2:2" ht="15" x14ac:dyDescent="0.25">
      <c r="B19" s="52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54D0E-7705-4A97-BDF1-7D3B318FFE62}">
  <sheetPr>
    <tabColor theme="9" tint="0.59999389629810485"/>
  </sheetPr>
  <dimension ref="A3:J50"/>
  <sheetViews>
    <sheetView showGridLines="0" showZeros="0" topLeftCell="A16" workbookViewId="0">
      <selection activeCell="F30" sqref="F30"/>
    </sheetView>
  </sheetViews>
  <sheetFormatPr defaultColWidth="9.140625" defaultRowHeight="14.25" x14ac:dyDescent="0.2"/>
  <cols>
    <col min="1" max="9" width="9.140625" style="234"/>
    <col min="10" max="10" width="5.85546875" style="234" customWidth="1"/>
    <col min="11" max="11" width="11" style="234" customWidth="1"/>
    <col min="12" max="16384" width="9.140625" style="234"/>
  </cols>
  <sheetData>
    <row r="3" spans="9:9" x14ac:dyDescent="0.2">
      <c r="I3" s="233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35"/>
    </row>
    <row r="27" spans="1:10" ht="20.25" x14ac:dyDescent="0.3">
      <c r="A27" s="646"/>
      <c r="B27" s="646"/>
      <c r="C27" s="646"/>
      <c r="D27" s="646"/>
      <c r="E27" s="646"/>
      <c r="F27" s="646"/>
      <c r="G27" s="646"/>
      <c r="H27" s="646"/>
      <c r="I27" s="646"/>
      <c r="J27" s="646"/>
    </row>
    <row r="28" spans="1:10" ht="6.75" customHeight="1" x14ac:dyDescent="0.2"/>
    <row r="29" spans="1:10" ht="22.5" customHeight="1" x14ac:dyDescent="0.25">
      <c r="A29" s="236"/>
      <c r="B29" s="647" t="s">
        <v>11</v>
      </c>
      <c r="C29" s="648"/>
      <c r="D29" s="647"/>
      <c r="E29" s="648"/>
      <c r="F29" s="648"/>
      <c r="G29" s="648"/>
      <c r="H29" s="648"/>
      <c r="I29" s="648"/>
      <c r="J29" s="648"/>
    </row>
    <row r="30" spans="1:10" ht="15.95" customHeight="1" x14ac:dyDescent="0.2">
      <c r="A30" s="237"/>
      <c r="B30" s="238"/>
      <c r="C30" s="238"/>
      <c r="D30" s="238"/>
      <c r="E30" s="238"/>
      <c r="F30" s="238"/>
      <c r="G30" s="238"/>
      <c r="H30" s="238"/>
      <c r="I30" s="238"/>
      <c r="J30" s="238"/>
    </row>
    <row r="31" spans="1:10" ht="15.95" customHeight="1" x14ac:dyDescent="0.2">
      <c r="A31" s="236"/>
      <c r="B31" s="238"/>
      <c r="C31" s="238"/>
      <c r="D31" s="238"/>
      <c r="E31" s="238"/>
      <c r="F31" s="238"/>
      <c r="G31" s="238"/>
      <c r="H31" s="238"/>
      <c r="I31" s="238"/>
      <c r="J31" s="238"/>
    </row>
    <row r="34" spans="1:10" ht="15" customHeight="1" x14ac:dyDescent="0.2">
      <c r="B34" s="649"/>
      <c r="C34" s="649"/>
      <c r="D34" s="649"/>
      <c r="E34" s="649"/>
      <c r="F34" s="649"/>
      <c r="G34" s="649"/>
      <c r="H34" s="649"/>
      <c r="I34" s="649"/>
      <c r="J34" s="649"/>
    </row>
    <row r="45" spans="1:10" ht="3" customHeight="1" x14ac:dyDescent="0.2"/>
    <row r="46" spans="1:10" ht="16.5" customHeight="1" x14ac:dyDescent="0.2">
      <c r="A46" s="239"/>
    </row>
    <row r="47" spans="1:10" ht="22.5" customHeight="1" x14ac:dyDescent="0.25">
      <c r="A47" s="240"/>
      <c r="B47" s="238"/>
      <c r="C47" s="238"/>
      <c r="D47" s="238"/>
      <c r="E47" s="238"/>
      <c r="F47" s="238"/>
      <c r="G47" s="238"/>
      <c r="H47" s="238"/>
      <c r="I47" s="238"/>
      <c r="J47" s="238"/>
    </row>
    <row r="48" spans="1:10" ht="15" x14ac:dyDescent="0.25">
      <c r="A48" s="240"/>
      <c r="B48" s="238"/>
      <c r="C48" s="238"/>
      <c r="D48" s="238"/>
      <c r="E48" s="238"/>
      <c r="F48" s="238"/>
      <c r="G48" s="238"/>
      <c r="H48" s="238"/>
      <c r="I48" s="238"/>
      <c r="J48" s="238"/>
    </row>
    <row r="49" spans="1:10" ht="15" x14ac:dyDescent="0.25">
      <c r="A49" s="240"/>
      <c r="B49" s="238"/>
      <c r="C49" s="238"/>
      <c r="D49" s="238"/>
      <c r="E49" s="238"/>
      <c r="F49" s="238"/>
      <c r="G49" s="238"/>
      <c r="H49" s="238"/>
      <c r="I49" s="238"/>
      <c r="J49" s="238"/>
    </row>
    <row r="50" spans="1:10" ht="15" customHeight="1" x14ac:dyDescent="0.25">
      <c r="B50" s="650" t="s">
        <v>12</v>
      </c>
      <c r="C50" s="650"/>
      <c r="D50" s="650"/>
      <c r="E50" s="650"/>
      <c r="F50" s="650"/>
      <c r="G50" s="650"/>
      <c r="H50" s="650"/>
      <c r="I50" s="650"/>
      <c r="J50" s="650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B8F84-D175-461F-9CC3-0D382B338A56}">
  <sheetPr>
    <tabColor theme="8" tint="0.59999389629810485"/>
  </sheetPr>
  <dimension ref="A1:I31"/>
  <sheetViews>
    <sheetView showGridLines="0" showZeros="0" zoomScaleNormal="100" workbookViewId="0"/>
  </sheetViews>
  <sheetFormatPr defaultColWidth="9.140625" defaultRowHeight="15.75" x14ac:dyDescent="0.25"/>
  <cols>
    <col min="1" max="5" width="9.140625" style="243"/>
    <col min="6" max="6" width="12.140625" style="243" customWidth="1"/>
    <col min="7" max="8" width="9.140625" style="243"/>
    <col min="9" max="9" width="26.28515625" style="243" customWidth="1"/>
    <col min="10" max="16384" width="9.140625" style="243"/>
  </cols>
  <sheetData>
    <row r="1" spans="1:9" s="223" customFormat="1" x14ac:dyDescent="0.25">
      <c r="A1" s="241" t="str">
        <f>'Thong tin'!A1</f>
        <v>CÔNG TY TNHH THU MUA PHẾ LIỆU ĐẠI LỘC</v>
      </c>
      <c r="I1" s="224" t="s">
        <v>13</v>
      </c>
    </row>
    <row r="2" spans="1:9" s="223" customFormat="1" ht="16.5" thickBot="1" x14ac:dyDescent="0.3">
      <c r="A2" s="225" t="str">
        <f>'Thong tin'!A2</f>
        <v>Địa chỉ:</v>
      </c>
      <c r="B2" s="225"/>
      <c r="C2" s="225"/>
      <c r="D2" s="225"/>
      <c r="E2" s="225"/>
      <c r="F2" s="225"/>
      <c r="G2" s="225"/>
      <c r="H2" s="225"/>
      <c r="I2" s="226"/>
    </row>
    <row r="5" spans="1:9" x14ac:dyDescent="0.25">
      <c r="A5" s="242"/>
    </row>
    <row r="10" spans="1:9" ht="20.25" x14ac:dyDescent="0.3">
      <c r="A10" s="244" t="str">
        <f ca="1">"BÁO CÁO TÀI CHÍNH THÁNG "&amp;'Thong tin'!C9&amp;" NĂM 2026"</f>
        <v>BÁO CÁO TÀI CHÍNH THÁNG 5 NĂM 2026</v>
      </c>
      <c r="I10" s="245" t="s">
        <v>14</v>
      </c>
    </row>
    <row r="11" spans="1:9" ht="20.25" x14ac:dyDescent="0.3">
      <c r="A11" s="244"/>
    </row>
    <row r="12" spans="1:9" s="246" customFormat="1" ht="24.95" hidden="1" customHeight="1" x14ac:dyDescent="0.25">
      <c r="A12" s="246" t="s">
        <v>15</v>
      </c>
      <c r="I12" s="247" t="s">
        <v>16</v>
      </c>
    </row>
    <row r="13" spans="1:9" s="246" customFormat="1" ht="24.95" hidden="1" customHeight="1" x14ac:dyDescent="0.25">
      <c r="A13" s="246" t="s">
        <v>17</v>
      </c>
      <c r="I13" s="247" t="s">
        <v>18</v>
      </c>
    </row>
    <row r="14" spans="1:9" s="249" customFormat="1" ht="27" customHeight="1" x14ac:dyDescent="0.3">
      <c r="A14" s="248" t="s">
        <v>19</v>
      </c>
      <c r="I14" s="250" t="s">
        <v>20</v>
      </c>
    </row>
    <row r="15" spans="1:9" s="252" customFormat="1" ht="25.5" customHeight="1" x14ac:dyDescent="0.3">
      <c r="A15" s="251" t="s">
        <v>21</v>
      </c>
      <c r="I15" s="253" t="s">
        <v>22</v>
      </c>
    </row>
    <row r="16" spans="1:9" s="255" customFormat="1" ht="27.75" customHeight="1" x14ac:dyDescent="0.3">
      <c r="A16" s="254" t="s">
        <v>23</v>
      </c>
      <c r="I16" s="256" t="s">
        <v>24</v>
      </c>
    </row>
    <row r="17" spans="1:9" ht="27" hidden="1" customHeight="1" x14ac:dyDescent="0.3">
      <c r="A17" s="257" t="s">
        <v>25</v>
      </c>
      <c r="I17" s="258" t="s">
        <v>26</v>
      </c>
    </row>
    <row r="30" spans="1:9" s="246" customFormat="1" x14ac:dyDescent="0.25">
      <c r="A30" s="651" t="s">
        <v>27</v>
      </c>
      <c r="B30" s="651"/>
      <c r="C30" s="651"/>
      <c r="D30" s="651"/>
      <c r="E30" s="651"/>
      <c r="F30" s="651"/>
      <c r="G30" s="651"/>
      <c r="H30" s="651"/>
      <c r="I30" s="651"/>
    </row>
    <row r="31" spans="1:9" s="246" customFormat="1" x14ac:dyDescent="0.25">
      <c r="A31" s="651" t="s">
        <v>28</v>
      </c>
      <c r="B31" s="651"/>
      <c r="C31" s="651"/>
      <c r="D31" s="651"/>
      <c r="E31" s="651"/>
      <c r="F31" s="651"/>
      <c r="G31" s="651"/>
      <c r="H31" s="651"/>
      <c r="I31" s="651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6CF5-BBC5-4F32-AFFE-6A2F82F6EFDC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8" activePane="bottomRight" state="frozen"/>
      <selection pane="topRight"/>
      <selection pane="bottomLeft"/>
      <selection pane="bottomRight" activeCell="B23" sqref="B23"/>
    </sheetView>
  </sheetViews>
  <sheetFormatPr defaultColWidth="9.140625" defaultRowHeight="15" x14ac:dyDescent="0.25"/>
  <cols>
    <col min="1" max="1" width="57.5703125" style="264" customWidth="1"/>
    <col min="2" max="2" width="20" style="299" customWidth="1"/>
    <col min="3" max="3" width="20" style="299" bestFit="1" customWidth="1"/>
    <col min="4" max="4" width="6.5703125" style="264" hidden="1" customWidth="1"/>
    <col min="5" max="5" width="16.28515625" style="264" bestFit="1" customWidth="1"/>
    <col min="6" max="16384" width="9.140625" style="264"/>
  </cols>
  <sheetData>
    <row r="1" spans="1:10" s="261" customFormat="1" ht="15.75" x14ac:dyDescent="0.25">
      <c r="A1" s="259" t="str">
        <f>'Thong tin'!A1</f>
        <v>CÔNG TY TNHH THU MUA PHẾ LIỆU ĐẠI LỘC</v>
      </c>
      <c r="B1" s="260"/>
      <c r="C1" s="224"/>
    </row>
    <row r="2" spans="1:10" s="261" customFormat="1" ht="16.5" thickBot="1" x14ac:dyDescent="0.3">
      <c r="A2" s="521" t="str">
        <f>'Thong tin'!A2</f>
        <v>Địa chỉ:</v>
      </c>
      <c r="B2" s="263"/>
      <c r="C2" s="226"/>
    </row>
    <row r="3" spans="1:10" s="261" customFormat="1" ht="15.75" x14ac:dyDescent="0.25">
      <c r="A3" s="264"/>
      <c r="B3" s="260"/>
      <c r="C3" s="227"/>
    </row>
    <row r="4" spans="1:10" ht="20.25" x14ac:dyDescent="0.3">
      <c r="A4" s="652" t="s">
        <v>29</v>
      </c>
      <c r="B4" s="652"/>
      <c r="C4" s="652"/>
    </row>
    <row r="5" spans="1:10" ht="15.75" x14ac:dyDescent="0.25">
      <c r="A5" s="653" t="str">
        <f>"Năm " &amp; 'Thong tin'!C6</f>
        <v>Năm 2026</v>
      </c>
      <c r="B5" s="653"/>
      <c r="C5" s="653"/>
    </row>
    <row r="6" spans="1:10" x14ac:dyDescent="0.25">
      <c r="A6" s="265"/>
      <c r="B6" s="266"/>
      <c r="C6" s="267" t="str">
        <f>'KQKD in'!G6</f>
        <v>ĐVT: VNĐ</v>
      </c>
    </row>
    <row r="7" spans="1:10" s="272" customFormat="1" ht="30" customHeight="1" x14ac:dyDescent="0.25">
      <c r="A7" s="268" t="s">
        <v>30</v>
      </c>
      <c r="B7" s="269" t="str">
        <f ca="1">"Số cuối tháng"&amp;" "&amp;D7</f>
        <v>Số cuối tháng 5</v>
      </c>
      <c r="C7" s="270" t="str">
        <f>"Số dư đầu năm " &amp; 'Thong tin'!C6</f>
        <v>Số dư đầu năm 2026</v>
      </c>
      <c r="D7" s="271">
        <f ca="1">'Thong tin'!C9</f>
        <v>5</v>
      </c>
    </row>
    <row r="8" spans="1:10" s="276" customFormat="1" x14ac:dyDescent="0.25">
      <c r="A8" s="273" t="s">
        <v>31</v>
      </c>
      <c r="B8" s="274">
        <f ca="1">B10+B14+B22+B31+B40</f>
        <v>18999233520</v>
      </c>
      <c r="C8" s="274">
        <f>C10+C14+C22+C31+C40</f>
        <v>14421157570</v>
      </c>
      <c r="D8" s="275"/>
      <c r="E8" s="275"/>
    </row>
    <row r="9" spans="1:10" x14ac:dyDescent="0.25">
      <c r="A9" s="277"/>
      <c r="B9" s="278"/>
      <c r="C9" s="278"/>
    </row>
    <row r="10" spans="1:10" s="261" customFormat="1" x14ac:dyDescent="0.25">
      <c r="A10" s="279" t="s">
        <v>32</v>
      </c>
      <c r="B10" s="280">
        <f t="shared" ref="B10:C10" ca="1" si="0">SUM(B11:B12)</f>
        <v>3586686577</v>
      </c>
      <c r="C10" s="280">
        <f t="shared" si="0"/>
        <v>4238403093</v>
      </c>
    </row>
    <row r="11" spans="1:10" x14ac:dyDescent="0.25">
      <c r="A11" s="277" t="s">
        <v>33</v>
      </c>
      <c r="B11" s="278">
        <f ca="1">OFFSET('Tinh hinh tai chinh'!$BL6,0,'THTC in'!$D$7 - 1)</f>
        <v>3586686577</v>
      </c>
      <c r="C11" s="278">
        <f>'Tinh hinh tai chinh'!BK6</f>
        <v>4238403093</v>
      </c>
    </row>
    <row r="12" spans="1:10" x14ac:dyDescent="0.25">
      <c r="A12" s="277" t="s">
        <v>34</v>
      </c>
      <c r="B12" s="278">
        <f ca="1">OFFSET('Tinh hinh tai chinh'!$BL7,0,'THTC in'!$D$7 - 1)</f>
        <v>0</v>
      </c>
      <c r="C12" s="278">
        <f>'Tinh hinh tai chinh'!BK7</f>
        <v>0</v>
      </c>
    </row>
    <row r="13" spans="1:10" x14ac:dyDescent="0.25">
      <c r="A13" s="277"/>
      <c r="B13" s="278"/>
      <c r="C13" s="278"/>
      <c r="J13" s="281"/>
    </row>
    <row r="14" spans="1:10" s="261" customFormat="1" x14ac:dyDescent="0.25">
      <c r="A14" s="279" t="s">
        <v>35</v>
      </c>
      <c r="B14" s="280">
        <f ca="1">SUM(B15:B20)</f>
        <v>202000000</v>
      </c>
      <c r="C14" s="280">
        <f>SUM(C15:C20)</f>
        <v>202000000</v>
      </c>
    </row>
    <row r="15" spans="1:10" x14ac:dyDescent="0.25">
      <c r="A15" s="277" t="s">
        <v>36</v>
      </c>
      <c r="B15" s="278">
        <f ca="1">OFFSET('Tinh hinh tai chinh'!$BL9,0,'THTC in'!$D$7 - 1)</f>
        <v>0</v>
      </c>
      <c r="C15" s="278">
        <f>'Tinh hinh tai chinh'!BK9</f>
        <v>0</v>
      </c>
      <c r="J15" s="281"/>
    </row>
    <row r="16" spans="1:10" ht="17.25" customHeight="1" x14ac:dyDescent="0.25">
      <c r="A16" s="282" t="s">
        <v>37</v>
      </c>
      <c r="B16" s="278">
        <f ca="1">OFFSET('Tinh hinh tai chinh'!$BL10,0,'THTC in'!$D$7 - 1)</f>
        <v>0</v>
      </c>
      <c r="C16" s="278">
        <f>'Tinh hinh tai chinh'!BK10</f>
        <v>0</v>
      </c>
    </row>
    <row r="17" spans="1:6" ht="18" customHeight="1" x14ac:dyDescent="0.25">
      <c r="A17" s="283" t="s">
        <v>38</v>
      </c>
      <c r="B17" s="278">
        <f ca="1">OFFSET('Tinh hinh tai chinh'!$BL11,0,'THTC in'!$D$7 - 1)</f>
        <v>202000000</v>
      </c>
      <c r="C17" s="278">
        <f>'Tinh hinh tai chinh'!BK11</f>
        <v>202000000</v>
      </c>
    </row>
    <row r="18" spans="1:6" ht="18" customHeight="1" x14ac:dyDescent="0.25">
      <c r="A18" s="283" t="s">
        <v>39</v>
      </c>
      <c r="B18" s="278">
        <f ca="1">OFFSET('Tinh hinh tai chinh'!$BL12,0,'THTC in'!$D$7 - 1)</f>
        <v>0</v>
      </c>
      <c r="C18" s="278">
        <f>'Tinh hinh tai chinh'!BK12</f>
        <v>0</v>
      </c>
    </row>
    <row r="19" spans="1:6" ht="18" customHeight="1" x14ac:dyDescent="0.25">
      <c r="A19" s="283" t="s">
        <v>40</v>
      </c>
      <c r="B19" s="278">
        <f ca="1">OFFSET('Tinh hinh tai chinh'!$BL13,0,'THTC in'!$D$7 - 1)</f>
        <v>0</v>
      </c>
      <c r="C19" s="278">
        <f>'Tinh hinh tai chinh'!BK13</f>
        <v>0</v>
      </c>
    </row>
    <row r="20" spans="1:6" ht="18" customHeight="1" x14ac:dyDescent="0.25">
      <c r="A20" s="283" t="s">
        <v>41</v>
      </c>
      <c r="B20" s="278">
        <f ca="1">OFFSET('Tinh hinh tai chinh'!$BL14,0,'THTC in'!$D$7 - 1)</f>
        <v>0</v>
      </c>
      <c r="C20" s="278">
        <f>'Tinh hinh tai chinh'!BK14</f>
        <v>0</v>
      </c>
    </row>
    <row r="21" spans="1:6" ht="15" customHeight="1" x14ac:dyDescent="0.25">
      <c r="A21" s="283"/>
      <c r="B21" s="278"/>
      <c r="C21" s="278"/>
    </row>
    <row r="22" spans="1:6" s="261" customFormat="1" x14ac:dyDescent="0.25">
      <c r="A22" s="279" t="s">
        <v>42</v>
      </c>
      <c r="B22" s="280">
        <f ca="1">SUM(B23:B29)</f>
        <v>9726655670</v>
      </c>
      <c r="C22" s="280">
        <f>SUM(C23:C29)</f>
        <v>5293820118</v>
      </c>
    </row>
    <row r="23" spans="1:6" x14ac:dyDescent="0.25">
      <c r="A23" s="277" t="s">
        <v>43</v>
      </c>
      <c r="B23" s="278">
        <f ca="1">OFFSET('Tinh hinh tai chinh'!$BL16,0,'THTC in'!$D$7 - 1)</f>
        <v>2761975218</v>
      </c>
      <c r="C23" s="278">
        <f>'Tinh hinh tai chinh'!BK16</f>
        <v>492988680</v>
      </c>
      <c r="D23" s="284"/>
      <c r="F23" s="284"/>
    </row>
    <row r="24" spans="1:6" x14ac:dyDescent="0.25">
      <c r="A24" s="277" t="s">
        <v>44</v>
      </c>
      <c r="B24" s="278">
        <f ca="1">OFFSET('Tinh hinh tai chinh'!$BL17,0,'THTC in'!$D$7 - 1)</f>
        <v>4072789600</v>
      </c>
      <c r="C24" s="278">
        <f>'Tinh hinh tai chinh'!BK17</f>
        <v>2048754161</v>
      </c>
    </row>
    <row r="25" spans="1:6" x14ac:dyDescent="0.25">
      <c r="A25" s="277" t="s">
        <v>45</v>
      </c>
      <c r="B25" s="278">
        <f ca="1">OFFSET('Tinh hinh tai chinh'!$BL18,0,'THTC in'!$D$7 - 1)</f>
        <v>0</v>
      </c>
      <c r="C25" s="278">
        <f>'Tinh hinh tai chinh'!BK18</f>
        <v>0</v>
      </c>
    </row>
    <row r="26" spans="1:6" ht="16.5" customHeight="1" x14ac:dyDescent="0.25">
      <c r="A26" s="282" t="s">
        <v>46</v>
      </c>
      <c r="B26" s="278">
        <f ca="1">OFFSET('Tinh hinh tai chinh'!$BL19,0,'THTC in'!$D$7 - 1)</f>
        <v>0</v>
      </c>
      <c r="C26" s="278">
        <f>'Tinh hinh tai chinh'!BK19</f>
        <v>0</v>
      </c>
    </row>
    <row r="27" spans="1:6" x14ac:dyDescent="0.25">
      <c r="A27" s="277" t="s">
        <v>47</v>
      </c>
      <c r="B27" s="278">
        <f ca="1">OFFSET('Tinh hinh tai chinh'!$BL20,0,'THTC in'!$D$7 - 1)</f>
        <v>2891890852</v>
      </c>
      <c r="C27" s="278">
        <f>'Tinh hinh tai chinh'!BK20</f>
        <v>2752077277</v>
      </c>
    </row>
    <row r="28" spans="1:6" x14ac:dyDescent="0.25">
      <c r="A28" s="277" t="s">
        <v>48</v>
      </c>
      <c r="B28" s="278">
        <f ca="1">OFFSET('Tinh hinh tai chinh'!$BL21,0,'THTC in'!$D$7 - 1)</f>
        <v>0</v>
      </c>
      <c r="C28" s="278">
        <f>'Tinh hinh tai chinh'!BK21</f>
        <v>0</v>
      </c>
    </row>
    <row r="29" spans="1:6" x14ac:dyDescent="0.25">
      <c r="A29" s="283" t="s">
        <v>49</v>
      </c>
      <c r="B29" s="278">
        <f ca="1">OFFSET('Tinh hinh tai chinh'!$BL22,0,'THTC in'!$D$7 - 1)</f>
        <v>0</v>
      </c>
      <c r="C29" s="278">
        <f>'Tinh hinh tai chinh'!BK22</f>
        <v>0</v>
      </c>
    </row>
    <row r="30" spans="1:6" ht="15" customHeight="1" x14ac:dyDescent="0.25">
      <c r="A30" s="283"/>
      <c r="B30" s="278"/>
      <c r="C30" s="278"/>
    </row>
    <row r="31" spans="1:6" s="261" customFormat="1" x14ac:dyDescent="0.25">
      <c r="A31" s="279" t="s">
        <v>50</v>
      </c>
      <c r="B31" s="280">
        <f t="shared" ref="B31:C31" ca="1" si="1">SUM(B32:B33)</f>
        <v>4712565569</v>
      </c>
      <c r="C31" s="280">
        <f t="shared" si="1"/>
        <v>3915897505</v>
      </c>
    </row>
    <row r="32" spans="1:6" x14ac:dyDescent="0.25">
      <c r="A32" s="277" t="s">
        <v>51</v>
      </c>
      <c r="B32" s="285">
        <f ca="1">OFFSET('Tinh hinh tai chinh'!$BL24,0,'THTC in'!$D$7 - 1)</f>
        <v>4712565569</v>
      </c>
      <c r="C32" s="278">
        <f>'Tinh hinh tai chinh'!BK24</f>
        <v>3915897505</v>
      </c>
    </row>
    <row r="33" spans="1:3" x14ac:dyDescent="0.25">
      <c r="A33" s="277" t="s">
        <v>52</v>
      </c>
      <c r="B33" s="285">
        <f ca="1">OFFSET('Tinh hinh tai chinh'!$BL25,0,'THTC in'!$D$7 - 1)</f>
        <v>0</v>
      </c>
      <c r="C33" s="278">
        <f>'Tinh hinh tai chinh'!BK25</f>
        <v>0</v>
      </c>
    </row>
    <row r="34" spans="1:3" x14ac:dyDescent="0.25">
      <c r="A34" s="277"/>
      <c r="B34" s="285"/>
      <c r="C34" s="278"/>
    </row>
    <row r="35" spans="1:3" x14ac:dyDescent="0.25">
      <c r="A35" s="279" t="s">
        <v>53</v>
      </c>
      <c r="B35" s="285">
        <f ca="1">SUM(B36:B38)</f>
        <v>0</v>
      </c>
      <c r="C35" s="278">
        <f>SUM(C36:C38)</f>
        <v>0</v>
      </c>
    </row>
    <row r="36" spans="1:3" x14ac:dyDescent="0.25">
      <c r="A36" s="277" t="s">
        <v>54</v>
      </c>
      <c r="B36" s="285">
        <f ca="1">OFFSET('Tinh hinh tai chinh'!$BL27,0,'THTC in'!$D$7 - 1)</f>
        <v>0</v>
      </c>
      <c r="C36" s="278">
        <f>'Tinh hinh tai chinh'!BK27</f>
        <v>0</v>
      </c>
    </row>
    <row r="37" spans="1:3" x14ac:dyDescent="0.25">
      <c r="A37" s="277" t="s">
        <v>55</v>
      </c>
      <c r="B37" s="285">
        <f ca="1">OFFSET('Tinh hinh tai chinh'!$BL28,0,'THTC in'!$D$7 - 1)</f>
        <v>0</v>
      </c>
      <c r="C37" s="278">
        <f>'Tinh hinh tai chinh'!BK28</f>
        <v>0</v>
      </c>
    </row>
    <row r="38" spans="1:3" x14ac:dyDescent="0.25">
      <c r="A38" s="277" t="s">
        <v>56</v>
      </c>
      <c r="B38" s="285">
        <f ca="1">OFFSET('Tinh hinh tai chinh'!$BL29,0,'THTC in'!$D$7 - 1)</f>
        <v>0</v>
      </c>
      <c r="C38" s="278">
        <f>'Tinh hinh tai chinh'!BK29</f>
        <v>0</v>
      </c>
    </row>
    <row r="39" spans="1:3" x14ac:dyDescent="0.25">
      <c r="A39" s="277"/>
      <c r="B39" s="278"/>
      <c r="C39" s="278"/>
    </row>
    <row r="40" spans="1:3" s="261" customFormat="1" x14ac:dyDescent="0.25">
      <c r="A40" s="279" t="s">
        <v>57</v>
      </c>
      <c r="B40" s="280">
        <f t="shared" ref="B40:C40" ca="1" si="2">SUM(B41:B45)</f>
        <v>771325704</v>
      </c>
      <c r="C40" s="280">
        <f t="shared" si="2"/>
        <v>771036854</v>
      </c>
    </row>
    <row r="41" spans="1:3" x14ac:dyDescent="0.25">
      <c r="A41" s="277" t="s">
        <v>58</v>
      </c>
      <c r="B41" s="278">
        <f ca="1">OFFSET('Tinh hinh tai chinh'!$BL31,0,'THTC in'!$D$7 - 1)</f>
        <v>768327062</v>
      </c>
      <c r="C41" s="278">
        <f>'Tinh hinh tai chinh'!BK31</f>
        <v>778319454</v>
      </c>
    </row>
    <row r="42" spans="1:3" x14ac:dyDescent="0.25">
      <c r="A42" s="277" t="s">
        <v>59</v>
      </c>
      <c r="B42" s="278">
        <f ca="1">OFFSET('Tinh hinh tai chinh'!$BL32,0,'THTC in'!$D$7 - 1)</f>
        <v>0</v>
      </c>
      <c r="C42" s="278">
        <f>'Tinh hinh tai chinh'!BK32</f>
        <v>-7282600</v>
      </c>
    </row>
    <row r="43" spans="1:3" x14ac:dyDescent="0.25">
      <c r="A43" s="277" t="s">
        <v>60</v>
      </c>
      <c r="B43" s="278">
        <f ca="1">OFFSET('Tinh hinh tai chinh'!$BL33,0,'THTC in'!$D$7 - 1)</f>
        <v>2998642</v>
      </c>
      <c r="C43" s="278">
        <f>'Tinh hinh tai chinh'!BK33</f>
        <v>0</v>
      </c>
    </row>
    <row r="44" spans="1:3" x14ac:dyDescent="0.25">
      <c r="A44" s="283" t="s">
        <v>61</v>
      </c>
      <c r="B44" s="278">
        <f ca="1">OFFSET('Tinh hinh tai chinh'!$BL34,0,'THTC in'!$D$7 - 1)</f>
        <v>0</v>
      </c>
      <c r="C44" s="278">
        <f>'Tinh hinh tai chinh'!BK34</f>
        <v>0</v>
      </c>
    </row>
    <row r="45" spans="1:3" x14ac:dyDescent="0.25">
      <c r="A45" s="277" t="s">
        <v>62</v>
      </c>
      <c r="B45" s="278">
        <f ca="1">OFFSET('Tinh hinh tai chinh'!$BL35,0,'THTC in'!$D$7 - 1)</f>
        <v>0</v>
      </c>
      <c r="C45" s="278">
        <f>'Tinh hinh tai chinh'!BK35</f>
        <v>0</v>
      </c>
    </row>
    <row r="46" spans="1:3" ht="15" customHeight="1" x14ac:dyDescent="0.25">
      <c r="A46" s="277"/>
      <c r="B46" s="278"/>
      <c r="C46" s="278"/>
    </row>
    <row r="47" spans="1:3" s="276" customFormat="1" x14ac:dyDescent="0.25">
      <c r="A47" s="286" t="s">
        <v>63</v>
      </c>
      <c r="B47" s="287">
        <f ca="1">B48+B58+B79+B87+B95+B83</f>
        <v>28617949438</v>
      </c>
      <c r="C47" s="287">
        <f>C48+C58+C79+C87+C95+C83</f>
        <v>22792550879</v>
      </c>
    </row>
    <row r="48" spans="1:3" s="261" customFormat="1" x14ac:dyDescent="0.25">
      <c r="A48" s="279" t="s">
        <v>64</v>
      </c>
      <c r="B48" s="288">
        <f ca="1">SUM(B49:B54)</f>
        <v>0</v>
      </c>
      <c r="C48" s="288">
        <f>SUM(C49:C54)</f>
        <v>0</v>
      </c>
    </row>
    <row r="49" spans="1:4" x14ac:dyDescent="0.25">
      <c r="A49" s="277" t="s">
        <v>65</v>
      </c>
      <c r="B49" s="278">
        <f ca="1">OFFSET('Tinh hinh tai chinh'!$BL38,0,'THTC in'!$D$7 - 1)</f>
        <v>0</v>
      </c>
      <c r="C49" s="278">
        <f>'Tinh hinh tai chinh'!BK38</f>
        <v>0</v>
      </c>
    </row>
    <row r="50" spans="1:4" x14ac:dyDescent="0.25">
      <c r="A50" s="277" t="s">
        <v>66</v>
      </c>
      <c r="B50" s="278">
        <f ca="1">OFFSET('Tinh hinh tai chinh'!$BL39,0,'THTC in'!$D$7 - 1)</f>
        <v>0</v>
      </c>
      <c r="C50" s="278">
        <f>'Tinh hinh tai chinh'!BK39</f>
        <v>0</v>
      </c>
    </row>
    <row r="51" spans="1:4" x14ac:dyDescent="0.25">
      <c r="A51" s="277" t="s">
        <v>67</v>
      </c>
      <c r="B51" s="278">
        <f ca="1">OFFSET('Tinh hinh tai chinh'!$BL40,0,'THTC in'!$D$7 - 1)</f>
        <v>0</v>
      </c>
      <c r="C51" s="278">
        <f>'Tinh hinh tai chinh'!BK40</f>
        <v>0</v>
      </c>
    </row>
    <row r="52" spans="1:4" x14ac:dyDescent="0.25">
      <c r="A52" s="277" t="s">
        <v>68</v>
      </c>
      <c r="B52" s="278">
        <f ca="1">OFFSET('Tinh hinh tai chinh'!$BL41,0,'THTC in'!$D$7 - 1)</f>
        <v>0</v>
      </c>
      <c r="C52" s="278">
        <f>'Tinh hinh tai chinh'!BK41</f>
        <v>0</v>
      </c>
    </row>
    <row r="53" spans="1:4" x14ac:dyDescent="0.25">
      <c r="A53" s="277" t="s">
        <v>69</v>
      </c>
      <c r="B53" s="278">
        <f ca="1">OFFSET('Tinh hinh tai chinh'!$BL42,0,'THTC in'!$D$7 - 1)</f>
        <v>0</v>
      </c>
      <c r="C53" s="278">
        <f>'Tinh hinh tai chinh'!BK42</f>
        <v>0</v>
      </c>
    </row>
    <row r="54" spans="1:4" x14ac:dyDescent="0.25">
      <c r="A54" s="289" t="s">
        <v>70</v>
      </c>
      <c r="B54" s="290">
        <f ca="1">OFFSET('Tinh hinh tai chinh'!$BL43,0,'THTC in'!$D$7 - 1)</f>
        <v>0</v>
      </c>
      <c r="C54" s="290">
        <f>'Tinh hinh tai chinh'!BK43</f>
        <v>0</v>
      </c>
    </row>
    <row r="55" spans="1:4" x14ac:dyDescent="0.25">
      <c r="A55" s="291"/>
      <c r="B55" s="292"/>
      <c r="C55" s="292"/>
    </row>
    <row r="56" spans="1:4" s="294" customFormat="1" ht="32.25" customHeight="1" x14ac:dyDescent="0.25">
      <c r="A56" s="268" t="s">
        <v>30</v>
      </c>
      <c r="B56" s="293" t="str">
        <f ca="1">B7</f>
        <v>Số cuối tháng 5</v>
      </c>
      <c r="C56" s="293" t="str">
        <f>C7</f>
        <v>Số dư đầu năm 2026</v>
      </c>
    </row>
    <row r="57" spans="1:4" x14ac:dyDescent="0.25">
      <c r="A57" s="295"/>
      <c r="B57" s="296"/>
      <c r="C57" s="296"/>
    </row>
    <row r="58" spans="1:4" s="261" customFormat="1" x14ac:dyDescent="0.25">
      <c r="A58" s="279" t="s">
        <v>71</v>
      </c>
      <c r="B58" s="288">
        <f t="shared" ref="B58:C58" ca="1" si="3">B59+B62+B65</f>
        <v>18529569191</v>
      </c>
      <c r="C58" s="288">
        <f t="shared" si="3"/>
        <v>19373639224</v>
      </c>
    </row>
    <row r="59" spans="1:4" x14ac:dyDescent="0.25">
      <c r="A59" s="277" t="s">
        <v>72</v>
      </c>
      <c r="B59" s="297">
        <f t="shared" ref="B59:C59" ca="1" si="4">SUM(B60:B61)</f>
        <v>18392108955</v>
      </c>
      <c r="C59" s="297">
        <f t="shared" si="4"/>
        <v>19222961658</v>
      </c>
    </row>
    <row r="60" spans="1:4" s="261" customFormat="1" x14ac:dyDescent="0.25">
      <c r="A60" s="277" t="s">
        <v>73</v>
      </c>
      <c r="B60" s="297">
        <f ca="1">OFFSET('Tinh hinh tai chinh'!$BL46,0,'THTC in'!$D$7 - 1)</f>
        <v>36558590779</v>
      </c>
      <c r="C60" s="297">
        <f>'Tinh hinh tai chinh'!BK46</f>
        <v>36090931529</v>
      </c>
      <c r="D60" s="260"/>
    </row>
    <row r="61" spans="1:4" x14ac:dyDescent="0.25">
      <c r="A61" s="277" t="s">
        <v>74</v>
      </c>
      <c r="B61" s="298">
        <f ca="1">OFFSET('Tinh hinh tai chinh'!$BL47,0,'THTC in'!$D$7 - 1)</f>
        <v>-18166481824</v>
      </c>
      <c r="C61" s="298">
        <f>'Tinh hinh tai chinh'!BK47</f>
        <v>-16867969871</v>
      </c>
      <c r="D61" s="299"/>
    </row>
    <row r="62" spans="1:4" x14ac:dyDescent="0.25">
      <c r="A62" s="277" t="s">
        <v>75</v>
      </c>
      <c r="B62" s="297">
        <f ca="1">SUM(B63:B64)</f>
        <v>0</v>
      </c>
      <c r="C62" s="297">
        <f>SUM(C63:C64)</f>
        <v>0</v>
      </c>
    </row>
    <row r="63" spans="1:4" x14ac:dyDescent="0.25">
      <c r="A63" s="277" t="s">
        <v>73</v>
      </c>
      <c r="B63" s="298">
        <f ca="1">OFFSET('Tinh hinh tai chinh'!$BL49,0,'THTC in'!$D$7 - 1)</f>
        <v>0</v>
      </c>
      <c r="C63" s="297">
        <f>'Tinh hinh tai chinh'!BK49</f>
        <v>0</v>
      </c>
    </row>
    <row r="64" spans="1:4" x14ac:dyDescent="0.25">
      <c r="A64" s="277" t="s">
        <v>74</v>
      </c>
      <c r="B64" s="298">
        <f ca="1">OFFSET('Tinh hinh tai chinh'!$BL50,0,'THTC in'!$D$7 - 1)</f>
        <v>0</v>
      </c>
      <c r="C64" s="298">
        <f>'Tinh hinh tai chinh'!BK50</f>
        <v>0</v>
      </c>
    </row>
    <row r="65" spans="1:4" x14ac:dyDescent="0.25">
      <c r="A65" s="277" t="s">
        <v>76</v>
      </c>
      <c r="B65" s="297">
        <f t="shared" ref="B65" ca="1" si="5">SUM(B66:B67)</f>
        <v>137460236</v>
      </c>
      <c r="C65" s="297">
        <f>SUM(C66:C67)</f>
        <v>150677566</v>
      </c>
    </row>
    <row r="66" spans="1:4" x14ac:dyDescent="0.25">
      <c r="A66" s="277" t="s">
        <v>73</v>
      </c>
      <c r="B66" s="298">
        <f ca="1">OFFSET('Tinh hinh tai chinh'!$BL52,0,'THTC in'!$D$7 - 1)</f>
        <v>430507331</v>
      </c>
      <c r="C66" s="297">
        <f>'Tinh hinh tai chinh'!BK52</f>
        <v>430507331</v>
      </c>
      <c r="D66" s="299"/>
    </row>
    <row r="67" spans="1:4" x14ac:dyDescent="0.25">
      <c r="A67" s="277" t="s">
        <v>74</v>
      </c>
      <c r="B67" s="298">
        <f ca="1">OFFSET('Tinh hinh tai chinh'!$BL53,0,'THTC in'!$D$7 - 1)</f>
        <v>-293047095</v>
      </c>
      <c r="C67" s="298">
        <f>'Tinh hinh tai chinh'!BK53</f>
        <v>-279829765</v>
      </c>
    </row>
    <row r="68" spans="1:4" x14ac:dyDescent="0.25">
      <c r="A68" s="277"/>
      <c r="B68" s="278"/>
      <c r="C68" s="278"/>
    </row>
    <row r="69" spans="1:4" x14ac:dyDescent="0.25">
      <c r="A69" s="279" t="s">
        <v>77</v>
      </c>
      <c r="B69" s="278"/>
      <c r="C69" s="278">
        <f>SUM(C70,C75:C77)</f>
        <v>0</v>
      </c>
    </row>
    <row r="70" spans="1:4" x14ac:dyDescent="0.25">
      <c r="A70" s="277" t="s">
        <v>78</v>
      </c>
      <c r="B70" s="278">
        <f ca="1">OFFSET('Tinh hinh tai chinh'!$BL55,0,'THTC in'!$D$7 - 1)</f>
        <v>0</v>
      </c>
      <c r="C70" s="278">
        <f>'Tinh hinh tai chinh'!BK55</f>
        <v>0</v>
      </c>
    </row>
    <row r="71" spans="1:4" x14ac:dyDescent="0.25">
      <c r="A71" s="300" t="s">
        <v>79</v>
      </c>
      <c r="B71" s="278">
        <f ca="1">OFFSET('Tinh hinh tai chinh'!$BL56,0,'THTC in'!$D$7 - 1)</f>
        <v>0</v>
      </c>
      <c r="C71" s="278">
        <f>'Tinh hinh tai chinh'!BK56</f>
        <v>0</v>
      </c>
    </row>
    <row r="72" spans="1:4" x14ac:dyDescent="0.25">
      <c r="A72" s="300" t="s">
        <v>80</v>
      </c>
      <c r="B72" s="278">
        <f ca="1">OFFSET('Tinh hinh tai chinh'!$BL57,0,'THTC in'!$D$7 - 1)</f>
        <v>0</v>
      </c>
      <c r="C72" s="278">
        <f>'Tinh hinh tai chinh'!BK57</f>
        <v>0</v>
      </c>
    </row>
    <row r="73" spans="1:4" x14ac:dyDescent="0.25">
      <c r="A73" s="301" t="s">
        <v>81</v>
      </c>
      <c r="B73" s="278">
        <f ca="1">OFFSET('Tinh hinh tai chinh'!$BL58,0,'THTC in'!$D$7 - 1)</f>
        <v>0</v>
      </c>
      <c r="C73" s="278">
        <f>'Tinh hinh tai chinh'!BK58</f>
        <v>0</v>
      </c>
    </row>
    <row r="74" spans="1:4" x14ac:dyDescent="0.25">
      <c r="A74" s="301" t="s">
        <v>82</v>
      </c>
      <c r="B74" s="278">
        <f ca="1">OFFSET('Tinh hinh tai chinh'!$BL59,0,'THTC in'!$D$7 - 1)</f>
        <v>0</v>
      </c>
      <c r="C74" s="278">
        <f>'Tinh hinh tai chinh'!BK59</f>
        <v>0</v>
      </c>
    </row>
    <row r="75" spans="1:4" x14ac:dyDescent="0.25">
      <c r="A75" s="277" t="s">
        <v>83</v>
      </c>
      <c r="B75" s="278">
        <f ca="1">OFFSET('Tinh hinh tai chinh'!$BL60,0,'THTC in'!$D$7 - 1)</f>
        <v>0</v>
      </c>
      <c r="C75" s="278">
        <f>'Tinh hinh tai chinh'!BK60</f>
        <v>0</v>
      </c>
    </row>
    <row r="76" spans="1:4" x14ac:dyDescent="0.25">
      <c r="A76" s="277" t="s">
        <v>84</v>
      </c>
      <c r="B76" s="278">
        <f ca="1">OFFSET('Tinh hinh tai chinh'!$BL61,0,'THTC in'!$D$7 - 1)</f>
        <v>0</v>
      </c>
      <c r="C76" s="278">
        <f>'Tinh hinh tai chinh'!BK61</f>
        <v>0</v>
      </c>
    </row>
    <row r="77" spans="1:4" x14ac:dyDescent="0.25">
      <c r="A77" s="277" t="s">
        <v>85</v>
      </c>
      <c r="B77" s="278">
        <f ca="1">OFFSET('Tinh hinh tai chinh'!$BL62,0,'THTC in'!$D$7 - 1)</f>
        <v>0</v>
      </c>
      <c r="C77" s="278">
        <f>'Tinh hinh tai chinh'!BK62</f>
        <v>0</v>
      </c>
    </row>
    <row r="78" spans="1:4" x14ac:dyDescent="0.25">
      <c r="A78" s="277"/>
      <c r="B78" s="278"/>
      <c r="C78" s="278"/>
    </row>
    <row r="79" spans="1:4" x14ac:dyDescent="0.25">
      <c r="A79" s="279" t="s">
        <v>86</v>
      </c>
      <c r="B79" s="280">
        <f ca="1">SUM(B80:B81)</f>
        <v>0</v>
      </c>
      <c r="C79" s="280">
        <f>SUM(C80:C81)</f>
        <v>0</v>
      </c>
    </row>
    <row r="80" spans="1:4" ht="18" customHeight="1" x14ac:dyDescent="0.25">
      <c r="A80" s="302" t="s">
        <v>81</v>
      </c>
      <c r="B80" s="297">
        <f ca="1">OFFSET('Tinh hinh tai chinh'!$BL64,0,'THTC in'!$D$7 - 1)</f>
        <v>0</v>
      </c>
      <c r="C80" s="278">
        <f>'Tinh hinh tai chinh'!BK64</f>
        <v>0</v>
      </c>
    </row>
    <row r="81" spans="1:4" s="261" customFormat="1" ht="18" customHeight="1" x14ac:dyDescent="0.25">
      <c r="A81" s="277" t="s">
        <v>87</v>
      </c>
      <c r="B81" s="297">
        <f ca="1">OFFSET('Tinh hinh tai chinh'!$BL65,0,'THTC in'!$D$7 - 1)</f>
        <v>0</v>
      </c>
      <c r="C81" s="278">
        <f>'Tinh hinh tai chinh'!BK65</f>
        <v>0</v>
      </c>
    </row>
    <row r="82" spans="1:4" s="261" customFormat="1" x14ac:dyDescent="0.25">
      <c r="A82" s="277"/>
      <c r="B82" s="278"/>
      <c r="C82" s="278"/>
    </row>
    <row r="83" spans="1:4" s="261" customFormat="1" x14ac:dyDescent="0.25">
      <c r="A83" s="279" t="s">
        <v>88</v>
      </c>
      <c r="B83" s="288">
        <f t="shared" ref="B83:C83" ca="1" si="6">SUM(B84:B85)</f>
        <v>8008082927</v>
      </c>
      <c r="C83" s="288">
        <f t="shared" si="6"/>
        <v>1426085050</v>
      </c>
    </row>
    <row r="84" spans="1:4" s="261" customFormat="1" ht="18" customHeight="1" x14ac:dyDescent="0.25">
      <c r="A84" s="302" t="s">
        <v>89</v>
      </c>
      <c r="B84" s="278">
        <f ca="1">OFFSET('Tinh hinh tai chinh'!$BL67,0,'THTC in'!$D$7 - 1)</f>
        <v>0</v>
      </c>
      <c r="C84" s="278">
        <f>'Tinh hinh tai chinh'!BK67</f>
        <v>0</v>
      </c>
    </row>
    <row r="85" spans="1:4" s="261" customFormat="1" ht="18" customHeight="1" x14ac:dyDescent="0.25">
      <c r="A85" s="277" t="s">
        <v>90</v>
      </c>
      <c r="B85" s="278">
        <f ca="1">OFFSET('Tinh hinh tai chinh'!$BL68,0,'THTC in'!$D$7 - 1)</f>
        <v>8008082927</v>
      </c>
      <c r="C85" s="278">
        <f>'Tinh hinh tai chinh'!BK68</f>
        <v>1426085050</v>
      </c>
      <c r="D85" s="260"/>
    </row>
    <row r="86" spans="1:4" x14ac:dyDescent="0.25">
      <c r="A86" s="277"/>
      <c r="B86" s="278"/>
      <c r="C86" s="278"/>
    </row>
    <row r="87" spans="1:4" x14ac:dyDescent="0.25">
      <c r="A87" s="279" t="s">
        <v>91</v>
      </c>
      <c r="B87" s="280">
        <f t="shared" ref="B87" ca="1" si="7">SUM(B88:B92)</f>
        <v>0</v>
      </c>
      <c r="C87" s="280">
        <f>SUM(C88:C93)</f>
        <v>0</v>
      </c>
    </row>
    <row r="88" spans="1:4" ht="18" customHeight="1" x14ac:dyDescent="0.25">
      <c r="A88" s="277" t="s">
        <v>92</v>
      </c>
      <c r="B88" s="278">
        <f ca="1">OFFSET('Tinh hinh tai chinh'!$BL70,0,'THTC in'!$D$7 - 1)</f>
        <v>0</v>
      </c>
      <c r="C88" s="278">
        <f>'Tinh hinh tai chinh'!BK70</f>
        <v>0</v>
      </c>
    </row>
    <row r="89" spans="1:4" s="261" customFormat="1" ht="18" customHeight="1" x14ac:dyDescent="0.25">
      <c r="A89" s="277" t="s">
        <v>93</v>
      </c>
      <c r="B89" s="278">
        <f ca="1">OFFSET('Tinh hinh tai chinh'!$BL71,0,'THTC in'!$D$7 - 1)</f>
        <v>0</v>
      </c>
      <c r="C89" s="278">
        <f>'Tinh hinh tai chinh'!BK71</f>
        <v>0</v>
      </c>
    </row>
    <row r="90" spans="1:4" ht="18" customHeight="1" x14ac:dyDescent="0.25">
      <c r="A90" s="277" t="s">
        <v>94</v>
      </c>
      <c r="B90" s="278">
        <f ca="1">OFFSET('Tinh hinh tai chinh'!$BL72,0,'THTC in'!$D$7 - 1)</f>
        <v>0</v>
      </c>
      <c r="C90" s="278">
        <f>'Tinh hinh tai chinh'!BK72</f>
        <v>0</v>
      </c>
    </row>
    <row r="91" spans="1:4" ht="18" customHeight="1" x14ac:dyDescent="0.25">
      <c r="A91" s="282" t="s">
        <v>95</v>
      </c>
      <c r="B91" s="278">
        <f ca="1">OFFSET('Tinh hinh tai chinh'!$BL73,0,'THTC in'!$D$7 - 1)</f>
        <v>0</v>
      </c>
      <c r="C91" s="278">
        <f>'Tinh hinh tai chinh'!BK73</f>
        <v>0</v>
      </c>
    </row>
    <row r="92" spans="1:4" ht="18" customHeight="1" x14ac:dyDescent="0.25">
      <c r="A92" s="282" t="s">
        <v>96</v>
      </c>
      <c r="B92" s="278">
        <f ca="1">OFFSET('Tinh hinh tai chinh'!$BL74,0,'THTC in'!$D$7 - 1)</f>
        <v>0</v>
      </c>
      <c r="C92" s="278">
        <f>'Tinh hinh tai chinh'!BK74</f>
        <v>0</v>
      </c>
    </row>
    <row r="93" spans="1:4" ht="18" customHeight="1" x14ac:dyDescent="0.25">
      <c r="A93" s="282" t="s">
        <v>97</v>
      </c>
      <c r="B93" s="278">
        <f ca="1">OFFSET('Tinh hinh tai chinh'!$BL75,0,'THTC in'!$D$7 - 1)</f>
        <v>0</v>
      </c>
      <c r="C93" s="278">
        <f>'Tinh hinh tai chinh'!BK75</f>
        <v>0</v>
      </c>
    </row>
    <row r="94" spans="1:4" x14ac:dyDescent="0.25">
      <c r="A94" s="282"/>
      <c r="B94" s="278"/>
      <c r="C94" s="278"/>
    </row>
    <row r="95" spans="1:4" x14ac:dyDescent="0.25">
      <c r="A95" s="279" t="s">
        <v>98</v>
      </c>
      <c r="B95" s="280">
        <f t="shared" ref="B95:C95" ca="1" si="8">SUM(B96:B99)</f>
        <v>2080297320</v>
      </c>
      <c r="C95" s="280">
        <f t="shared" si="8"/>
        <v>1992826605</v>
      </c>
    </row>
    <row r="96" spans="1:4" ht="18" customHeight="1" x14ac:dyDescent="0.25">
      <c r="A96" s="277" t="s">
        <v>99</v>
      </c>
      <c r="B96" s="278">
        <f ca="1">OFFSET('Tinh hinh tai chinh'!$BL77,0,'THTC in'!$D$7 - 1)</f>
        <v>2080297320</v>
      </c>
      <c r="C96" s="278">
        <f>'Tinh hinh tai chinh'!BK77</f>
        <v>1992826605</v>
      </c>
    </row>
    <row r="97" spans="1:5" s="261" customFormat="1" ht="18" customHeight="1" x14ac:dyDescent="0.25">
      <c r="A97" s="277" t="s">
        <v>100</v>
      </c>
      <c r="B97" s="278">
        <f ca="1">OFFSET('Tinh hinh tai chinh'!$BL78,0,'THTC in'!$D$7 - 1)</f>
        <v>0</v>
      </c>
      <c r="C97" s="278">
        <f>'Tinh hinh tai chinh'!BK78</f>
        <v>0</v>
      </c>
    </row>
    <row r="98" spans="1:5" ht="18" customHeight="1" x14ac:dyDescent="0.25">
      <c r="A98" s="277" t="s">
        <v>101</v>
      </c>
      <c r="B98" s="278">
        <f ca="1">OFFSET('Tinh hinh tai chinh'!$BL79,0,'THTC in'!$D$7 - 1)</f>
        <v>0</v>
      </c>
      <c r="C98" s="278">
        <f>'Tinh hinh tai chinh'!BK79</f>
        <v>0</v>
      </c>
    </row>
    <row r="99" spans="1:5" ht="18" customHeight="1" x14ac:dyDescent="0.25">
      <c r="A99" s="303" t="s">
        <v>102</v>
      </c>
      <c r="B99" s="278">
        <f ca="1">OFFSET('Tinh hinh tai chinh'!$BL80,0,'THTC in'!$D$7 - 1)</f>
        <v>0</v>
      </c>
      <c r="C99" s="278">
        <f>'Tinh hinh tai chinh'!BK80</f>
        <v>0</v>
      </c>
    </row>
    <row r="100" spans="1:5" ht="21.75" customHeight="1" x14ac:dyDescent="0.25">
      <c r="A100" s="304" t="s">
        <v>103</v>
      </c>
      <c r="B100" s="305">
        <f ca="1">B8+B47</f>
        <v>47617182958</v>
      </c>
      <c r="C100" s="305">
        <f>C8+C47</f>
        <v>37213708449</v>
      </c>
      <c r="E100" s="299"/>
    </row>
    <row r="101" spans="1:5" ht="16.5" customHeight="1" x14ac:dyDescent="0.25">
      <c r="B101" s="306"/>
      <c r="C101" s="306"/>
    </row>
    <row r="102" spans="1:5" s="261" customFormat="1" ht="30" customHeight="1" x14ac:dyDescent="0.25">
      <c r="A102" s="268" t="s">
        <v>104</v>
      </c>
      <c r="B102" s="293" t="str">
        <f ca="1">B7</f>
        <v>Số cuối tháng 5</v>
      </c>
      <c r="C102" s="293" t="str">
        <f>C7</f>
        <v>Số dư đầu năm 2026</v>
      </c>
    </row>
    <row r="103" spans="1:5" s="276" customFormat="1" x14ac:dyDescent="0.25">
      <c r="A103" s="307" t="s">
        <v>105</v>
      </c>
      <c r="B103" s="308">
        <f t="shared" ref="B103:C103" ca="1" si="9">B104+B121</f>
        <v>60961928376</v>
      </c>
      <c r="C103" s="308">
        <f t="shared" si="9"/>
        <v>49077997510</v>
      </c>
    </row>
    <row r="104" spans="1:5" s="261" customFormat="1" ht="18" customHeight="1" x14ac:dyDescent="0.25">
      <c r="A104" s="279" t="s">
        <v>106</v>
      </c>
      <c r="B104" s="280">
        <f t="shared" ref="B104:C104" ca="1" si="10">SUM(B105:B119)</f>
        <v>28191928376</v>
      </c>
      <c r="C104" s="280">
        <f t="shared" si="10"/>
        <v>16307997510</v>
      </c>
    </row>
    <row r="105" spans="1:5" ht="18" customHeight="1" x14ac:dyDescent="0.25">
      <c r="A105" s="277" t="s">
        <v>107</v>
      </c>
      <c r="B105" s="278">
        <f ca="1">OFFSET('Tinh hinh tai chinh'!$BL84,0,'THTC in'!$D$7 - 1)</f>
        <v>10757968483</v>
      </c>
      <c r="C105" s="278">
        <f>'Tinh hinh tai chinh'!BK84</f>
        <v>4966936658</v>
      </c>
      <c r="D105" s="284"/>
    </row>
    <row r="106" spans="1:5" ht="18" customHeight="1" x14ac:dyDescent="0.25">
      <c r="A106" s="277" t="s">
        <v>108</v>
      </c>
      <c r="B106" s="278">
        <f ca="1">OFFSET('Tinh hinh tai chinh'!$BL85,0,'THTC in'!$D$7 - 1)</f>
        <v>15043437927</v>
      </c>
      <c r="C106" s="278">
        <f>'Tinh hinh tai chinh'!BK85</f>
        <v>9621393836</v>
      </c>
    </row>
    <row r="107" spans="1:5" ht="18" customHeight="1" x14ac:dyDescent="0.25">
      <c r="A107" s="277" t="s">
        <v>109</v>
      </c>
      <c r="B107" s="278">
        <f ca="1">OFFSET('Tinh hinh tai chinh'!$BL86,0,'THTC in'!$D$7 - 1)</f>
        <v>0</v>
      </c>
      <c r="C107" s="278">
        <f>'Tinh hinh tai chinh'!BK86</f>
        <v>0</v>
      </c>
    </row>
    <row r="108" spans="1:5" ht="18" customHeight="1" x14ac:dyDescent="0.25">
      <c r="A108" s="277" t="s">
        <v>110</v>
      </c>
      <c r="B108" s="278">
        <f ca="1">OFFSET('Tinh hinh tai chinh'!$BL87,0,'THTC in'!$D$7 - 1)</f>
        <v>707434273</v>
      </c>
      <c r="C108" s="278">
        <f>'Tinh hinh tai chinh'!BK87</f>
        <v>667259946</v>
      </c>
    </row>
    <row r="109" spans="1:5" ht="18" customHeight="1" x14ac:dyDescent="0.25">
      <c r="A109" s="277" t="s">
        <v>111</v>
      </c>
      <c r="B109" s="278">
        <f ca="1">OFFSET('Tinh hinh tai chinh'!$BL88,0,'THTC in'!$D$7 - 1)</f>
        <v>566718152</v>
      </c>
      <c r="C109" s="278">
        <f>'Tinh hinh tai chinh'!BK88</f>
        <v>540394414</v>
      </c>
    </row>
    <row r="110" spans="1:5" ht="18" customHeight="1" x14ac:dyDescent="0.25">
      <c r="A110" s="277" t="s">
        <v>112</v>
      </c>
      <c r="B110" s="278">
        <f ca="1">OFFSET('Tinh hinh tai chinh'!$BL89,0,'THTC in'!$D$7 - 1)</f>
        <v>493880329</v>
      </c>
      <c r="C110" s="278">
        <f>'Tinh hinh tai chinh'!BK89</f>
        <v>433434727</v>
      </c>
    </row>
    <row r="111" spans="1:5" ht="18" customHeight="1" x14ac:dyDescent="0.25">
      <c r="A111" s="277" t="s">
        <v>113</v>
      </c>
      <c r="B111" s="278">
        <f ca="1">OFFSET('Tinh hinh tai chinh'!$BL90,0,'THTC in'!$D$7 - 1)</f>
        <v>0</v>
      </c>
      <c r="C111" s="278">
        <f>'Tinh hinh tai chinh'!BK90</f>
        <v>0</v>
      </c>
    </row>
    <row r="112" spans="1:5" ht="18" customHeight="1" x14ac:dyDescent="0.25">
      <c r="A112" s="277" t="s">
        <v>114</v>
      </c>
      <c r="B112" s="278">
        <f ca="1">OFFSET('Tinh hinh tai chinh'!$BL91,0,'THTC in'!$D$7 - 1)</f>
        <v>0</v>
      </c>
      <c r="C112" s="278">
        <f>'Tinh hinh tai chinh'!BK91</f>
        <v>0</v>
      </c>
    </row>
    <row r="113" spans="1:3" ht="18" customHeight="1" x14ac:dyDescent="0.25">
      <c r="A113" s="282" t="s">
        <v>115</v>
      </c>
      <c r="B113" s="278">
        <f ca="1">OFFSET('Tinh hinh tai chinh'!$BL92,0,'THTC in'!$D$7 - 1)</f>
        <v>0</v>
      </c>
      <c r="C113" s="278">
        <f>'Tinh hinh tai chinh'!BK92</f>
        <v>0</v>
      </c>
    </row>
    <row r="114" spans="1:3" ht="18" customHeight="1" x14ac:dyDescent="0.25">
      <c r="A114" s="277" t="s">
        <v>116</v>
      </c>
      <c r="B114" s="278">
        <f ca="1">OFFSET('Tinh hinh tai chinh'!$BL93,0,'THTC in'!$D$7 - 1)</f>
        <v>622489212</v>
      </c>
      <c r="C114" s="278">
        <f>'Tinh hinh tai chinh'!BK93</f>
        <v>78577929</v>
      </c>
    </row>
    <row r="115" spans="1:3" ht="18" customHeight="1" x14ac:dyDescent="0.25">
      <c r="A115" s="277" t="s">
        <v>117</v>
      </c>
      <c r="B115" s="278">
        <f ca="1">OFFSET('Tinh hinh tai chinh'!$BL94,0,'THTC in'!$D$7 - 1)</f>
        <v>0</v>
      </c>
      <c r="C115" s="278">
        <f>'Tinh hinh tai chinh'!BK94</f>
        <v>0</v>
      </c>
    </row>
    <row r="116" spans="1:3" ht="18" customHeight="1" x14ac:dyDescent="0.25">
      <c r="A116" s="277" t="s">
        <v>118</v>
      </c>
      <c r="B116" s="278">
        <f ca="1">OFFSET('Tinh hinh tai chinh'!$BL95,0,'THTC in'!$D$7 - 1)</f>
        <v>0</v>
      </c>
      <c r="C116" s="278">
        <f>'Tinh hinh tai chinh'!BK95</f>
        <v>0</v>
      </c>
    </row>
    <row r="117" spans="1:3" ht="18" customHeight="1" x14ac:dyDescent="0.25">
      <c r="A117" s="277" t="s">
        <v>119</v>
      </c>
      <c r="B117" s="278">
        <f ca="1">OFFSET('Tinh hinh tai chinh'!$BL96,0,'THTC in'!$D$7 - 1)</f>
        <v>0</v>
      </c>
      <c r="C117" s="278">
        <f>'Tinh hinh tai chinh'!BK96</f>
        <v>0</v>
      </c>
    </row>
    <row r="118" spans="1:3" ht="18" customHeight="1" x14ac:dyDescent="0.25">
      <c r="A118" s="277" t="s">
        <v>120</v>
      </c>
      <c r="B118" s="278">
        <f ca="1">OFFSET('Tinh hinh tai chinh'!$BL97,0,'THTC in'!$D$7 - 1)</f>
        <v>0</v>
      </c>
      <c r="C118" s="278">
        <f>'Tinh hinh tai chinh'!BK97</f>
        <v>0</v>
      </c>
    </row>
    <row r="119" spans="1:3" ht="18" customHeight="1" x14ac:dyDescent="0.25">
      <c r="A119" s="277" t="s">
        <v>121</v>
      </c>
      <c r="B119" s="278">
        <f ca="1">OFFSET('Tinh hinh tai chinh'!$BL98,0,'THTC in'!$D$7 - 1)</f>
        <v>0</v>
      </c>
      <c r="C119" s="278">
        <f>'Tinh hinh tai chinh'!BK98</f>
        <v>0</v>
      </c>
    </row>
    <row r="120" spans="1:3" ht="9.75" customHeight="1" x14ac:dyDescent="0.25">
      <c r="A120" s="277"/>
      <c r="B120" s="278"/>
      <c r="C120" s="278"/>
    </row>
    <row r="121" spans="1:3" s="261" customFormat="1" ht="14.25" customHeight="1" x14ac:dyDescent="0.25">
      <c r="A121" s="279" t="s">
        <v>122</v>
      </c>
      <c r="B121" s="280">
        <f t="shared" ref="B121:C121" ca="1" si="11">SUM(B122:B135)</f>
        <v>32770000000</v>
      </c>
      <c r="C121" s="280">
        <f t="shared" si="11"/>
        <v>32770000000</v>
      </c>
    </row>
    <row r="122" spans="1:3" ht="18.75" customHeight="1" x14ac:dyDescent="0.25">
      <c r="A122" s="277" t="s">
        <v>123</v>
      </c>
      <c r="B122" s="278">
        <f ca="1">OFFSET('Tinh hinh tai chinh'!$BL100,0,'THTC in'!$D$7 - 1)</f>
        <v>0</v>
      </c>
      <c r="C122" s="278">
        <f>'Tinh hinh tai chinh'!BK100</f>
        <v>0</v>
      </c>
    </row>
    <row r="123" spans="1:3" ht="18" customHeight="1" x14ac:dyDescent="0.25">
      <c r="A123" s="277" t="s">
        <v>124</v>
      </c>
      <c r="B123" s="278">
        <f ca="1">OFFSET('Tinh hinh tai chinh'!$BL101,0,'THTC in'!$D$7 - 1)</f>
        <v>0</v>
      </c>
      <c r="C123" s="278">
        <f>'Tinh hinh tai chinh'!BK101</f>
        <v>0</v>
      </c>
    </row>
    <row r="124" spans="1:3" ht="18" customHeight="1" x14ac:dyDescent="0.25">
      <c r="A124" s="277" t="s">
        <v>125</v>
      </c>
      <c r="B124" s="278">
        <f ca="1">OFFSET('Tinh hinh tai chinh'!$BL102,0,'THTC in'!$D$7 - 1)</f>
        <v>0</v>
      </c>
      <c r="C124" s="278">
        <f>'Tinh hinh tai chinh'!BK102</f>
        <v>0</v>
      </c>
    </row>
    <row r="125" spans="1:3" ht="18" customHeight="1" x14ac:dyDescent="0.25">
      <c r="A125" s="277" t="s">
        <v>126</v>
      </c>
      <c r="B125" s="278">
        <f ca="1">OFFSET('Tinh hinh tai chinh'!$BL103,0,'THTC in'!$D$7 - 1)</f>
        <v>0</v>
      </c>
      <c r="C125" s="278">
        <f>'Tinh hinh tai chinh'!BK103</f>
        <v>0</v>
      </c>
    </row>
    <row r="126" spans="1:3" ht="18" customHeight="1" x14ac:dyDescent="0.25">
      <c r="A126" s="277" t="s">
        <v>127</v>
      </c>
      <c r="B126" s="278">
        <f ca="1">OFFSET('Tinh hinh tai chinh'!$BL104,0,'THTC in'!$D$7 - 1)</f>
        <v>0</v>
      </c>
      <c r="C126" s="278">
        <f>'Tinh hinh tai chinh'!BK104</f>
        <v>0</v>
      </c>
    </row>
    <row r="127" spans="1:3" ht="18" customHeight="1" x14ac:dyDescent="0.25">
      <c r="A127" s="277" t="s">
        <v>128</v>
      </c>
      <c r="B127" s="278">
        <f ca="1">OFFSET('Tinh hinh tai chinh'!$BL105,0,'THTC in'!$D$7 - 1)</f>
        <v>0</v>
      </c>
      <c r="C127" s="278">
        <f>'Tinh hinh tai chinh'!BK105</f>
        <v>0</v>
      </c>
    </row>
    <row r="128" spans="1:3" ht="18" customHeight="1" x14ac:dyDescent="0.25">
      <c r="A128" s="277" t="s">
        <v>129</v>
      </c>
      <c r="B128" s="278">
        <f ca="1">OFFSET('Tinh hinh tai chinh'!$BL106,0,'THTC in'!$D$7 - 1)</f>
        <v>0</v>
      </c>
      <c r="C128" s="278">
        <f>'Tinh hinh tai chinh'!BK106</f>
        <v>0</v>
      </c>
    </row>
    <row r="129" spans="1:3" ht="18" customHeight="1" x14ac:dyDescent="0.25">
      <c r="A129" s="277" t="s">
        <v>130</v>
      </c>
      <c r="B129" s="278">
        <f ca="1">OFFSET('Tinh hinh tai chinh'!$BL107,0,'THTC in'!$D$7 - 1)</f>
        <v>0</v>
      </c>
      <c r="C129" s="278">
        <f>'Tinh hinh tai chinh'!BK107</f>
        <v>0</v>
      </c>
    </row>
    <row r="130" spans="1:3" ht="18" customHeight="1" x14ac:dyDescent="0.25">
      <c r="A130" s="277" t="s">
        <v>131</v>
      </c>
      <c r="B130" s="278">
        <f ca="1">OFFSET('Tinh hinh tai chinh'!$BL108,0,'THTC in'!$D$7 - 1)</f>
        <v>32770000000</v>
      </c>
      <c r="C130" s="278">
        <f>'Tinh hinh tai chinh'!BK108</f>
        <v>32770000000</v>
      </c>
    </row>
    <row r="131" spans="1:3" ht="18" customHeight="1" x14ac:dyDescent="0.25">
      <c r="A131" s="277" t="s">
        <v>132</v>
      </c>
      <c r="B131" s="278">
        <f ca="1">OFFSET('Tinh hinh tai chinh'!$BL109,0,'THTC in'!$D$7 - 1)</f>
        <v>0</v>
      </c>
      <c r="C131" s="278">
        <f>'Tinh hinh tai chinh'!BK109</f>
        <v>0</v>
      </c>
    </row>
    <row r="132" spans="1:3" ht="18" customHeight="1" x14ac:dyDescent="0.25">
      <c r="A132" s="277" t="s">
        <v>133</v>
      </c>
      <c r="B132" s="278">
        <f ca="1">OFFSET('Tinh hinh tai chinh'!$BL110,0,'THTC in'!$D$7 - 1)</f>
        <v>0</v>
      </c>
      <c r="C132" s="278">
        <f>'Tinh hinh tai chinh'!BK110</f>
        <v>0</v>
      </c>
    </row>
    <row r="133" spans="1:3" ht="18" customHeight="1" x14ac:dyDescent="0.25">
      <c r="A133" s="277" t="s">
        <v>134</v>
      </c>
      <c r="B133" s="278">
        <f ca="1">OFFSET('Tinh hinh tai chinh'!$BL111,0,'THTC in'!$D$7 - 1)</f>
        <v>0</v>
      </c>
      <c r="C133" s="278">
        <f>'Tinh hinh tai chinh'!BK111</f>
        <v>0</v>
      </c>
    </row>
    <row r="134" spans="1:3" ht="18" customHeight="1" x14ac:dyDescent="0.25">
      <c r="A134" s="277" t="s">
        <v>135</v>
      </c>
      <c r="B134" s="278">
        <f ca="1">OFFSET('Tinh hinh tai chinh'!$BL112,0,'THTC in'!$D$7 - 1)</f>
        <v>0</v>
      </c>
      <c r="C134" s="278">
        <f>'Tinh hinh tai chinh'!BK112</f>
        <v>0</v>
      </c>
    </row>
    <row r="135" spans="1:3" ht="18" customHeight="1" x14ac:dyDescent="0.25">
      <c r="A135" s="303" t="s">
        <v>136</v>
      </c>
      <c r="B135" s="290">
        <f ca="1">OFFSET('Tinh hinh tai chinh'!$BL113,0,'THTC in'!$D$7 - 1)</f>
        <v>0</v>
      </c>
      <c r="C135" s="290">
        <f>'Tinh hinh tai chinh'!BK113</f>
        <v>0</v>
      </c>
    </row>
    <row r="136" spans="1:3" x14ac:dyDescent="0.25">
      <c r="A136" s="291"/>
      <c r="B136" s="309"/>
      <c r="C136" s="310"/>
    </row>
    <row r="137" spans="1:3" s="261" customFormat="1" ht="30" customHeight="1" x14ac:dyDescent="0.25">
      <c r="A137" s="268" t="s">
        <v>104</v>
      </c>
      <c r="B137" s="293" t="str">
        <f ca="1">B7</f>
        <v>Số cuối tháng 5</v>
      </c>
      <c r="C137" s="293" t="str">
        <f>C7</f>
        <v>Số dư đầu năm 2026</v>
      </c>
    </row>
    <row r="138" spans="1:3" s="276" customFormat="1" x14ac:dyDescent="0.25">
      <c r="A138" s="307" t="s">
        <v>137</v>
      </c>
      <c r="B138" s="308">
        <f ca="1">B139+SUM(B142:B150)</f>
        <v>-13344745418</v>
      </c>
      <c r="C138" s="308">
        <f>C139+SUM(C142:C150)</f>
        <v>-11864289061</v>
      </c>
    </row>
    <row r="139" spans="1:3" ht="18" customHeight="1" x14ac:dyDescent="0.25">
      <c r="A139" s="277" t="s">
        <v>138</v>
      </c>
      <c r="B139" s="311">
        <f ca="1">B140</f>
        <v>40000000000</v>
      </c>
      <c r="C139" s="311">
        <f>SUM(C140:C141)</f>
        <v>40000000000</v>
      </c>
    </row>
    <row r="140" spans="1:3" ht="18" customHeight="1" x14ac:dyDescent="0.25">
      <c r="A140" s="277" t="s">
        <v>139</v>
      </c>
      <c r="B140" s="311">
        <f ca="1">OFFSET('Tinh hinh tai chinh'!$BL116,0,'THTC in'!$D$7 - 1)</f>
        <v>40000000000</v>
      </c>
      <c r="C140" s="311">
        <f>'Tinh hinh tai chinh'!BK116</f>
        <v>40000000000</v>
      </c>
    </row>
    <row r="141" spans="1:3" ht="18" customHeight="1" x14ac:dyDescent="0.25">
      <c r="A141" s="277" t="s">
        <v>140</v>
      </c>
      <c r="B141" s="311">
        <f ca="1">OFFSET('Tinh hinh tai chinh'!$BL117,0,'THTC in'!$D$7 - 1)</f>
        <v>0</v>
      </c>
      <c r="C141" s="311">
        <f>'Tinh hinh tai chinh'!BK117</f>
        <v>0</v>
      </c>
    </row>
    <row r="142" spans="1:3" ht="18" customHeight="1" x14ac:dyDescent="0.25">
      <c r="A142" s="277" t="s">
        <v>141</v>
      </c>
      <c r="B142" s="311">
        <f ca="1">OFFSET('Tinh hinh tai chinh'!$BL118,0,'THTC in'!$D$7 - 1)</f>
        <v>0</v>
      </c>
      <c r="C142" s="311">
        <f>'Tinh hinh tai chinh'!BK118</f>
        <v>0</v>
      </c>
    </row>
    <row r="143" spans="1:3" ht="18" customHeight="1" x14ac:dyDescent="0.25">
      <c r="A143" s="277" t="s">
        <v>142</v>
      </c>
      <c r="B143" s="311">
        <f ca="1">OFFSET('Tinh hinh tai chinh'!$BL119,0,'THTC in'!$D$7 - 1)</f>
        <v>0</v>
      </c>
      <c r="C143" s="311">
        <f>'Tinh hinh tai chinh'!BK119</f>
        <v>0</v>
      </c>
    </row>
    <row r="144" spans="1:3" ht="18" customHeight="1" x14ac:dyDescent="0.25">
      <c r="A144" s="277" t="s">
        <v>143</v>
      </c>
      <c r="B144" s="311">
        <f ca="1">OFFSET('Tinh hinh tai chinh'!$BL120,0,'THTC in'!$D$7 - 1)</f>
        <v>0</v>
      </c>
      <c r="C144" s="311">
        <f>'Tinh hinh tai chinh'!BK120</f>
        <v>0</v>
      </c>
    </row>
    <row r="145" spans="1:5" ht="18" customHeight="1" x14ac:dyDescent="0.25">
      <c r="A145" s="277" t="s">
        <v>144</v>
      </c>
      <c r="B145" s="311">
        <f ca="1">OFFSET('Tinh hinh tai chinh'!$BL121,0,'THTC in'!$D$7 - 1)</f>
        <v>0</v>
      </c>
      <c r="C145" s="311">
        <f>'Tinh hinh tai chinh'!BK121</f>
        <v>0</v>
      </c>
    </row>
    <row r="146" spans="1:5" ht="18" customHeight="1" x14ac:dyDescent="0.25">
      <c r="A146" s="277" t="s">
        <v>145</v>
      </c>
      <c r="B146" s="311">
        <f ca="1">OFFSET('Tinh hinh tai chinh'!$BL122,0,'THTC in'!$D$7 - 1)</f>
        <v>0</v>
      </c>
      <c r="C146" s="311">
        <f>'Tinh hinh tai chinh'!BK122</f>
        <v>0</v>
      </c>
    </row>
    <row r="147" spans="1:5" ht="18" customHeight="1" x14ac:dyDescent="0.25">
      <c r="A147" s="277" t="s">
        <v>146</v>
      </c>
      <c r="B147" s="311">
        <f ca="1">OFFSET('Tinh hinh tai chinh'!$BL123,0,'THTC in'!$D$7 - 1)</f>
        <v>0</v>
      </c>
      <c r="C147" s="311">
        <f>'Tinh hinh tai chinh'!BK123</f>
        <v>0</v>
      </c>
    </row>
    <row r="148" spans="1:5" ht="18" customHeight="1" x14ac:dyDescent="0.25">
      <c r="A148" s="277" t="s">
        <v>147</v>
      </c>
      <c r="B148" s="311">
        <f ca="1">OFFSET('Tinh hinh tai chinh'!$BL124,0,'THTC in'!$D$7 - 1)</f>
        <v>0</v>
      </c>
      <c r="C148" s="311">
        <f>'Tinh hinh tai chinh'!BK124</f>
        <v>0</v>
      </c>
    </row>
    <row r="149" spans="1:5" ht="18" customHeight="1" x14ac:dyDescent="0.25">
      <c r="A149" s="277" t="s">
        <v>148</v>
      </c>
      <c r="B149" s="311">
        <f ca="1">OFFSET('Tinh hinh tai chinh'!$BL125,0,'THTC in'!$D$7 - 1)</f>
        <v>0</v>
      </c>
      <c r="C149" s="311">
        <f>'Tinh hinh tai chinh'!BK125</f>
        <v>0</v>
      </c>
    </row>
    <row r="150" spans="1:5" ht="18" customHeight="1" x14ac:dyDescent="0.25">
      <c r="A150" s="277" t="s">
        <v>149</v>
      </c>
      <c r="B150" s="312">
        <f t="shared" ref="B150" ca="1" si="12">B151+B152</f>
        <v>-53344745418</v>
      </c>
      <c r="C150" s="312">
        <f>C151+C152</f>
        <v>-51864289061</v>
      </c>
      <c r="D150" s="313"/>
      <c r="E150" s="299"/>
    </row>
    <row r="151" spans="1:5" ht="18" customHeight="1" x14ac:dyDescent="0.25">
      <c r="A151" s="314" t="s">
        <v>150</v>
      </c>
      <c r="B151" s="315">
        <f ca="1">OFFSET('Tinh hinh tai chinh'!$BL127,0,'THTC in'!$D$7 - 1)</f>
        <v>-53508982120</v>
      </c>
      <c r="C151" s="315">
        <f>'Tinh hinh tai chinh'!BK127</f>
        <v>-51407772096</v>
      </c>
      <c r="D151" s="313"/>
    </row>
    <row r="152" spans="1:5" ht="18" customHeight="1" x14ac:dyDescent="0.25">
      <c r="A152" s="314" t="s">
        <v>151</v>
      </c>
      <c r="B152" s="315">
        <f ca="1">OFFSET('Tinh hinh tai chinh'!$BL128,0,'THTC in'!$D$7 - 1)</f>
        <v>164236702</v>
      </c>
      <c r="C152" s="315">
        <f>'Tinh hinh tai chinh'!BK128</f>
        <v>-456516965</v>
      </c>
      <c r="D152" s="313"/>
    </row>
    <row r="153" spans="1:5" x14ac:dyDescent="0.25">
      <c r="A153" s="316"/>
      <c r="B153" s="296"/>
      <c r="C153" s="296"/>
    </row>
    <row r="154" spans="1:5" ht="22.5" customHeight="1" x14ac:dyDescent="0.25">
      <c r="A154" s="304" t="s">
        <v>152</v>
      </c>
      <c r="B154" s="305">
        <f ca="1">B138+B103</f>
        <v>47617182958</v>
      </c>
      <c r="C154" s="305">
        <f>C103+C138</f>
        <v>37213708449</v>
      </c>
      <c r="E154" s="299"/>
    </row>
    <row r="155" spans="1:5" x14ac:dyDescent="0.25">
      <c r="B155" s="317">
        <f ca="1">+B154-B100</f>
        <v>0</v>
      </c>
      <c r="C155" s="317">
        <f>+C154-C100</f>
        <v>0</v>
      </c>
    </row>
    <row r="156" spans="1:5" x14ac:dyDescent="0.25">
      <c r="B156" s="317">
        <v>0</v>
      </c>
      <c r="C156" s="317"/>
    </row>
    <row r="157" spans="1:5" x14ac:dyDescent="0.25">
      <c r="B157" s="654" t="str">
        <f>'KQKD in'!F32</f>
        <v>Lập, ngày 31 tháng 03 năm 2026</v>
      </c>
      <c r="C157" s="654"/>
    </row>
    <row r="158" spans="1:5" ht="6.75" customHeight="1" x14ac:dyDescent="0.25">
      <c r="B158" s="318"/>
      <c r="C158" s="318"/>
    </row>
    <row r="159" spans="1:5" x14ac:dyDescent="0.25">
      <c r="A159" s="319" t="s">
        <v>9</v>
      </c>
      <c r="B159" s="655" t="str">
        <f>'Thong tin'!B18</f>
        <v>GIÁM ĐỐC TÀI CHÍNH</v>
      </c>
      <c r="C159" s="655"/>
    </row>
    <row r="160" spans="1:5" x14ac:dyDescent="0.25">
      <c r="A160" s="318"/>
      <c r="B160" s="264"/>
      <c r="C160" s="264"/>
    </row>
    <row r="161" spans="1:3" x14ac:dyDescent="0.25">
      <c r="A161" s="318"/>
      <c r="B161" s="313"/>
      <c r="C161" s="264"/>
    </row>
    <row r="162" spans="1:3" x14ac:dyDescent="0.25">
      <c r="A162" s="318"/>
      <c r="B162" s="264"/>
      <c r="C162" s="264"/>
    </row>
    <row r="163" spans="1:3" x14ac:dyDescent="0.25">
      <c r="A163" s="318"/>
      <c r="B163" s="264"/>
      <c r="C163" s="264"/>
    </row>
    <row r="164" spans="1:3" x14ac:dyDescent="0.25">
      <c r="A164" s="318"/>
      <c r="B164" s="264"/>
      <c r="C164" s="264"/>
    </row>
    <row r="165" spans="1:3" ht="15.75" x14ac:dyDescent="0.25">
      <c r="A165" s="320"/>
      <c r="B165" s="264"/>
      <c r="C165" s="264"/>
    </row>
    <row r="166" spans="1:3" x14ac:dyDescent="0.25">
      <c r="A166" s="318" t="str">
        <f>'Thong tin'!B13</f>
        <v>Trần Thị Hương</v>
      </c>
      <c r="B166" s="654" t="s">
        <v>153</v>
      </c>
      <c r="C166" s="654"/>
    </row>
    <row r="167" spans="1:3" x14ac:dyDescent="0.25">
      <c r="B167" s="264"/>
      <c r="C167" s="264"/>
    </row>
    <row r="168" spans="1:3" x14ac:dyDescent="0.25">
      <c r="B168" s="264"/>
      <c r="C168" s="264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0653-D059-4FDD-946A-B01E645237E4}">
  <sheetPr>
    <tabColor theme="8" tint="0.59999389629810485"/>
  </sheetPr>
  <dimension ref="A1:G48"/>
  <sheetViews>
    <sheetView showGridLines="0" showZeros="0" zoomScaleNormal="100" workbookViewId="0">
      <pane xSplit="3" ySplit="9" topLeftCell="D10" activePane="bottomRight" state="frozen"/>
      <selection pane="topRight"/>
      <selection pane="bottomLeft"/>
      <selection pane="bottomRight" activeCell="D23" sqref="D23"/>
    </sheetView>
  </sheetViews>
  <sheetFormatPr defaultColWidth="9.140625" defaultRowHeight="15" x14ac:dyDescent="0.25"/>
  <cols>
    <col min="1" max="1" width="3.5703125" style="264" customWidth="1"/>
    <col min="2" max="2" width="21.7109375" style="264" customWidth="1"/>
    <col min="3" max="3" width="18.42578125" style="264" customWidth="1"/>
    <col min="4" max="4" width="14.28515625" style="299" customWidth="1"/>
    <col min="5" max="5" width="14.28515625" style="264" customWidth="1"/>
    <col min="6" max="6" width="15.140625" style="299" customWidth="1"/>
    <col min="7" max="7" width="15.140625" style="264" customWidth="1"/>
    <col min="8" max="8" width="5.85546875" style="264" customWidth="1"/>
    <col min="9" max="16384" width="9.140625" style="264"/>
  </cols>
  <sheetData>
    <row r="1" spans="1:7" ht="15.75" x14ac:dyDescent="0.25">
      <c r="A1" s="321" t="str">
        <f>'Thong tin'!A1</f>
        <v>CÔNG TY TNHH THU MUA PHẾ LIỆU ĐẠI LỘC</v>
      </c>
      <c r="B1" s="322"/>
      <c r="D1" s="264"/>
      <c r="E1" s="224"/>
      <c r="F1" s="264"/>
      <c r="G1" s="224"/>
    </row>
    <row r="2" spans="1:7" ht="16.5" thickBot="1" x14ac:dyDescent="0.3">
      <c r="A2" s="521" t="str">
        <f>Index!A2</f>
        <v>Địa chỉ:</v>
      </c>
      <c r="B2" s="262"/>
      <c r="C2" s="262"/>
      <c r="D2" s="262"/>
      <c r="E2" s="226"/>
      <c r="F2" s="262"/>
      <c r="G2" s="226"/>
    </row>
    <row r="3" spans="1:7" ht="15.75" x14ac:dyDescent="0.25">
      <c r="D3" s="264"/>
      <c r="E3" s="227"/>
      <c r="F3" s="264"/>
      <c r="G3" s="227"/>
    </row>
    <row r="4" spans="1:7" ht="18.75" customHeight="1" x14ac:dyDescent="0.3">
      <c r="A4" s="659" t="s">
        <v>154</v>
      </c>
      <c r="B4" s="659"/>
      <c r="C4" s="659"/>
      <c r="D4" s="659"/>
      <c r="E4" s="659"/>
      <c r="F4" s="659"/>
      <c r="G4" s="659"/>
    </row>
    <row r="5" spans="1:7" ht="15.75" x14ac:dyDescent="0.25">
      <c r="A5" s="660" t="str">
        <f>"Năm " &amp; 'Thong tin'!C6</f>
        <v>Năm 2026</v>
      </c>
      <c r="B5" s="660"/>
      <c r="C5" s="660"/>
      <c r="D5" s="660"/>
      <c r="E5" s="660"/>
      <c r="F5" s="660"/>
      <c r="G5" s="660"/>
    </row>
    <row r="6" spans="1:7" x14ac:dyDescent="0.25">
      <c r="E6" s="323"/>
      <c r="G6" s="324" t="s">
        <v>155</v>
      </c>
    </row>
    <row r="7" spans="1:7" ht="5.0999999999999996" customHeight="1" x14ac:dyDescent="0.25"/>
    <row r="8" spans="1:7" ht="19.5" customHeight="1" x14ac:dyDescent="0.25">
      <c r="A8" s="661" t="s">
        <v>156</v>
      </c>
      <c r="B8" s="662"/>
      <c r="C8" s="663"/>
      <c r="D8" s="667" t="str">
        <f ca="1">"Tháng "&amp;'Thong tin'!C9</f>
        <v>Tháng 5</v>
      </c>
      <c r="E8" s="668"/>
      <c r="F8" s="669" t="str">
        <f ca="1">"Lũy kế"&amp;" "&amp;'Thong tin'!C9&amp;" "&amp;"tháng"</f>
        <v>Lũy kế 5 tháng</v>
      </c>
      <c r="G8" s="670"/>
    </row>
    <row r="9" spans="1:7" ht="19.5" customHeight="1" x14ac:dyDescent="0.25">
      <c r="A9" s="664"/>
      <c r="B9" s="665"/>
      <c r="C9" s="666"/>
      <c r="D9" s="325" t="str">
        <f>"Năm " &amp; 'Thong tin'!C6</f>
        <v>Năm 2026</v>
      </c>
      <c r="E9" s="325" t="str">
        <f>"Năm " &amp; 'Thong tin'!C7</f>
        <v>Năm 2025</v>
      </c>
      <c r="F9" s="325" t="str">
        <f>"Năm " &amp; 'Thong tin'!C6</f>
        <v>Năm 2026</v>
      </c>
      <c r="G9" s="325" t="str">
        <f>"Năm " &amp; 'Thong tin'!C7</f>
        <v>Năm 2025</v>
      </c>
    </row>
    <row r="10" spans="1:7" ht="28.5" customHeight="1" x14ac:dyDescent="0.25">
      <c r="A10" s="326" t="s">
        <v>157</v>
      </c>
      <c r="B10" s="671" t="s">
        <v>158</v>
      </c>
      <c r="C10" s="672"/>
      <c r="D10" s="327">
        <f ca="1">OFFSET('Ket qua kinh doanh'!$BL5,0,'Thong tin'!$C$9 - 1)</f>
        <v>13143854160</v>
      </c>
      <c r="E10" s="327">
        <f ca="1">OFFSET('Ket qua kinh doanh'!$AZ5,0,'Thong tin'!$C$9 - 1)</f>
        <v>17582066937</v>
      </c>
      <c r="F10" s="327">
        <f ca="1">SUM(OFFSET('Ket qua kinh doanh'!$BL5,0,0,1,'Thong tin'!$C$9))</f>
        <v>62246190240</v>
      </c>
      <c r="G10" s="327">
        <f ca="1">SUM(OFFSET('Ket qua kinh doanh'!$AZ5,0,0,1,'Thong tin'!$C$9))</f>
        <v>62867420354</v>
      </c>
    </row>
    <row r="11" spans="1:7" ht="18" customHeight="1" x14ac:dyDescent="0.25">
      <c r="A11" s="328" t="s">
        <v>159</v>
      </c>
      <c r="B11" s="329" t="s">
        <v>160</v>
      </c>
      <c r="C11" s="330"/>
      <c r="D11" s="331">
        <f ca="1">OFFSET('Ket qua kinh doanh'!$BL6,0,'Thong tin'!$C$9 - 1)</f>
        <v>0</v>
      </c>
      <c r="E11" s="331">
        <f ca="1">OFFSET('Ket qua kinh doanh'!$AZ6,0,'Thong tin'!$C$9 - 1)</f>
        <v>0</v>
      </c>
      <c r="F11" s="331">
        <f ca="1">SUM(OFFSET('Ket qua kinh doanh'!$BL6,0,0,1,'Thong tin'!$C$9))</f>
        <v>0</v>
      </c>
      <c r="G11" s="331">
        <f ca="1">SUM(OFFSET('Ket qua kinh doanh'!$AZ6,0,0,1,'Thong tin'!$C$9))</f>
        <v>0</v>
      </c>
    </row>
    <row r="12" spans="1:7" s="334" customFormat="1" ht="29.25" customHeight="1" x14ac:dyDescent="0.25">
      <c r="A12" s="332" t="s">
        <v>161</v>
      </c>
      <c r="B12" s="673" t="s">
        <v>162</v>
      </c>
      <c r="C12" s="674"/>
      <c r="D12" s="333">
        <f ca="1">OFFSET('Ket qua kinh doanh'!$BL7,0,'Thong tin'!$C$9 - 1)</f>
        <v>13143854160</v>
      </c>
      <c r="E12" s="333">
        <f ca="1">OFFSET('Ket qua kinh doanh'!$AZ7,0,'Thong tin'!$C$9 - 1)</f>
        <v>17582066937</v>
      </c>
      <c r="F12" s="333">
        <f ca="1">SUM(OFFSET('Ket qua kinh doanh'!$BL7,0,0,1,'Thong tin'!$C$9))</f>
        <v>62246190240</v>
      </c>
      <c r="G12" s="333">
        <f ca="1">SUM(OFFSET('Ket qua kinh doanh'!$AZ7,0,0,1,'Thong tin'!$C$9))</f>
        <v>62867420354</v>
      </c>
    </row>
    <row r="13" spans="1:7" ht="18" customHeight="1" x14ac:dyDescent="0.25">
      <c r="A13" s="335" t="s">
        <v>163</v>
      </c>
      <c r="B13" s="336" t="s">
        <v>164</v>
      </c>
      <c r="C13" s="337"/>
      <c r="D13" s="338">
        <f ca="1">OFFSET('Ket qua kinh doanh'!$BL8,0,'Thong tin'!$C$9 - 1)</f>
        <v>12246690616</v>
      </c>
      <c r="E13" s="338">
        <f ca="1">OFFSET('Ket qua kinh doanh'!$AZ8,0,'Thong tin'!$C$9 - 1)</f>
        <v>16857467163</v>
      </c>
      <c r="F13" s="338">
        <f ca="1">SUM(OFFSET('Ket qua kinh doanh'!$BL8,0,0,1,'Thong tin'!$C$9))</f>
        <v>58895382002</v>
      </c>
      <c r="G13" s="327">
        <f ca="1">SUM(OFFSET('Ket qua kinh doanh'!$AZ8,0,0,1,'Thong tin'!$C$9))</f>
        <v>64519983189</v>
      </c>
    </row>
    <row r="14" spans="1:7" s="334" customFormat="1" ht="28.5" customHeight="1" x14ac:dyDescent="0.25">
      <c r="A14" s="332" t="s">
        <v>165</v>
      </c>
      <c r="B14" s="673" t="s">
        <v>166</v>
      </c>
      <c r="C14" s="674"/>
      <c r="D14" s="339">
        <f ca="1">OFFSET('Ket qua kinh doanh'!$BL9,0,'Thong tin'!$C$9 - 1)</f>
        <v>897163544</v>
      </c>
      <c r="E14" s="339">
        <f ca="1">OFFSET('Ket qua kinh doanh'!$AZ9,0,'Thong tin'!$C$9 - 1)</f>
        <v>724599774</v>
      </c>
      <c r="F14" s="339">
        <f ca="1">SUM(OFFSET('Ket qua kinh doanh'!$BL9,0,0,1,'Thong tin'!$C$9))</f>
        <v>3350808238</v>
      </c>
      <c r="G14" s="339">
        <f ca="1">SUM(OFFSET('Ket qua kinh doanh'!$AZ9,0,0,1,'Thong tin'!$C$9))</f>
        <v>-1652562835</v>
      </c>
    </row>
    <row r="15" spans="1:7" s="334" customFormat="1" ht="28.5" customHeight="1" x14ac:dyDescent="0.25">
      <c r="A15" s="332" t="s">
        <v>167</v>
      </c>
      <c r="B15" s="673" t="s">
        <v>168</v>
      </c>
      <c r="C15" s="674"/>
      <c r="D15" s="339">
        <f ca="1">OFFSET('Ket qua kinh doanh'!$BL10,0,'Thong tin'!$C$9 - 1)</f>
        <v>0</v>
      </c>
      <c r="E15" s="339">
        <f ca="1">OFFSET('Ket qua kinh doanh'!$AZ10,0,'Thong tin'!$C$9 - 1)</f>
        <v>0</v>
      </c>
      <c r="F15" s="339">
        <f ca="1">SUM(OFFSET('Ket qua kinh doanh'!$BL10,0,0,1,'Thong tin'!$C$9))</f>
        <v>0</v>
      </c>
      <c r="G15" s="339">
        <f ca="1">SUM(OFFSET('Ket qua kinh doanh'!$AZ10,0,0,1,'Thong tin'!$C$9))</f>
        <v>0</v>
      </c>
    </row>
    <row r="16" spans="1:7" ht="18" customHeight="1" x14ac:dyDescent="0.25">
      <c r="A16" s="328" t="s">
        <v>169</v>
      </c>
      <c r="B16" s="329" t="s">
        <v>170</v>
      </c>
      <c r="C16" s="330"/>
      <c r="D16" s="340">
        <f ca="1">OFFSET('Ket qua kinh doanh'!$BL11,0,'Thong tin'!$C$9 - 1)</f>
        <v>32034</v>
      </c>
      <c r="E16" s="340">
        <f ca="1">OFFSET('Ket qua kinh doanh'!$AZ11,0,'Thong tin'!$C$9 - 1)</f>
        <v>11723</v>
      </c>
      <c r="F16" s="331">
        <f ca="1">SUM(OFFSET('Ket qua kinh doanh'!$BL11,0,0,1,'Thong tin'!$C$9))</f>
        <v>96473</v>
      </c>
      <c r="G16" s="331">
        <f ca="1">SUM(OFFSET('Ket qua kinh doanh'!$AZ11,0,0,1,'Thong tin'!$C$9))</f>
        <v>67853</v>
      </c>
    </row>
    <row r="17" spans="1:7" ht="18" customHeight="1" x14ac:dyDescent="0.25">
      <c r="A17" s="328" t="s">
        <v>171</v>
      </c>
      <c r="B17" s="329" t="s">
        <v>172</v>
      </c>
      <c r="C17" s="330"/>
      <c r="D17" s="340">
        <f ca="1">OFFSET('Ket qua kinh doanh'!$BL12,0,'Thong tin'!$C$9 - 1)</f>
        <v>345313</v>
      </c>
      <c r="E17" s="331">
        <f ca="1">OFFSET('Ket qua kinh doanh'!$AZ12,0,'Thong tin'!$C$9 - 1)</f>
        <v>0</v>
      </c>
      <c r="F17" s="331">
        <f ca="1">SUM(OFFSET('Ket qua kinh doanh'!$BL12,0,0,1,'Thong tin'!$C$9))</f>
        <v>10000163</v>
      </c>
      <c r="G17" s="331">
        <f ca="1">SUM(OFFSET('Ket qua kinh doanh'!$AZ12,0,0,1,'Thong tin'!$C$9))</f>
        <v>0</v>
      </c>
    </row>
    <row r="18" spans="1:7" s="344" customFormat="1" ht="18" customHeight="1" x14ac:dyDescent="0.25">
      <c r="A18" s="341"/>
      <c r="B18" s="342" t="s">
        <v>173</v>
      </c>
      <c r="C18" s="343"/>
      <c r="D18" s="331">
        <f ca="1">OFFSET('Ket qua kinh doanh'!$BL13,0,'Thong tin'!$C$9 - 1)</f>
        <v>0</v>
      </c>
      <c r="E18" s="331">
        <f ca="1">OFFSET('Ket qua kinh doanh'!$AZ13,0,'Thong tin'!$C$9 - 1)</f>
        <v>0</v>
      </c>
      <c r="F18" s="331">
        <f ca="1">SUM(OFFSET('Ket qua kinh doanh'!$BL13,0,0,1,'Thong tin'!$C$9))</f>
        <v>0</v>
      </c>
      <c r="G18" s="331">
        <f ca="1">SUM(OFFSET('Ket qua kinh doanh'!$AZ13,0,0,1,'Thong tin'!$C$9))</f>
        <v>0</v>
      </c>
    </row>
    <row r="19" spans="1:7" ht="18" customHeight="1" x14ac:dyDescent="0.25">
      <c r="A19" s="328" t="s">
        <v>174</v>
      </c>
      <c r="B19" s="329" t="s">
        <v>175</v>
      </c>
      <c r="C19" s="330"/>
      <c r="D19" s="340">
        <f ca="1">OFFSET('Ket qua kinh doanh'!$BL14,0,'Thong tin'!$C$9 - 1)</f>
        <v>296100000</v>
      </c>
      <c r="E19" s="340">
        <f ca="1">OFFSET('Ket qua kinh doanh'!$AZ14,0,'Thong tin'!$C$9 - 1)</f>
        <v>287700000</v>
      </c>
      <c r="F19" s="331">
        <f ca="1">SUM(OFFSET('Ket qua kinh doanh'!$BL14,0,0,1,'Thong tin'!$C$9))</f>
        <v>1403800000</v>
      </c>
      <c r="G19" s="331">
        <f ca="1">SUM(OFFSET('Ket qua kinh doanh'!$AZ14,0,0,1,'Thong tin'!$C$9))</f>
        <v>1065500000</v>
      </c>
    </row>
    <row r="20" spans="1:7" ht="18" customHeight="1" x14ac:dyDescent="0.25">
      <c r="A20" s="328" t="s">
        <v>176</v>
      </c>
      <c r="B20" s="329" t="s">
        <v>177</v>
      </c>
      <c r="C20" s="330"/>
      <c r="D20" s="331">
        <f ca="1">OFFSET('Ket qua kinh doanh'!$BL15,0,'Thong tin'!$C$9 - 1)</f>
        <v>429966132</v>
      </c>
      <c r="E20" s="331">
        <f ca="1">OFFSET('Ket qua kinh doanh'!$AZ15,0,'Thong tin'!$C$9 - 1)</f>
        <v>257971197</v>
      </c>
      <c r="F20" s="331">
        <f ca="1">SUM(OFFSET('Ket qua kinh doanh'!$BL15,0,0,1,'Thong tin'!$C$9))</f>
        <v>2898542584</v>
      </c>
      <c r="G20" s="331">
        <f ca="1">SUM(OFFSET('Ket qua kinh doanh'!$AZ15,0,0,1,'Thong tin'!$C$9))</f>
        <v>1492449364</v>
      </c>
    </row>
    <row r="21" spans="1:7" s="334" customFormat="1" ht="18" customHeight="1" x14ac:dyDescent="0.25">
      <c r="A21" s="345" t="s">
        <v>178</v>
      </c>
      <c r="B21" s="673" t="s">
        <v>179</v>
      </c>
      <c r="C21" s="674"/>
      <c r="D21" s="339">
        <f ca="1">OFFSET('Ket qua kinh doanh'!$BL16,0,'Thong tin'!$C$9 - 1)</f>
        <v>170784133</v>
      </c>
      <c r="E21" s="339">
        <f ca="1">OFFSET('Ket qua kinh doanh'!$AZ16,0,'Thong tin'!$C$9 - 1)</f>
        <v>178940300</v>
      </c>
      <c r="F21" s="339">
        <f ca="1">SUM(OFFSET('Ket qua kinh doanh'!$BL16,0,0,1,'Thong tin'!$C$9))</f>
        <v>-961438036</v>
      </c>
      <c r="G21" s="339">
        <f ca="1">SUM(OFFSET('Ket qua kinh doanh'!$AZ16,0,0,1,'Thong tin'!$C$9))</f>
        <v>-4210444346</v>
      </c>
    </row>
    <row r="22" spans="1:7" ht="18" customHeight="1" x14ac:dyDescent="0.25">
      <c r="A22" s="328" t="s">
        <v>180</v>
      </c>
      <c r="B22" s="329" t="s">
        <v>181</v>
      </c>
      <c r="C22" s="330"/>
      <c r="D22" s="331">
        <f ca="1">OFFSET('Ket qua kinh doanh'!$BL17,0,'Thong tin'!$C$9 - 1)</f>
        <v>10317895</v>
      </c>
      <c r="E22" s="331">
        <f ca="1">OFFSET('Ket qua kinh doanh'!$AZ17,0,'Thong tin'!$C$9 - 1)</f>
        <v>21977736</v>
      </c>
      <c r="F22" s="331">
        <f ca="1">SUM(OFFSET('Ket qua kinh doanh'!$BL17,0,0,1,'Thong tin'!$C$9))</f>
        <v>160183268</v>
      </c>
      <c r="G22" s="331">
        <f ca="1">SUM(OFFSET('Ket qua kinh doanh'!$AZ17,0,0,1,'Thong tin'!$C$9))</f>
        <v>49729346</v>
      </c>
    </row>
    <row r="23" spans="1:7" ht="18" customHeight="1" x14ac:dyDescent="0.25">
      <c r="A23" s="328" t="s">
        <v>182</v>
      </c>
      <c r="B23" s="329" t="s">
        <v>183</v>
      </c>
      <c r="C23" s="330"/>
      <c r="D23" s="331">
        <f ca="1">OFFSET('Ket qua kinh doanh'!$BL18,0,'Thong tin'!$C$9 - 1)</f>
        <v>16865326</v>
      </c>
      <c r="E23" s="331">
        <f ca="1">OFFSET('Ket qua kinh doanh'!$AZ18,0,'Thong tin'!$C$9 - 1)</f>
        <v>6500000</v>
      </c>
      <c r="F23" s="331">
        <f ca="1">SUM(OFFSET('Ket qua kinh doanh'!$BL18,0,0,1,'Thong tin'!$C$9))</f>
        <v>679201589</v>
      </c>
      <c r="G23" s="331">
        <f ca="1">SUM(OFFSET('Ket qua kinh doanh'!$AZ18,0,0,1,'Thong tin'!$C$9))</f>
        <v>14800000</v>
      </c>
    </row>
    <row r="24" spans="1:7" ht="18" customHeight="1" x14ac:dyDescent="0.25">
      <c r="A24" s="335" t="s">
        <v>184</v>
      </c>
      <c r="B24" s="336" t="s">
        <v>185</v>
      </c>
      <c r="C24" s="337"/>
      <c r="D24" s="346">
        <f ca="1">OFFSET('Ket qua kinh doanh'!$BL19,0,'Thong tin'!$C$9 - 1)</f>
        <v>-6547431</v>
      </c>
      <c r="E24" s="346">
        <f ca="1">OFFSET('Ket qua kinh doanh'!$AZ19,0,'Thong tin'!$C$9 - 1)</f>
        <v>15477736</v>
      </c>
      <c r="F24" s="346">
        <f ca="1">SUM(OFFSET('Ket qua kinh doanh'!$BL19,0,0,1,'Thong tin'!$C$9))</f>
        <v>-519018321</v>
      </c>
      <c r="G24" s="346">
        <f ca="1">SUM(OFFSET('Ket qua kinh doanh'!$AZ19,0,0,1,'Thong tin'!$C$9))</f>
        <v>34929346</v>
      </c>
    </row>
    <row r="25" spans="1:7" s="334" customFormat="1" ht="18" customHeight="1" x14ac:dyDescent="0.25">
      <c r="A25" s="332" t="s">
        <v>186</v>
      </c>
      <c r="B25" s="347" t="s">
        <v>187</v>
      </c>
      <c r="C25" s="348"/>
      <c r="D25" s="349">
        <f ca="1">OFFSET('Ket qua kinh doanh'!$BL20,0,'Thong tin'!$C$9 - 1)</f>
        <v>164236702</v>
      </c>
      <c r="E25" s="349">
        <f ca="1">OFFSET('Ket qua kinh doanh'!$AZ20,0,'Thong tin'!$C$9 - 1)</f>
        <v>194418036</v>
      </c>
      <c r="F25" s="349">
        <f ca="1">SUM(OFFSET('Ket qua kinh doanh'!$BL20,0,0,1,'Thong tin'!$C$9))</f>
        <v>-1480456357</v>
      </c>
      <c r="G25" s="349">
        <f ca="1">SUM(OFFSET('Ket qua kinh doanh'!$AZ20,0,0,1,'Thong tin'!$C$9))</f>
        <v>-4175515000</v>
      </c>
    </row>
    <row r="26" spans="1:7" ht="18" customHeight="1" x14ac:dyDescent="0.25">
      <c r="A26" s="328" t="s">
        <v>188</v>
      </c>
      <c r="B26" s="329" t="s">
        <v>189</v>
      </c>
      <c r="C26" s="330"/>
      <c r="D26" s="350">
        <f ca="1">OFFSET('Ket qua kinh doanh'!$BL21,0,'Thong tin'!$C$9 - 1)</f>
        <v>0</v>
      </c>
      <c r="E26" s="340">
        <f ca="1">OFFSET('Ket qua kinh doanh'!$AZ21,0,'Thong tin'!$C$9 - 1)</f>
        <v>0</v>
      </c>
      <c r="F26" s="331">
        <f ca="1">SUM(OFFSET('Ket qua kinh doanh'!$BL21,0,0,1,'Thong tin'!$C$9))</f>
        <v>0</v>
      </c>
      <c r="G26" s="331">
        <f ca="1">SUM(OFFSET('Ket qua kinh doanh'!$AZ21,0,0,1,'Thong tin'!$C$9))</f>
        <v>0</v>
      </c>
    </row>
    <row r="27" spans="1:7" ht="18" customHeight="1" x14ac:dyDescent="0.25">
      <c r="A27" s="328" t="s">
        <v>190</v>
      </c>
      <c r="B27" s="329" t="s">
        <v>191</v>
      </c>
      <c r="C27" s="330"/>
      <c r="D27" s="350">
        <f ca="1">OFFSET('Ket qua kinh doanh'!$BL22,0,'Thong tin'!$C$9 - 1)</f>
        <v>0</v>
      </c>
      <c r="E27" s="340">
        <f ca="1">OFFSET('Ket qua kinh doanh'!$AZ22,0,'Thong tin'!$C$9 - 1)</f>
        <v>0</v>
      </c>
      <c r="F27" s="350">
        <f ca="1">SUM(OFFSET('Ket qua kinh doanh'!$BL22,0,0,1,'Thong tin'!$C$9))</f>
        <v>0</v>
      </c>
      <c r="G27" s="331">
        <f ca="1">SUM(OFFSET('Ket qua kinh doanh'!$AZ22,0,0,1,'Thong tin'!$C$9))</f>
        <v>0</v>
      </c>
    </row>
    <row r="28" spans="1:7" s="334" customFormat="1" ht="18" customHeight="1" x14ac:dyDescent="0.25">
      <c r="A28" s="351" t="s">
        <v>192</v>
      </c>
      <c r="B28" s="352" t="s">
        <v>193</v>
      </c>
      <c r="C28" s="353"/>
      <c r="D28" s="354">
        <f ca="1">OFFSET('Ket qua kinh doanh'!$BL23,0,'Thong tin'!$C$9 - 1)</f>
        <v>164236702</v>
      </c>
      <c r="E28" s="354">
        <f ca="1">OFFSET('Ket qua kinh doanh'!$AZ23,0,'Thong tin'!$C$9 - 1)</f>
        <v>194418036</v>
      </c>
      <c r="F28" s="354">
        <f ca="1">SUM(OFFSET('Ket qua kinh doanh'!$BL23,0,0,1,'Thong tin'!$C$9))</f>
        <v>-1480456357</v>
      </c>
      <c r="G28" s="354">
        <f ca="1">SUM(OFFSET('Ket qua kinh doanh'!$AZ23,0,0,1,'Thong tin'!$C$9))</f>
        <v>-4175515000</v>
      </c>
    </row>
    <row r="29" spans="1:7" hidden="1" x14ac:dyDescent="0.25">
      <c r="A29" s="355" t="s">
        <v>194</v>
      </c>
      <c r="B29" s="322" t="s">
        <v>195</v>
      </c>
      <c r="C29" s="356"/>
      <c r="D29" s="357"/>
      <c r="E29" s="358"/>
      <c r="F29" s="359" t="e">
        <f>#REF!+#REF!+#REF!+#REF!+#REF!+#REF!+#REF!+#REF!+#REF!+#REF!+#REF!+D29</f>
        <v>#REF!</v>
      </c>
      <c r="G29" s="359" t="e">
        <f>#REF!+#REF!+#REF!+#REF!+#REF!+#REF!+#REF!+#REF!+#REF!+#REF!+#REF!+E29</f>
        <v>#REF!</v>
      </c>
    </row>
    <row r="30" spans="1:7" ht="6" customHeight="1" x14ac:dyDescent="0.25">
      <c r="A30" s="360"/>
      <c r="B30" s="361"/>
      <c r="C30" s="362"/>
      <c r="D30" s="363"/>
      <c r="E30" s="364"/>
      <c r="F30" s="363"/>
      <c r="G30" s="364"/>
    </row>
    <row r="31" spans="1:7" ht="11.25" customHeight="1" x14ac:dyDescent="0.25">
      <c r="D31" s="562"/>
      <c r="E31" s="317">
        <v>0</v>
      </c>
      <c r="F31" s="317">
        <v>0</v>
      </c>
      <c r="G31" s="317">
        <v>0</v>
      </c>
    </row>
    <row r="32" spans="1:7" x14ac:dyDescent="0.25">
      <c r="D32" s="675"/>
      <c r="E32" s="675"/>
      <c r="F32" s="658" t="s">
        <v>196</v>
      </c>
      <c r="G32" s="658"/>
    </row>
    <row r="33" spans="2:7" x14ac:dyDescent="0.25">
      <c r="D33" s="365"/>
      <c r="E33" s="365"/>
      <c r="F33" s="365"/>
      <c r="G33" s="365"/>
    </row>
    <row r="34" spans="2:7" x14ac:dyDescent="0.25">
      <c r="B34" s="656" t="s">
        <v>9</v>
      </c>
      <c r="C34" s="656"/>
      <c r="D34" s="656"/>
      <c r="E34" s="656"/>
      <c r="F34" s="655" t="str">
        <f>'Thong tin'!B18</f>
        <v>GIÁM ĐỐC TÀI CHÍNH</v>
      </c>
      <c r="G34" s="655"/>
    </row>
    <row r="35" spans="2:7" ht="15" customHeight="1" x14ac:dyDescent="0.25">
      <c r="B35" s="366"/>
      <c r="D35" s="367"/>
    </row>
    <row r="36" spans="2:7" ht="15" customHeight="1" x14ac:dyDescent="0.25">
      <c r="B36" s="366"/>
      <c r="D36" s="367"/>
    </row>
    <row r="37" spans="2:7" ht="15" customHeight="1" x14ac:dyDescent="0.25">
      <c r="B37" s="366"/>
      <c r="D37" s="367"/>
    </row>
    <row r="38" spans="2:7" ht="15" customHeight="1" x14ac:dyDescent="0.25">
      <c r="B38" s="366"/>
      <c r="D38" s="367"/>
    </row>
    <row r="39" spans="2:7" ht="15" customHeight="1" x14ac:dyDescent="0.25">
      <c r="B39" s="366"/>
      <c r="D39" s="367"/>
    </row>
    <row r="40" spans="2:7" ht="15" customHeight="1" x14ac:dyDescent="0.25">
      <c r="B40" s="366"/>
      <c r="D40" s="367"/>
    </row>
    <row r="41" spans="2:7" ht="15" customHeight="1" x14ac:dyDescent="0.25">
      <c r="B41" s="657" t="str">
        <f>'Thong tin'!B13</f>
        <v>Trần Thị Hương</v>
      </c>
      <c r="C41" s="657"/>
      <c r="D41" s="657"/>
      <c r="E41" s="657"/>
      <c r="F41" s="654" t="s">
        <v>153</v>
      </c>
      <c r="G41" s="654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D08C-87A1-48FB-9590-D9D206C0EE2A}">
  <sheetPr>
    <tabColor theme="8" tint="0.59999389629810485"/>
  </sheetPr>
  <dimension ref="A1:G59"/>
  <sheetViews>
    <sheetView showGridLines="0" showZeros="0" zoomScaleNormal="100" workbookViewId="0">
      <pane xSplit="1" ySplit="9" topLeftCell="B19" activePane="bottomRight" state="frozen"/>
      <selection pane="topRight"/>
      <selection pane="bottomLeft"/>
      <selection pane="bottomRight" activeCell="F64" sqref="F64"/>
    </sheetView>
  </sheetViews>
  <sheetFormatPr defaultColWidth="9.140625" defaultRowHeight="15" x14ac:dyDescent="0.25"/>
  <cols>
    <col min="1" max="1" width="38.5703125" style="368" customWidth="1"/>
    <col min="2" max="2" width="16.28515625" style="368" customWidth="1"/>
    <col min="3" max="3" width="16.28515625" style="402" customWidth="1"/>
    <col min="4" max="4" width="16.42578125" style="368" customWidth="1"/>
    <col min="5" max="5" width="16.42578125" style="402" customWidth="1"/>
    <col min="6" max="6" width="12" style="368" bestFit="1" customWidth="1"/>
    <col min="7" max="7" width="17.85546875" style="368" bestFit="1" customWidth="1"/>
    <col min="8" max="16384" width="9.140625" style="368"/>
  </cols>
  <sheetData>
    <row r="1" spans="1:7" ht="15.75" x14ac:dyDescent="0.25">
      <c r="A1" s="321" t="str">
        <f>'Thong tin'!A1</f>
        <v>CÔNG TY TNHH THU MUA PHẾ LIỆU ĐẠI LỘC</v>
      </c>
      <c r="B1" s="264"/>
      <c r="C1" s="224"/>
      <c r="D1" s="264"/>
      <c r="E1" s="224"/>
    </row>
    <row r="2" spans="1:7" ht="16.5" thickBot="1" x14ac:dyDescent="0.3">
      <c r="A2" s="262" t="str">
        <f>'Thong tin'!A2</f>
        <v>Địa chỉ:</v>
      </c>
      <c r="B2" s="262"/>
      <c r="C2" s="226"/>
      <c r="D2" s="262"/>
      <c r="E2" s="226"/>
    </row>
    <row r="3" spans="1:7" ht="27" customHeight="1" x14ac:dyDescent="0.25">
      <c r="A3" s="264"/>
      <c r="B3" s="264"/>
      <c r="C3" s="227"/>
      <c r="D3" s="264"/>
      <c r="E3" s="227"/>
    </row>
    <row r="4" spans="1:7" ht="20.25" x14ac:dyDescent="0.3">
      <c r="A4" s="659" t="s">
        <v>197</v>
      </c>
      <c r="B4" s="659"/>
      <c r="C4" s="659"/>
      <c r="D4" s="659"/>
      <c r="E4" s="659"/>
    </row>
    <row r="5" spans="1:7" ht="12" customHeight="1" x14ac:dyDescent="0.25">
      <c r="A5" s="678" t="s">
        <v>198</v>
      </c>
      <c r="B5" s="678"/>
      <c r="C5" s="678"/>
      <c r="D5" s="678"/>
      <c r="E5" s="678"/>
    </row>
    <row r="6" spans="1:7" ht="12.75" customHeight="1" x14ac:dyDescent="0.25">
      <c r="A6" s="679" t="str">
        <f>"Năm " &amp; 'Thong tin'!C6</f>
        <v>Năm 2026</v>
      </c>
      <c r="B6" s="679"/>
      <c r="C6" s="679"/>
      <c r="D6" s="679"/>
      <c r="E6" s="679"/>
    </row>
    <row r="7" spans="1:7" ht="12" customHeight="1" x14ac:dyDescent="0.25">
      <c r="B7" s="369"/>
      <c r="C7" s="323"/>
      <c r="D7" s="369"/>
      <c r="E7" s="370" t="str">
        <f>'KQKD in'!G6</f>
        <v>ĐVT: VNĐ</v>
      </c>
    </row>
    <row r="8" spans="1:7" s="371" customFormat="1" ht="14.25" customHeight="1" x14ac:dyDescent="0.25">
      <c r="A8" s="680" t="s">
        <v>156</v>
      </c>
      <c r="B8" s="667" t="str">
        <f ca="1">"Tháng " &amp; 'Thong tin'!C9</f>
        <v>Tháng 5</v>
      </c>
      <c r="C8" s="668"/>
      <c r="D8" s="669" t="str">
        <f ca="1">"Lũy kế"&amp;" "&amp; 'Thong tin'!C9 &amp;" "&amp;"tháng"</f>
        <v>Lũy kế 5 tháng</v>
      </c>
      <c r="E8" s="670"/>
    </row>
    <row r="9" spans="1:7" x14ac:dyDescent="0.25">
      <c r="A9" s="681"/>
      <c r="B9" s="372" t="str">
        <f>"Năm " &amp; 'Thong tin'!C6</f>
        <v>Năm 2026</v>
      </c>
      <c r="C9" s="372" t="str">
        <f>"Năm " &amp; 'Thong tin'!C7</f>
        <v>Năm 2025</v>
      </c>
      <c r="D9" s="372" t="str">
        <f>"Năm " &amp; 'Thong tin'!C6</f>
        <v>Năm 2026</v>
      </c>
      <c r="E9" s="372" t="str">
        <f>"Năm " &amp; 'Thong tin'!C7</f>
        <v>Năm 2025</v>
      </c>
    </row>
    <row r="10" spans="1:7" ht="18" customHeight="1" x14ac:dyDescent="0.25">
      <c r="A10" s="373" t="s">
        <v>199</v>
      </c>
      <c r="B10" s="374"/>
      <c r="C10" s="374"/>
      <c r="D10" s="374"/>
      <c r="E10" s="374"/>
    </row>
    <row r="11" spans="1:7" s="377" customFormat="1" ht="17.100000000000001" customHeight="1" x14ac:dyDescent="0.25">
      <c r="A11" s="375" t="s">
        <v>200</v>
      </c>
      <c r="B11" s="376">
        <f ca="1">OFFSET('Luu chuyen tien te'!$BL5,0,'Thong tin'!$C$9 - 1)</f>
        <v>164236702</v>
      </c>
      <c r="C11" s="376">
        <f ca="1">OFFSET('Luu chuyen tien te'!$AZ5,0,'Thong tin'!$C$9 - 1)</f>
        <v>194418036</v>
      </c>
      <c r="D11" s="376">
        <f ca="1">SUM(OFFSET('Luu chuyen tien te'!$BL5,0,0,1,'Thong tin'!$C$9))</f>
        <v>-1480456357</v>
      </c>
      <c r="E11" s="376">
        <f ca="1">SUM(OFFSET('Luu chuyen tien te'!$AZ5,0,0,1,'Thong tin'!$C$9))</f>
        <v>-4175515000</v>
      </c>
    </row>
    <row r="12" spans="1:7" s="377" customFormat="1" ht="17.100000000000001" customHeight="1" x14ac:dyDescent="0.25">
      <c r="A12" s="375" t="s">
        <v>201</v>
      </c>
      <c r="B12" s="376"/>
      <c r="C12" s="376"/>
      <c r="D12" s="376"/>
      <c r="E12" s="376"/>
    </row>
    <row r="13" spans="1:7" x14ac:dyDescent="0.25">
      <c r="A13" s="378" t="s">
        <v>202</v>
      </c>
      <c r="B13" s="379">
        <f ca="1">OFFSET('Luu chuyen tien te'!$BL7,0,'Thong tin'!$C$9 - 1)</f>
        <v>362582836</v>
      </c>
      <c r="C13" s="379">
        <f ca="1">OFFSET('Luu chuyen tien te'!$AZ7,0,'Thong tin'!$C$9 - 1)</f>
        <v>594363193</v>
      </c>
      <c r="D13" s="379">
        <f ca="1">SUM(OFFSET('Luu chuyen tien te'!$BL7,0,0,1,'Thong tin'!$C$9))</f>
        <v>1311729283</v>
      </c>
      <c r="E13" s="379">
        <f ca="1">SUM(OFFSET('Luu chuyen tien te'!$AZ7,0,0,1,'Thong tin'!$C$9))</f>
        <v>2949298730</v>
      </c>
    </row>
    <row r="14" spans="1:7" x14ac:dyDescent="0.25">
      <c r="A14" s="378" t="s">
        <v>203</v>
      </c>
      <c r="B14" s="379">
        <f ca="1">OFFSET('Luu chuyen tien te'!$BL8,0,'Thong tin'!$C$9 - 1)</f>
        <v>0</v>
      </c>
      <c r="C14" s="379">
        <f ca="1">OFFSET('Luu chuyen tien te'!$AZ8,0,'Thong tin'!$C$9 - 1)</f>
        <v>0</v>
      </c>
      <c r="D14" s="379">
        <f ca="1">SUM(OFFSET('Luu chuyen tien te'!$BL8,0,0,1,'Thong tin'!$C$9))</f>
        <v>0</v>
      </c>
      <c r="E14" s="379">
        <f ca="1">SUM(OFFSET('Luu chuyen tien te'!$AZ8,0,0,1,'Thong tin'!$C$9))</f>
        <v>0</v>
      </c>
      <c r="G14" s="380"/>
    </row>
    <row r="15" spans="1:7" ht="29.25" customHeight="1" x14ac:dyDescent="0.25">
      <c r="A15" s="381" t="s">
        <v>204</v>
      </c>
      <c r="B15" s="379">
        <f ca="1">OFFSET('Luu chuyen tien te'!$BL9,0,'Thong tin'!$C$9 - 1)</f>
        <v>0</v>
      </c>
      <c r="C15" s="379">
        <f ca="1">OFFSET('Luu chuyen tien te'!$AZ9,0,'Thong tin'!$C$9 - 1)</f>
        <v>0</v>
      </c>
      <c r="D15" s="379">
        <f ca="1">SUM(OFFSET('Luu chuyen tien te'!$BL9,0,0,1,'Thong tin'!$C$9))</f>
        <v>0</v>
      </c>
      <c r="E15" s="379">
        <f ca="1">SUM(OFFSET('Luu chuyen tien te'!$AZ9,0,0,1,'Thong tin'!$C$9))</f>
        <v>0</v>
      </c>
    </row>
    <row r="16" spans="1:7" x14ac:dyDescent="0.25">
      <c r="A16" s="378" t="s">
        <v>205</v>
      </c>
      <c r="B16" s="379">
        <f ca="1">OFFSET('Luu chuyen tien te'!$BL10,0,'Thong tin'!$C$9 - 1)</f>
        <v>-32034</v>
      </c>
      <c r="C16" s="379">
        <f ca="1">OFFSET('Luu chuyen tien te'!$AZ10,0,'Thong tin'!$C$9 - 1)</f>
        <v>-11723</v>
      </c>
      <c r="D16" s="379">
        <f ca="1">SUM(OFFSET('Luu chuyen tien te'!$BL10,0,0,1,'Thong tin'!$C$9))</f>
        <v>-96473</v>
      </c>
      <c r="E16" s="379">
        <f ca="1">SUM(OFFSET('Luu chuyen tien te'!$AZ10,0,0,1,'Thong tin'!$C$9))</f>
        <v>-67853</v>
      </c>
    </row>
    <row r="17" spans="1:5" x14ac:dyDescent="0.25">
      <c r="A17" s="378" t="s">
        <v>206</v>
      </c>
      <c r="B17" s="379">
        <f ca="1">OFFSET('Luu chuyen tien te'!$BL11,0,'Thong tin'!$C$9 - 1)</f>
        <v>0</v>
      </c>
      <c r="C17" s="379">
        <f ca="1">OFFSET('Luu chuyen tien te'!$AZ11,0,'Thong tin'!$C$9 - 1)</f>
        <v>0</v>
      </c>
      <c r="D17" s="379">
        <f ca="1">SUM(OFFSET('Luu chuyen tien te'!$BL11,0,0,1,'Thong tin'!$C$9))</f>
        <v>0</v>
      </c>
      <c r="E17" s="379">
        <f ca="1">SUM(OFFSET('Luu chuyen tien te'!$AZ11,0,0,1,'Thong tin'!$C$9))</f>
        <v>0</v>
      </c>
    </row>
    <row r="18" spans="1:5" x14ac:dyDescent="0.25">
      <c r="A18" s="378" t="s">
        <v>207</v>
      </c>
      <c r="B18" s="379">
        <f ca="1">OFFSET('Luu chuyen tien te'!$BL12,0,'Thong tin'!$C$9 - 1)</f>
        <v>-6547431</v>
      </c>
      <c r="C18" s="379">
        <f ca="1">OFFSET('Luu chuyen tien te'!$AZ12,0,'Thong tin'!$C$9 - 1)</f>
        <v>15477736</v>
      </c>
      <c r="D18" s="379">
        <f ca="1">SUM(OFFSET('Luu chuyen tien te'!$BL12,0,0,1,'Thong tin'!$C$9))</f>
        <v>-519018321</v>
      </c>
      <c r="E18" s="379">
        <f ca="1">SUM(OFFSET('Luu chuyen tien te'!$AZ12,0,0,1,'Thong tin'!$C$9))</f>
        <v>34929346</v>
      </c>
    </row>
    <row r="19" spans="1:5" s="384" customFormat="1" ht="32.25" customHeight="1" x14ac:dyDescent="0.25">
      <c r="A19" s="382" t="s">
        <v>208</v>
      </c>
      <c r="B19" s="383">
        <f t="shared" ref="B19:D19" ca="1" si="0">SUM(B11:B18)</f>
        <v>520240073</v>
      </c>
      <c r="C19" s="383">
        <f t="shared" ref="C19" ca="1" si="1">SUM(C11:C18)</f>
        <v>804247242</v>
      </c>
      <c r="D19" s="383">
        <f t="shared" ca="1" si="0"/>
        <v>-687841868</v>
      </c>
      <c r="E19" s="383">
        <f t="shared" ref="E19" ca="1" si="2">SUM(E11:E18)</f>
        <v>-1191354777</v>
      </c>
    </row>
    <row r="20" spans="1:5" s="384" customFormat="1" x14ac:dyDescent="0.25">
      <c r="A20" s="385" t="s">
        <v>209</v>
      </c>
      <c r="B20" s="379">
        <f ca="1">OFFSET('Luu chuyen tien te'!$BL14,0,'Thong tin'!$C$9 - 1)</f>
        <v>-328634264</v>
      </c>
      <c r="C20" s="379">
        <f ca="1">OFFSET('Luu chuyen tien te'!$AZ14,0,'Thong tin'!$C$9 - 1)</f>
        <v>-1790253649</v>
      </c>
      <c r="D20" s="379">
        <f ca="1">SUM(OFFSET('Luu chuyen tien te'!$BL14,0,0,1,'Thong tin'!$C$9))</f>
        <v>-4097584174</v>
      </c>
      <c r="E20" s="379">
        <f ca="1">SUM(OFFSET('Luu chuyen tien te'!$AZ14,0,0,1,'Thong tin'!$C$9))</f>
        <v>-476300787</v>
      </c>
    </row>
    <row r="21" spans="1:5" s="384" customFormat="1" x14ac:dyDescent="0.25">
      <c r="A21" s="385" t="s">
        <v>210</v>
      </c>
      <c r="B21" s="379">
        <f ca="1">OFFSET('Luu chuyen tien te'!$BL15,0,'Thong tin'!$C$9 - 1)</f>
        <v>129068656</v>
      </c>
      <c r="C21" s="379">
        <f ca="1">OFFSET('Luu chuyen tien te'!$AZ15,0,'Thong tin'!$C$9 - 1)</f>
        <v>-747760377</v>
      </c>
      <c r="D21" s="379">
        <f ca="1">SUM(OFFSET('Luu chuyen tien te'!$BL15,0,0,1,'Thong tin'!$C$9))</f>
        <v>-796668064</v>
      </c>
      <c r="E21" s="379">
        <f ca="1">SUM(OFFSET('Luu chuyen tien te'!$AZ15,0,0,1,'Thong tin'!$C$9))</f>
        <v>-341214234</v>
      </c>
    </row>
    <row r="22" spans="1:5" s="384" customFormat="1" ht="30" customHeight="1" x14ac:dyDescent="0.25">
      <c r="A22" s="386" t="s">
        <v>211</v>
      </c>
      <c r="B22" s="379">
        <f ca="1">OFFSET('Luu chuyen tien te'!$BL16,0,'Thong tin'!$C$9 - 1)</f>
        <v>-1222075414</v>
      </c>
      <c r="C22" s="379">
        <f ca="1">OFFSET('Luu chuyen tien te'!$AZ16,0,'Thong tin'!$C$9 - 1)</f>
        <v>-609589815</v>
      </c>
      <c r="D22" s="379">
        <f ca="1">SUM(OFFSET('Luu chuyen tien te'!$BL16,0,0,1,'Thong tin'!$C$9))</f>
        <v>11213075916</v>
      </c>
      <c r="E22" s="379">
        <f ca="1">SUM(OFFSET('Luu chuyen tien te'!$AZ16,0,0,1,'Thong tin'!$C$9))</f>
        <v>3586673445</v>
      </c>
    </row>
    <row r="23" spans="1:5" s="384" customFormat="1" x14ac:dyDescent="0.25">
      <c r="A23" s="385" t="s">
        <v>212</v>
      </c>
      <c r="B23" s="379">
        <f ca="1">OFFSET('Luu chuyen tien te'!$BL17,0,'Thong tin'!$C$9 - 1)</f>
        <v>-239503777</v>
      </c>
      <c r="C23" s="379">
        <f ca="1">OFFSET('Luu chuyen tien te'!$AZ17,0,'Thong tin'!$C$9 - 1)</f>
        <v>-513991939</v>
      </c>
      <c r="D23" s="379">
        <f ca="1">SUM(OFFSET('Luu chuyen tien te'!$BL17,0,0,1,'Thong tin'!$C$9))</f>
        <v>-77478323</v>
      </c>
      <c r="E23" s="379">
        <f ca="1">SUM(OFFSET('Luu chuyen tien te'!$AZ17,0,0,1,'Thong tin'!$C$9))</f>
        <v>-871023533</v>
      </c>
    </row>
    <row r="24" spans="1:5" s="384" customFormat="1" x14ac:dyDescent="0.25">
      <c r="A24" s="385" t="s">
        <v>213</v>
      </c>
      <c r="B24" s="379">
        <f ca="1">OFFSET('Luu chuyen tien te'!$BL18,0,'Thong tin'!$C$9 - 1)</f>
        <v>0</v>
      </c>
      <c r="C24" s="379">
        <f ca="1">OFFSET('Luu chuyen tien te'!$AZ18,0,'Thong tin'!$C$9 - 1)</f>
        <v>0</v>
      </c>
      <c r="D24" s="379">
        <f ca="1">SUM(OFFSET('Luu chuyen tien te'!$BL18,0,0,1,'Thong tin'!$C$9))</f>
        <v>0</v>
      </c>
      <c r="E24" s="379">
        <f ca="1">SUM(OFFSET('Luu chuyen tien te'!$AZ18,0,0,1,'Thong tin'!$C$9))</f>
        <v>0</v>
      </c>
    </row>
    <row r="25" spans="1:5" s="384" customFormat="1" x14ac:dyDescent="0.25">
      <c r="A25" s="385" t="s">
        <v>214</v>
      </c>
      <c r="B25" s="379">
        <f ca="1">OFFSET('Luu chuyen tien te'!$BL19,0,'Thong tin'!$C$9 - 1)</f>
        <v>0</v>
      </c>
      <c r="C25" s="379">
        <f ca="1">OFFSET('Luu chuyen tien te'!$AZ19,0,'Thong tin'!$C$9 - 1)</f>
        <v>0</v>
      </c>
      <c r="D25" s="379">
        <f ca="1">SUM(OFFSET('Luu chuyen tien te'!$BL19,0,0,1,'Thong tin'!$C$9))</f>
        <v>0</v>
      </c>
      <c r="E25" s="379">
        <f ca="1">SUM(OFFSET('Luu chuyen tien te'!$AZ19,0,0,1,'Thong tin'!$C$9))</f>
        <v>0</v>
      </c>
    </row>
    <row r="26" spans="1:5" s="384" customFormat="1" x14ac:dyDescent="0.25">
      <c r="A26" s="385" t="s">
        <v>215</v>
      </c>
      <c r="B26" s="379">
        <f ca="1">OFFSET('Luu chuyen tien te'!$BL20,0,'Thong tin'!$C$9 - 1)</f>
        <v>0</v>
      </c>
      <c r="C26" s="379">
        <f ca="1">OFFSET('Luu chuyen tien te'!$AZ20,0,'Thong tin'!$C$9 - 1)</f>
        <v>0</v>
      </c>
      <c r="D26" s="379">
        <f ca="1">SUM(OFFSET('Luu chuyen tien te'!$BL20,0,0,1,'Thong tin'!$C$9))</f>
        <v>0</v>
      </c>
      <c r="E26" s="379">
        <f ca="1">SUM(OFFSET('Luu chuyen tien te'!$AZ20,0,0,1,'Thong tin'!$C$9))</f>
        <v>0</v>
      </c>
    </row>
    <row r="27" spans="1:5" s="384" customFormat="1" x14ac:dyDescent="0.25">
      <c r="A27" s="385" t="s">
        <v>216</v>
      </c>
      <c r="B27" s="379">
        <f ca="1">OFFSET('Luu chuyen tien te'!$BL21,0,'Thong tin'!$C$9 - 1)</f>
        <v>0</v>
      </c>
      <c r="C27" s="379">
        <f ca="1">OFFSET('Luu chuyen tien te'!$AZ21,0,'Thong tin'!$C$9 - 1)</f>
        <v>1602926131</v>
      </c>
      <c r="D27" s="379">
        <f ca="1">SUM(OFFSET('Luu chuyen tien te'!$BL21,0,0,1,'Thong tin'!$C$9))</f>
        <v>157635856</v>
      </c>
      <c r="E27" s="379">
        <f ca="1">SUM(OFFSET('Luu chuyen tien te'!$AZ21,0,0,1,'Thong tin'!$C$9))</f>
        <v>1913739698</v>
      </c>
    </row>
    <row r="28" spans="1:5" s="384" customFormat="1" x14ac:dyDescent="0.25">
      <c r="A28" s="385" t="s">
        <v>217</v>
      </c>
      <c r="B28" s="379">
        <f ca="1">OFFSET('Luu chuyen tien te'!$BL22,0,'Thong tin'!$C$9 - 1)</f>
        <v>-270608817</v>
      </c>
      <c r="C28" s="379">
        <f ca="1">OFFSET('Luu chuyen tien te'!$AZ22,0,'Thong tin'!$C$9 - 1)</f>
        <v>0</v>
      </c>
      <c r="D28" s="379">
        <f ca="1">SUM(OFFSET('Luu chuyen tien te'!$BL22,0,0,1,'Thong tin'!$C$9))</f>
        <v>-13412512986</v>
      </c>
      <c r="E28" s="379">
        <f ca="1">SUM(OFFSET('Luu chuyen tien te'!$AZ22,0,0,1,'Thong tin'!$C$9))</f>
        <v>-5028590061</v>
      </c>
    </row>
    <row r="29" spans="1:5" s="384" customFormat="1" ht="29.25" customHeight="1" x14ac:dyDescent="0.25">
      <c r="A29" s="382" t="s">
        <v>218</v>
      </c>
      <c r="B29" s="376">
        <f ca="1">SUM(B19:B28)</f>
        <v>-1411513543</v>
      </c>
      <c r="C29" s="376">
        <f t="shared" ref="C29:E29" ca="1" si="3">SUM(C19:C28)</f>
        <v>-1254422407</v>
      </c>
      <c r="D29" s="376">
        <f t="shared" ca="1" si="3"/>
        <v>-7701373643</v>
      </c>
      <c r="E29" s="376">
        <f t="shared" ca="1" si="3"/>
        <v>-2408070249</v>
      </c>
    </row>
    <row r="30" spans="1:5" ht="18.75" customHeight="1" x14ac:dyDescent="0.25">
      <c r="A30" s="387" t="s">
        <v>219</v>
      </c>
      <c r="B30" s="388"/>
      <c r="C30" s="388"/>
      <c r="D30" s="388"/>
      <c r="E30" s="388"/>
    </row>
    <row r="31" spans="1:5" s="390" customFormat="1" ht="30" customHeight="1" x14ac:dyDescent="0.25">
      <c r="A31" s="389" t="s">
        <v>220</v>
      </c>
      <c r="B31" s="379">
        <f ca="1">OFFSET('Luu chuyen tien te'!$BL25,0,'Thong tin'!$C$9 - 1)</f>
        <v>120963659</v>
      </c>
      <c r="C31" s="379">
        <f ca="1">OFFSET('Luu chuyen tien te'!$AZ25,0,'Thong tin'!$C$9 - 1)</f>
        <v>-441352000</v>
      </c>
      <c r="D31" s="379">
        <f ca="1">SUM(OFFSET('Luu chuyen tien te'!$BL25,0,0,1,'Thong tin'!$C$9))</f>
        <v>7049657127</v>
      </c>
      <c r="E31" s="379">
        <f ca="1">SUM(OFFSET('Luu chuyen tien te'!$AZ25,0,0,1,'Thong tin'!$C$9))</f>
        <v>1756263556</v>
      </c>
    </row>
    <row r="32" spans="1:5" s="390" customFormat="1" ht="30" customHeight="1" x14ac:dyDescent="0.25">
      <c r="A32" s="389" t="s">
        <v>221</v>
      </c>
      <c r="B32" s="379">
        <f ca="1">OFFSET('Luu chuyen tien te'!$BL26,0,'Thong tin'!$C$9 - 1)</f>
        <v>0</v>
      </c>
      <c r="C32" s="379">
        <f ca="1">OFFSET('Luu chuyen tien te'!$AZ26,0,'Thong tin'!$C$9 - 1)</f>
        <v>0</v>
      </c>
      <c r="D32" s="379">
        <f ca="1">SUM(OFFSET('Luu chuyen tien te'!$BL26,0,0,1,'Thong tin'!$C$9))</f>
        <v>0</v>
      </c>
      <c r="E32" s="379">
        <f ca="1">SUM(OFFSET('Luu chuyen tien te'!$AZ26,0,0,1,'Thong tin'!$C$9))</f>
        <v>0</v>
      </c>
    </row>
    <row r="33" spans="1:5" ht="30" customHeight="1" x14ac:dyDescent="0.25">
      <c r="A33" s="389" t="s">
        <v>222</v>
      </c>
      <c r="B33" s="379">
        <f ca="1">OFFSET('Luu chuyen tien te'!$BL27,0,'Thong tin'!$C$9 - 1)</f>
        <v>0</v>
      </c>
      <c r="C33" s="379">
        <f ca="1">OFFSET('Luu chuyen tien te'!$AZ27,0,'Thong tin'!$C$9 - 1)</f>
        <v>0</v>
      </c>
      <c r="D33" s="379">
        <f ca="1">SUM(OFFSET('Luu chuyen tien te'!$BL27,0,0,1,'Thong tin'!$C$9))</f>
        <v>0</v>
      </c>
      <c r="E33" s="379">
        <f ca="1">SUM(OFFSET('Luu chuyen tien te'!$AZ27,0,0,1,'Thong tin'!$C$9))</f>
        <v>0</v>
      </c>
    </row>
    <row r="34" spans="1:5" ht="29.25" customHeight="1" x14ac:dyDescent="0.25">
      <c r="A34" s="389" t="s">
        <v>223</v>
      </c>
      <c r="B34" s="379">
        <f ca="1">OFFSET('Luu chuyen tien te'!$BL28,0,'Thong tin'!$C$9 - 1)</f>
        <v>0</v>
      </c>
      <c r="C34" s="379">
        <f ca="1">OFFSET('Luu chuyen tien te'!$AZ28,0,'Thong tin'!$C$9 - 1)</f>
        <v>0</v>
      </c>
      <c r="D34" s="379">
        <f ca="1">SUM(OFFSET('Luu chuyen tien te'!$BL28,0,0,1,'Thong tin'!$C$9))</f>
        <v>0</v>
      </c>
      <c r="E34" s="379">
        <f ca="1">SUM(OFFSET('Luu chuyen tien te'!$AZ28,0,0,1,'Thong tin'!$C$9))</f>
        <v>0</v>
      </c>
    </row>
    <row r="35" spans="1:5" ht="18" customHeight="1" x14ac:dyDescent="0.25">
      <c r="A35" s="391" t="s">
        <v>224</v>
      </c>
      <c r="B35" s="379">
        <f ca="1">OFFSET('Luu chuyen tien te'!$BL29,0,'Thong tin'!$C$9 - 1)</f>
        <v>0</v>
      </c>
      <c r="C35" s="379">
        <f ca="1">OFFSET('Luu chuyen tien te'!$AZ29,0,'Thong tin'!$C$9 - 1)</f>
        <v>0</v>
      </c>
      <c r="D35" s="379">
        <f ca="1">SUM(OFFSET('Luu chuyen tien te'!$BL29,0,0,1,'Thong tin'!$C$9))</f>
        <v>0</v>
      </c>
      <c r="E35" s="379">
        <f ca="1">SUM(OFFSET('Luu chuyen tien te'!$AZ29,0,0,1,'Thong tin'!$C$9))</f>
        <v>0</v>
      </c>
    </row>
    <row r="36" spans="1:5" ht="18" customHeight="1" x14ac:dyDescent="0.25">
      <c r="A36" s="391" t="s">
        <v>225</v>
      </c>
      <c r="B36" s="379">
        <f ca="1">OFFSET('Luu chuyen tien te'!$BL30,0,'Thong tin'!$C$9 - 1)</f>
        <v>0</v>
      </c>
      <c r="C36" s="379">
        <f ca="1">OFFSET('Luu chuyen tien te'!$AZ30,0,'Thong tin'!$C$9 - 1)</f>
        <v>0</v>
      </c>
      <c r="D36" s="379">
        <f ca="1">SUM(OFFSET('Luu chuyen tien te'!$BL30,0,0,1,'Thong tin'!$C$9))</f>
        <v>0</v>
      </c>
      <c r="E36" s="379">
        <f ca="1">SUM(OFFSET('Luu chuyen tien te'!$AZ30,0,0,1,'Thong tin'!$C$9))</f>
        <v>0</v>
      </c>
    </row>
    <row r="37" spans="1:5" s="390" customFormat="1" ht="30" customHeight="1" x14ac:dyDescent="0.25">
      <c r="A37" s="389" t="s">
        <v>226</v>
      </c>
      <c r="B37" s="379">
        <f ca="1">OFFSET('Luu chuyen tien te'!$BL31,0,'Thong tin'!$C$9 - 1)</f>
        <v>0</v>
      </c>
      <c r="C37" s="379">
        <f ca="1">OFFSET('Luu chuyen tien te'!$AZ31,0,'Thong tin'!$C$9 - 1)</f>
        <v>0</v>
      </c>
      <c r="D37" s="379">
        <f ca="1">SUM(OFFSET('Luu chuyen tien te'!$BL31,0,0,1,'Thong tin'!$C$9))</f>
        <v>0</v>
      </c>
      <c r="E37" s="379">
        <f ca="1">SUM(OFFSET('Luu chuyen tien te'!$AZ31,0,0,1,'Thong tin'!$C$9))</f>
        <v>0</v>
      </c>
    </row>
    <row r="38" spans="1:5" s="384" customFormat="1" ht="18" customHeight="1" x14ac:dyDescent="0.25">
      <c r="A38" s="375" t="s">
        <v>227</v>
      </c>
      <c r="B38" s="392">
        <f t="shared" ref="B38:D38" ca="1" si="4">SUM(B31:B37)</f>
        <v>120963659</v>
      </c>
      <c r="C38" s="392">
        <f t="shared" ca="1" si="4"/>
        <v>-441352000</v>
      </c>
      <c r="D38" s="392">
        <f t="shared" ca="1" si="4"/>
        <v>7049657127</v>
      </c>
      <c r="E38" s="392">
        <f t="shared" ref="E38" ca="1" si="5">SUM(E31:E37)</f>
        <v>1756263556</v>
      </c>
    </row>
    <row r="39" spans="1:5" ht="20.25" customHeight="1" x14ac:dyDescent="0.25">
      <c r="A39" s="387" t="s">
        <v>228</v>
      </c>
      <c r="B39" s="388"/>
      <c r="C39" s="388"/>
      <c r="D39" s="388"/>
      <c r="E39" s="388"/>
    </row>
    <row r="40" spans="1:5" ht="30" customHeight="1" x14ac:dyDescent="0.25">
      <c r="A40" s="393" t="s">
        <v>229</v>
      </c>
      <c r="B40" s="379">
        <f ca="1">OFFSET('Luu chuyen tien te'!$BL34,0,'Thong tin'!$C$9 - 1)</f>
        <v>0</v>
      </c>
      <c r="C40" s="379">
        <f ca="1">OFFSET('Luu chuyen tien te'!$AZ34,0,'Thong tin'!$C$9 - 1)</f>
        <v>0</v>
      </c>
      <c r="D40" s="379">
        <f ca="1">SUM(OFFSET('Luu chuyen tien te'!$BL34,0,0,1,'Thong tin'!$C$9))</f>
        <v>0</v>
      </c>
      <c r="E40" s="379">
        <f ca="1">SUM(OFFSET('Luu chuyen tien te'!$AZ34,0,0,1,'Thong tin'!$C$9))</f>
        <v>0</v>
      </c>
    </row>
    <row r="41" spans="1:5" s="390" customFormat="1" ht="30" customHeight="1" x14ac:dyDescent="0.25">
      <c r="A41" s="393" t="s">
        <v>230</v>
      </c>
      <c r="B41" s="379">
        <f ca="1">OFFSET('Luu chuyen tien te'!$BL35,0,'Thong tin'!$C$9 - 1)</f>
        <v>0</v>
      </c>
      <c r="C41" s="379">
        <f ca="1">OFFSET('Luu chuyen tien te'!$AZ35,0,'Thong tin'!$C$9 - 1)</f>
        <v>0</v>
      </c>
      <c r="D41" s="379">
        <f ca="1">SUM(OFFSET('Luu chuyen tien te'!$BL35,0,0,1,'Thong tin'!$C$9))</f>
        <v>0</v>
      </c>
      <c r="E41" s="379">
        <f ca="1">SUM(OFFSET('Luu chuyen tien te'!$AZ35,0,0,1,'Thong tin'!$C$9))</f>
        <v>0</v>
      </c>
    </row>
    <row r="42" spans="1:5" x14ac:dyDescent="0.25">
      <c r="A42" s="394" t="s">
        <v>231</v>
      </c>
      <c r="B42" s="379">
        <f ca="1">OFFSET('Luu chuyen tien te'!$BL36,0,'Thong tin'!$C$9 - 1)</f>
        <v>0</v>
      </c>
      <c r="C42" s="379">
        <f ca="1">OFFSET('Luu chuyen tien te'!$AZ36,0,'Thong tin'!$C$9 - 1)</f>
        <v>0</v>
      </c>
      <c r="D42" s="379">
        <f ca="1">SUM(OFFSET('Luu chuyen tien te'!$BL36,0,0,1,'Thong tin'!$C$9))</f>
        <v>0</v>
      </c>
      <c r="E42" s="379">
        <f ca="1">SUM(OFFSET('Luu chuyen tien te'!$AZ36,0,0,1,'Thong tin'!$C$9))</f>
        <v>0</v>
      </c>
    </row>
    <row r="43" spans="1:5" x14ac:dyDescent="0.25">
      <c r="A43" s="394" t="s">
        <v>232</v>
      </c>
      <c r="B43" s="379">
        <f ca="1">OFFSET('Luu chuyen tien te'!$BL37,0,'Thong tin'!$C$9 - 1)</f>
        <v>0</v>
      </c>
      <c r="C43" s="379">
        <f ca="1">OFFSET('Luu chuyen tien te'!$AZ37,0,'Thong tin'!$C$9 - 1)</f>
        <v>0</v>
      </c>
      <c r="D43" s="379">
        <f ca="1">SUM(OFFSET('Luu chuyen tien te'!$BL37,0,0,1,'Thong tin'!$C$9))</f>
        <v>0</v>
      </c>
      <c r="E43" s="379">
        <f ca="1">SUM(OFFSET('Luu chuyen tien te'!$AZ37,0,0,1,'Thong tin'!$C$9))</f>
        <v>0</v>
      </c>
    </row>
    <row r="44" spans="1:5" x14ac:dyDescent="0.25">
      <c r="A44" s="394" t="s">
        <v>233</v>
      </c>
      <c r="B44" s="379">
        <f ca="1">OFFSET('Luu chuyen tien te'!$BL38,0,'Thong tin'!$C$9 - 1)</f>
        <v>0</v>
      </c>
      <c r="C44" s="379">
        <f ca="1">OFFSET('Luu chuyen tien te'!$AZ38,0,'Thong tin'!$C$9 - 1)</f>
        <v>0</v>
      </c>
      <c r="D44" s="379">
        <f ca="1">SUM(OFFSET('Luu chuyen tien te'!$BL38,0,0,1,'Thong tin'!$C$9))</f>
        <v>0</v>
      </c>
      <c r="E44" s="379">
        <f ca="1">SUM(OFFSET('Luu chuyen tien te'!$AZ38,0,0,1,'Thong tin'!$C$9))</f>
        <v>0</v>
      </c>
    </row>
    <row r="45" spans="1:5" x14ac:dyDescent="0.25">
      <c r="A45" s="394" t="s">
        <v>234</v>
      </c>
      <c r="B45" s="379">
        <f ca="1">OFFSET('Luu chuyen tien te'!$BL39,0,'Thong tin'!$C$9 - 1)</f>
        <v>0</v>
      </c>
      <c r="C45" s="379">
        <f ca="1">OFFSET('Luu chuyen tien te'!$AZ39,0,'Thong tin'!$C$9 - 1)</f>
        <v>0</v>
      </c>
      <c r="D45" s="379">
        <f ca="1">SUM(OFFSET('Luu chuyen tien te'!$BL39,0,0,1,'Thong tin'!$C$9))</f>
        <v>0</v>
      </c>
      <c r="E45" s="379">
        <f ca="1">SUM(OFFSET('Luu chuyen tien te'!$AZ39,0,0,1,'Thong tin'!$C$9))</f>
        <v>0</v>
      </c>
    </row>
    <row r="46" spans="1:5" s="384" customFormat="1" ht="18" customHeight="1" x14ac:dyDescent="0.25">
      <c r="A46" s="395" t="s">
        <v>235</v>
      </c>
      <c r="B46" s="376">
        <f t="shared" ref="B46:E46" ca="1" si="6">SUM(B40:B45)</f>
        <v>0</v>
      </c>
      <c r="C46" s="376">
        <f t="shared" ca="1" si="6"/>
        <v>0</v>
      </c>
      <c r="D46" s="376">
        <f t="shared" ca="1" si="6"/>
        <v>0</v>
      </c>
      <c r="E46" s="376">
        <f t="shared" ca="1" si="6"/>
        <v>0</v>
      </c>
    </row>
    <row r="47" spans="1:5" s="384" customFormat="1" ht="18" customHeight="1" x14ac:dyDescent="0.25">
      <c r="A47" s="395" t="s">
        <v>236</v>
      </c>
      <c r="B47" s="376">
        <f ca="1">SUM(B29,B38,B46)</f>
        <v>-1290549884</v>
      </c>
      <c r="C47" s="376">
        <f t="shared" ref="C47:E47" ca="1" si="7">SUM(C29,C38,C46)</f>
        <v>-1695774407</v>
      </c>
      <c r="D47" s="376">
        <f t="shared" ca="1" si="7"/>
        <v>-651716516</v>
      </c>
      <c r="E47" s="376">
        <f t="shared" ca="1" si="7"/>
        <v>-651806693</v>
      </c>
    </row>
    <row r="48" spans="1:5" s="384" customFormat="1" ht="18" customHeight="1" x14ac:dyDescent="0.25">
      <c r="A48" s="395" t="s">
        <v>237</v>
      </c>
      <c r="B48" s="396">
        <f ca="1">OFFSET('Luu chuyen tien te'!$BL42,0,'Thong tin'!$C$9 - 1)</f>
        <v>4877236461</v>
      </c>
      <c r="C48" s="396">
        <f ca="1">OFFSET('Luu chuyen tien te'!$AZ42,0,'Thong tin'!$C$9 - 1)</f>
        <v>2763415028</v>
      </c>
      <c r="D48" s="376">
        <f>'Luu chuyen tien te'!BL42</f>
        <v>4238403093</v>
      </c>
      <c r="E48" s="396">
        <f>'Luu chuyen tien te'!AZ42</f>
        <v>1719447314</v>
      </c>
    </row>
    <row r="49" spans="1:6" ht="30" customHeight="1" x14ac:dyDescent="0.25">
      <c r="A49" s="393" t="s">
        <v>238</v>
      </c>
      <c r="B49" s="379">
        <f ca="1">OFFSET('Luu chuyen tien te'!$BL43,0,'Thong tin'!$C$9 - 1)</f>
        <v>0</v>
      </c>
      <c r="C49" s="379">
        <f ca="1">OFFSET('Luu chuyen tien te'!$AZ43,0,'Thong tin'!$C$9 - 1)</f>
        <v>0</v>
      </c>
      <c r="D49" s="379">
        <f ca="1">SUM(OFFSET('Luu chuyen tien te'!$BL43,0,0,1,'Thong tin'!$C$9))</f>
        <v>0</v>
      </c>
      <c r="E49" s="379">
        <f ca="1">SUM(OFFSET('Luu chuyen tien te'!$AZ43,0,0,1,'Thong tin'!$C$9))</f>
        <v>0</v>
      </c>
    </row>
    <row r="50" spans="1:6" s="334" customFormat="1" ht="18" customHeight="1" x14ac:dyDescent="0.25">
      <c r="A50" s="397" t="s">
        <v>239</v>
      </c>
      <c r="B50" s="398">
        <f ca="1">SUM(B47:B49)</f>
        <v>3586686577</v>
      </c>
      <c r="C50" s="398">
        <f t="shared" ref="C50:E50" ca="1" si="8">SUM(C47:C49)</f>
        <v>1067640621</v>
      </c>
      <c r="D50" s="398">
        <f t="shared" ca="1" si="8"/>
        <v>3586686577</v>
      </c>
      <c r="E50" s="398">
        <f t="shared" ca="1" si="8"/>
        <v>1067640621</v>
      </c>
      <c r="F50" s="399"/>
    </row>
    <row r="51" spans="1:6" ht="17.25" customHeight="1" x14ac:dyDescent="0.25">
      <c r="A51" s="400"/>
      <c r="B51" s="401">
        <v>0</v>
      </c>
      <c r="C51" s="401">
        <v>0</v>
      </c>
      <c r="D51" s="401">
        <v>0</v>
      </c>
      <c r="E51" s="401">
        <v>0</v>
      </c>
    </row>
    <row r="52" spans="1:6" x14ac:dyDescent="0.25">
      <c r="B52" s="676"/>
      <c r="C52" s="676"/>
      <c r="D52" s="676" t="str">
        <f>'KQKD in'!F32</f>
        <v>Lập, ngày 31 tháng 03 năm 2026</v>
      </c>
      <c r="E52" s="676"/>
    </row>
    <row r="53" spans="1:6" ht="22.5" customHeight="1" x14ac:dyDescent="0.25">
      <c r="A53" s="319" t="s">
        <v>9</v>
      </c>
      <c r="D53" s="677" t="s">
        <v>240</v>
      </c>
      <c r="E53" s="677"/>
    </row>
    <row r="54" spans="1:6" x14ac:dyDescent="0.25">
      <c r="C54" s="368"/>
    </row>
    <row r="55" spans="1:6" x14ac:dyDescent="0.25">
      <c r="C55" s="368"/>
    </row>
    <row r="56" spans="1:6" x14ac:dyDescent="0.25">
      <c r="C56" s="368"/>
    </row>
    <row r="57" spans="1:6" x14ac:dyDescent="0.25">
      <c r="C57" s="368"/>
    </row>
    <row r="58" spans="1:6" x14ac:dyDescent="0.25">
      <c r="C58" s="368"/>
    </row>
    <row r="59" spans="1:6" s="264" customFormat="1" x14ac:dyDescent="0.25">
      <c r="A59" s="318" t="str">
        <f>'Thong tin'!B13</f>
        <v>Trần Thị Hương</v>
      </c>
      <c r="B59" s="654"/>
      <c r="C59" s="654"/>
      <c r="D59" s="654" t="s">
        <v>153</v>
      </c>
      <c r="E59" s="654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772EE-4665-462B-97EA-8AFC6B5D3D85}">
  <sheetPr>
    <tabColor theme="9" tint="0.59999389629810485"/>
    <outlinePr summaryBelow="0" summaryRight="0"/>
  </sheetPr>
  <dimension ref="A1:BW250"/>
  <sheetViews>
    <sheetView showGridLines="0" showZeros="0" tabSelected="1" zoomScale="80" zoomScaleNormal="80" workbookViewId="0">
      <pane xSplit="2" ySplit="3" topLeftCell="BF4" activePane="bottomRight" state="frozenSplit"/>
      <selection pane="topRight" activeCell="AZ4" sqref="AZ4"/>
      <selection pane="bottomLeft" activeCell="AZ4" sqref="AZ4"/>
      <selection pane="bottomRight" activeCell="BH8" sqref="BH8"/>
    </sheetView>
  </sheetViews>
  <sheetFormatPr defaultColWidth="9.28515625" defaultRowHeight="15" customHeight="1" x14ac:dyDescent="0.25"/>
  <cols>
    <col min="1" max="1" width="7.7109375" style="103" hidden="1" customWidth="1"/>
    <col min="2" max="2" width="58.28515625" style="87" customWidth="1"/>
    <col min="3" max="3" width="11.7109375" style="103" hidden="1" customWidth="1"/>
    <col min="4" max="51" width="18.28515625" style="87" customWidth="1"/>
    <col min="52" max="75" width="18.28515625" style="87" bestFit="1" customWidth="1"/>
    <col min="76" max="16384" width="9.28515625" style="50"/>
  </cols>
  <sheetData>
    <row r="1" spans="1:75" ht="19.5" customHeight="1" x14ac:dyDescent="0.3">
      <c r="A1" s="52"/>
      <c r="B1" s="51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3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</row>
    <row r="2" spans="1:75" ht="19.5" customHeight="1" x14ac:dyDescent="0.25">
      <c r="A2" s="52"/>
      <c r="B2" s="54" t="s">
        <v>241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3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</row>
    <row r="3" spans="1:75" ht="28.5" x14ac:dyDescent="0.25">
      <c r="A3" s="57" t="s">
        <v>242</v>
      </c>
      <c r="B3" s="56" t="s">
        <v>243</v>
      </c>
      <c r="C3" s="57" t="s">
        <v>244</v>
      </c>
      <c r="D3" s="57" t="s">
        <v>245</v>
      </c>
      <c r="E3" s="57" t="s">
        <v>246</v>
      </c>
      <c r="F3" s="57" t="s">
        <v>247</v>
      </c>
      <c r="G3" s="57" t="s">
        <v>248</v>
      </c>
      <c r="H3" s="57" t="s">
        <v>249</v>
      </c>
      <c r="I3" s="57" t="s">
        <v>250</v>
      </c>
      <c r="J3" s="57" t="s">
        <v>251</v>
      </c>
      <c r="K3" s="57" t="s">
        <v>252</v>
      </c>
      <c r="L3" s="57" t="s">
        <v>253</v>
      </c>
      <c r="M3" s="57" t="s">
        <v>254</v>
      </c>
      <c r="N3" s="57" t="s">
        <v>255</v>
      </c>
      <c r="O3" s="57" t="s">
        <v>256</v>
      </c>
      <c r="P3" s="57" t="s">
        <v>257</v>
      </c>
      <c r="Q3" s="57" t="s">
        <v>258</v>
      </c>
      <c r="R3" s="57" t="s">
        <v>259</v>
      </c>
      <c r="S3" s="57" t="s">
        <v>260</v>
      </c>
      <c r="T3" s="57" t="s">
        <v>261</v>
      </c>
      <c r="U3" s="57" t="s">
        <v>262</v>
      </c>
      <c r="V3" s="57" t="s">
        <v>263</v>
      </c>
      <c r="W3" s="57" t="s">
        <v>264</v>
      </c>
      <c r="X3" s="57" t="s">
        <v>265</v>
      </c>
      <c r="Y3" s="57" t="s">
        <v>266</v>
      </c>
      <c r="Z3" s="57" t="s">
        <v>267</v>
      </c>
      <c r="AA3" s="57" t="s">
        <v>268</v>
      </c>
      <c r="AB3" s="57" t="s">
        <v>269</v>
      </c>
      <c r="AC3" s="57" t="s">
        <v>270</v>
      </c>
      <c r="AD3" s="57" t="s">
        <v>271</v>
      </c>
      <c r="AE3" s="57" t="s">
        <v>272</v>
      </c>
      <c r="AF3" s="57" t="s">
        <v>273</v>
      </c>
      <c r="AG3" s="57" t="s">
        <v>274</v>
      </c>
      <c r="AH3" s="57" t="s">
        <v>275</v>
      </c>
      <c r="AI3" s="57" t="s">
        <v>276</v>
      </c>
      <c r="AJ3" s="57" t="s">
        <v>277</v>
      </c>
      <c r="AK3" s="57" t="s">
        <v>278</v>
      </c>
      <c r="AL3" s="57" t="s">
        <v>279</v>
      </c>
      <c r="AM3" s="57" t="s">
        <v>280</v>
      </c>
      <c r="AN3" s="58" t="s">
        <v>281</v>
      </c>
      <c r="AO3" s="57" t="s">
        <v>282</v>
      </c>
      <c r="AP3" s="58" t="s">
        <v>283</v>
      </c>
      <c r="AQ3" s="58" t="s">
        <v>284</v>
      </c>
      <c r="AR3" s="58" t="s">
        <v>285</v>
      </c>
      <c r="AS3" s="58" t="s">
        <v>286</v>
      </c>
      <c r="AT3" s="58" t="s">
        <v>287</v>
      </c>
      <c r="AU3" s="57" t="s">
        <v>288</v>
      </c>
      <c r="AV3" s="59" t="s">
        <v>289</v>
      </c>
      <c r="AW3" s="59" t="s">
        <v>290</v>
      </c>
      <c r="AX3" s="59" t="s">
        <v>291</v>
      </c>
      <c r="AY3" s="59" t="s">
        <v>292</v>
      </c>
      <c r="AZ3" s="59" t="s">
        <v>293</v>
      </c>
      <c r="BA3" s="59" t="s">
        <v>294</v>
      </c>
      <c r="BB3" s="59" t="s">
        <v>295</v>
      </c>
      <c r="BC3" s="59" t="s">
        <v>296</v>
      </c>
      <c r="BD3" s="59" t="s">
        <v>297</v>
      </c>
      <c r="BE3" s="59" t="s">
        <v>298</v>
      </c>
      <c r="BF3" s="59" t="s">
        <v>299</v>
      </c>
      <c r="BG3" s="59" t="s">
        <v>300</v>
      </c>
      <c r="BH3" s="59" t="s">
        <v>301</v>
      </c>
      <c r="BI3" s="59" t="s">
        <v>302</v>
      </c>
      <c r="BJ3" s="59" t="s">
        <v>303</v>
      </c>
      <c r="BK3" s="59" t="s">
        <v>304</v>
      </c>
      <c r="BL3" s="59" t="s">
        <v>305</v>
      </c>
      <c r="BM3" s="59" t="s">
        <v>306</v>
      </c>
      <c r="BN3" s="59" t="s">
        <v>307</v>
      </c>
      <c r="BO3" s="59" t="s">
        <v>308</v>
      </c>
      <c r="BP3" s="59" t="s">
        <v>309</v>
      </c>
      <c r="BQ3" s="59" t="s">
        <v>310</v>
      </c>
      <c r="BR3" s="59" t="s">
        <v>311</v>
      </c>
      <c r="BS3" s="59" t="s">
        <v>312</v>
      </c>
      <c r="BT3" s="59" t="s">
        <v>313</v>
      </c>
      <c r="BU3" s="59" t="s">
        <v>314</v>
      </c>
      <c r="BV3" s="59" t="s">
        <v>315</v>
      </c>
      <c r="BW3" s="59" t="s">
        <v>316</v>
      </c>
    </row>
    <row r="4" spans="1:75" ht="15" customHeight="1" x14ac:dyDescent="0.25">
      <c r="A4" s="93">
        <v>1</v>
      </c>
      <c r="B4" s="60" t="s">
        <v>317</v>
      </c>
      <c r="C4" s="93">
        <v>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>
        <v>3005092308</v>
      </c>
      <c r="P4" s="1">
        <v>3118845191</v>
      </c>
      <c r="Q4" s="1">
        <v>13190871944</v>
      </c>
      <c r="R4" s="1">
        <v>13238005392</v>
      </c>
      <c r="S4" s="1">
        <v>39312031942</v>
      </c>
      <c r="T4" s="1">
        <v>39264221743</v>
      </c>
      <c r="U4" s="1">
        <v>36156009681</v>
      </c>
      <c r="V4" s="1">
        <v>35625349436</v>
      </c>
      <c r="W4" s="1">
        <v>36167596914</v>
      </c>
      <c r="X4" s="1">
        <v>37026235146</v>
      </c>
      <c r="Y4" s="1">
        <v>36590232624</v>
      </c>
      <c r="Z4" s="1">
        <v>36645364341</v>
      </c>
      <c r="AA4" s="1">
        <v>36050634848</v>
      </c>
      <c r="AB4" s="1">
        <v>32982662446</v>
      </c>
      <c r="AC4" s="1">
        <v>32255097639</v>
      </c>
      <c r="AD4" s="1">
        <v>33693832288</v>
      </c>
      <c r="AE4" s="1">
        <v>13041425899</v>
      </c>
      <c r="AF4" s="1">
        <v>14364097825</v>
      </c>
      <c r="AG4" s="1">
        <v>13350322604</v>
      </c>
      <c r="AH4" s="1">
        <v>19732338296</v>
      </c>
      <c r="AI4" s="1">
        <v>13465077390</v>
      </c>
      <c r="AJ4" s="1">
        <v>20456201117</v>
      </c>
      <c r="AK4" s="1">
        <v>35047454769</v>
      </c>
      <c r="AL4" s="1">
        <v>32143567483</v>
      </c>
      <c r="AM4" s="1">
        <v>34162200480</v>
      </c>
      <c r="AN4" s="1">
        <v>33264538020</v>
      </c>
      <c r="AO4" s="1">
        <v>32551129465</v>
      </c>
      <c r="AP4" s="1">
        <v>23405155339</v>
      </c>
      <c r="AQ4" s="1">
        <v>24060531663</v>
      </c>
      <c r="AR4" s="1">
        <v>22034755670</v>
      </c>
      <c r="AS4" s="1">
        <v>19342039705</v>
      </c>
      <c r="AT4" s="1">
        <v>16755488167</v>
      </c>
      <c r="AU4" s="1">
        <v>17304550210</v>
      </c>
      <c r="AV4" s="1">
        <v>18717735825</v>
      </c>
      <c r="AW4" s="1">
        <v>19563435144</v>
      </c>
      <c r="AX4" s="1">
        <v>20403294265</v>
      </c>
      <c r="AY4" s="1">
        <v>14234985625</v>
      </c>
      <c r="AZ4" s="545">
        <v>17044982155</v>
      </c>
      <c r="BA4" s="545">
        <v>18104132113</v>
      </c>
      <c r="BB4" s="545">
        <v>15415416362</v>
      </c>
      <c r="BC4" s="545">
        <v>14875571248</v>
      </c>
      <c r="BD4" s="545">
        <v>16447526531</v>
      </c>
      <c r="BE4" s="545">
        <v>16198515857</v>
      </c>
      <c r="BF4" s="545">
        <v>22857262178</v>
      </c>
      <c r="BG4" s="545">
        <v>24319430586</v>
      </c>
      <c r="BH4" s="545">
        <v>21562946145</v>
      </c>
      <c r="BI4" s="545">
        <v>19802016516</v>
      </c>
      <c r="BJ4" s="545">
        <v>16607012816</v>
      </c>
      <c r="BK4" s="545">
        <v>14421157570</v>
      </c>
      <c r="BL4" s="545">
        <f>+BL5+BL8+BL15+BL23+BL30</f>
        <v>21046937896</v>
      </c>
      <c r="BM4" s="1">
        <f t="shared" ref="BM4:BP4" si="0">+BM5+BM8+BM15+BM23+BM30</f>
        <v>20549824115</v>
      </c>
      <c r="BN4" s="1">
        <f t="shared" si="0"/>
        <v>22483000017</v>
      </c>
      <c r="BO4" s="1">
        <f t="shared" si="0"/>
        <v>18927763925</v>
      </c>
      <c r="BP4" s="1">
        <f t="shared" si="0"/>
        <v>18999233520</v>
      </c>
      <c r="BQ4" s="1"/>
      <c r="BR4" s="1"/>
      <c r="BS4" s="1"/>
      <c r="BT4" s="1"/>
      <c r="BU4" s="1"/>
      <c r="BV4" s="1"/>
      <c r="BW4" s="1"/>
    </row>
    <row r="5" spans="1:75" ht="15" customHeight="1" x14ac:dyDescent="0.25">
      <c r="A5" s="94">
        <v>2</v>
      </c>
      <c r="B5" s="61" t="s">
        <v>318</v>
      </c>
      <c r="C5" s="94">
        <v>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>
        <v>2799900000</v>
      </c>
      <c r="P5" s="2">
        <v>1486620164</v>
      </c>
      <c r="Q5" s="2">
        <v>9829408037</v>
      </c>
      <c r="R5" s="2">
        <v>1096258789</v>
      </c>
      <c r="S5" s="2">
        <v>9233269574</v>
      </c>
      <c r="T5" s="2">
        <v>9403898921</v>
      </c>
      <c r="U5" s="2">
        <v>6657430032</v>
      </c>
      <c r="V5" s="2">
        <v>1719506792</v>
      </c>
      <c r="W5" s="2">
        <v>3936367018</v>
      </c>
      <c r="X5" s="2">
        <v>1700750109</v>
      </c>
      <c r="Y5" s="2">
        <v>2602651360</v>
      </c>
      <c r="Z5" s="2">
        <v>815180258</v>
      </c>
      <c r="AA5" s="2">
        <v>5103591972</v>
      </c>
      <c r="AB5" s="2">
        <v>2183953411</v>
      </c>
      <c r="AC5" s="2">
        <v>1996354523</v>
      </c>
      <c r="AD5" s="2">
        <v>1303968351</v>
      </c>
      <c r="AE5" s="2">
        <v>1794460686</v>
      </c>
      <c r="AF5" s="2">
        <v>2035250065</v>
      </c>
      <c r="AG5" s="2">
        <v>1178475369</v>
      </c>
      <c r="AH5" s="2">
        <v>8457348377</v>
      </c>
      <c r="AI5" s="2">
        <v>1803519231</v>
      </c>
      <c r="AJ5" s="2">
        <v>1369077121</v>
      </c>
      <c r="AK5" s="2">
        <v>458075912</v>
      </c>
      <c r="AL5" s="2">
        <v>648355784</v>
      </c>
      <c r="AM5" s="2">
        <v>1189619434</v>
      </c>
      <c r="AN5" s="2">
        <v>2946215478</v>
      </c>
      <c r="AO5" s="2">
        <v>2265138258</v>
      </c>
      <c r="AP5" s="2">
        <v>4218996644</v>
      </c>
      <c r="AQ5" s="2">
        <v>3557809436</v>
      </c>
      <c r="AR5" s="2">
        <v>3941916171</v>
      </c>
      <c r="AS5" s="2">
        <v>772158058</v>
      </c>
      <c r="AT5" s="2">
        <v>2805501538</v>
      </c>
      <c r="AU5" s="2">
        <v>331678492</v>
      </c>
      <c r="AV5" s="2">
        <v>7420709</v>
      </c>
      <c r="AW5" s="2">
        <v>3396724052</v>
      </c>
      <c r="AX5" s="2">
        <v>1749435798</v>
      </c>
      <c r="AY5" s="2">
        <v>1719447314</v>
      </c>
      <c r="AZ5" s="546">
        <v>2490854993</v>
      </c>
      <c r="BA5" s="546">
        <v>185294992</v>
      </c>
      <c r="BB5" s="546">
        <v>1965557775</v>
      </c>
      <c r="BC5" s="546">
        <v>2763415028</v>
      </c>
      <c r="BD5" s="546">
        <v>1067640621</v>
      </c>
      <c r="BE5" s="546">
        <v>451065154</v>
      </c>
      <c r="BF5" s="546">
        <v>1634425568</v>
      </c>
      <c r="BG5" s="546">
        <v>2579320451</v>
      </c>
      <c r="BH5" s="546">
        <v>6126662129</v>
      </c>
      <c r="BI5" s="546">
        <v>8698290774</v>
      </c>
      <c r="BJ5" s="546">
        <v>3721260007</v>
      </c>
      <c r="BK5" s="546">
        <v>4238403093</v>
      </c>
      <c r="BL5" s="546">
        <f>+SUM(BL6:BL7)</f>
        <v>1407173093</v>
      </c>
      <c r="BM5" s="2">
        <f t="shared" ref="BM5:BP5" si="1">+SUM(BM6:BM7)</f>
        <v>631745340</v>
      </c>
      <c r="BN5" s="2">
        <f t="shared" si="1"/>
        <v>3935697259</v>
      </c>
      <c r="BO5" s="2">
        <f t="shared" si="1"/>
        <v>4877236461</v>
      </c>
      <c r="BP5" s="2">
        <f t="shared" si="1"/>
        <v>3586686577</v>
      </c>
      <c r="BQ5" s="2"/>
      <c r="BR5" s="2"/>
      <c r="BS5" s="2"/>
      <c r="BT5" s="2"/>
      <c r="BU5" s="2"/>
      <c r="BV5" s="2"/>
      <c r="BW5" s="2"/>
    </row>
    <row r="6" spans="1:75" ht="15" customHeight="1" x14ac:dyDescent="0.25">
      <c r="A6" s="95">
        <v>3</v>
      </c>
      <c r="B6" s="62" t="s">
        <v>319</v>
      </c>
      <c r="C6" s="95">
        <v>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>
        <v>2799900000</v>
      </c>
      <c r="P6" s="3">
        <v>1486620164</v>
      </c>
      <c r="Q6" s="3">
        <v>9829408037</v>
      </c>
      <c r="R6" s="3">
        <v>1096258789</v>
      </c>
      <c r="S6" s="3">
        <v>9233269574</v>
      </c>
      <c r="T6" s="3">
        <v>9403898921</v>
      </c>
      <c r="U6" s="3">
        <v>6657430032</v>
      </c>
      <c r="V6" s="3">
        <v>1719506792</v>
      </c>
      <c r="W6" s="3">
        <v>3936367018</v>
      </c>
      <c r="X6" s="3">
        <v>1700750109</v>
      </c>
      <c r="Y6" s="3">
        <v>2602651360</v>
      </c>
      <c r="Z6" s="3">
        <v>815180258</v>
      </c>
      <c r="AA6" s="3">
        <v>5103591972</v>
      </c>
      <c r="AB6" s="3">
        <v>2183953411</v>
      </c>
      <c r="AC6" s="3">
        <v>1996354523</v>
      </c>
      <c r="AD6" s="3">
        <v>1303968351</v>
      </c>
      <c r="AE6" s="3">
        <v>1794460686</v>
      </c>
      <c r="AF6" s="3">
        <v>2035250065</v>
      </c>
      <c r="AG6" s="3">
        <v>1178475369</v>
      </c>
      <c r="AH6" s="3">
        <v>8457348377</v>
      </c>
      <c r="AI6" s="3">
        <v>1803519231</v>
      </c>
      <c r="AJ6" s="3">
        <v>1369077121</v>
      </c>
      <c r="AK6" s="3">
        <v>458075912</v>
      </c>
      <c r="AL6" s="3">
        <v>648355784</v>
      </c>
      <c r="AM6" s="3">
        <v>1189619434</v>
      </c>
      <c r="AN6" s="3">
        <v>2946215478</v>
      </c>
      <c r="AO6" s="3">
        <v>2265138258</v>
      </c>
      <c r="AP6" s="3">
        <v>4218996644</v>
      </c>
      <c r="AQ6" s="3">
        <v>3557809436</v>
      </c>
      <c r="AR6" s="3">
        <v>3941916171</v>
      </c>
      <c r="AS6" s="3">
        <v>772158058</v>
      </c>
      <c r="AT6" s="3">
        <v>2805501538</v>
      </c>
      <c r="AU6" s="3">
        <v>331678492</v>
      </c>
      <c r="AV6" s="3">
        <v>7420709</v>
      </c>
      <c r="AW6" s="3">
        <v>3396724052</v>
      </c>
      <c r="AX6" s="3">
        <v>1749435798</v>
      </c>
      <c r="AY6" s="3">
        <v>1719447314</v>
      </c>
      <c r="AZ6" s="547">
        <v>2490854993</v>
      </c>
      <c r="BA6" s="547">
        <v>185294992</v>
      </c>
      <c r="BB6" s="547">
        <v>1965557775</v>
      </c>
      <c r="BC6" s="547">
        <v>2763415028</v>
      </c>
      <c r="BD6" s="547">
        <v>1067640621</v>
      </c>
      <c r="BE6" s="547">
        <v>451065154</v>
      </c>
      <c r="BF6" s="547">
        <v>1634425568</v>
      </c>
      <c r="BG6" s="547">
        <v>2579320451</v>
      </c>
      <c r="BH6" s="547">
        <v>6126662129</v>
      </c>
      <c r="BI6" s="547">
        <v>3698290774</v>
      </c>
      <c r="BJ6" s="547">
        <v>721260007</v>
      </c>
      <c r="BK6" s="547">
        <v>4238403093</v>
      </c>
      <c r="BL6" s="547">
        <v>1407173093</v>
      </c>
      <c r="BM6" s="3">
        <v>631745340</v>
      </c>
      <c r="BN6" s="3">
        <v>3935697259</v>
      </c>
      <c r="BO6" s="3">
        <v>4877236461</v>
      </c>
      <c r="BP6" s="3">
        <v>3586686577</v>
      </c>
      <c r="BQ6" s="3"/>
      <c r="BR6" s="3"/>
      <c r="BS6" s="3"/>
      <c r="BT6" s="3"/>
      <c r="BU6" s="3"/>
      <c r="BV6" s="3"/>
      <c r="BW6" s="3"/>
    </row>
    <row r="7" spans="1:75" ht="15" customHeight="1" x14ac:dyDescent="0.25">
      <c r="A7" s="95">
        <v>4</v>
      </c>
      <c r="B7" s="62" t="s">
        <v>320</v>
      </c>
      <c r="C7" s="95">
        <v>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547"/>
      <c r="BA7" s="547"/>
      <c r="BB7" s="547"/>
      <c r="BC7" s="547"/>
      <c r="BD7" s="547"/>
      <c r="BE7" s="547"/>
      <c r="BF7" s="547"/>
      <c r="BG7" s="547"/>
      <c r="BH7" s="547"/>
      <c r="BI7" s="547">
        <v>5000000000</v>
      </c>
      <c r="BJ7" s="547">
        <v>3000000000</v>
      </c>
      <c r="BK7" s="547"/>
      <c r="BL7" s="547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</row>
    <row r="8" spans="1:75" ht="15" customHeight="1" x14ac:dyDescent="0.25">
      <c r="A8" s="96">
        <v>5</v>
      </c>
      <c r="B8" s="61" t="s">
        <v>321</v>
      </c>
      <c r="C8" s="96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202000000</v>
      </c>
      <c r="AA8" s="4">
        <v>202000000</v>
      </c>
      <c r="AB8" s="4">
        <v>202000000</v>
      </c>
      <c r="AC8" s="4">
        <v>202000000</v>
      </c>
      <c r="AD8" s="4">
        <v>202000000</v>
      </c>
      <c r="AE8" s="4">
        <v>202000000</v>
      </c>
      <c r="AF8" s="4">
        <v>202000000</v>
      </c>
      <c r="AG8" s="4">
        <v>202000000</v>
      </c>
      <c r="AH8" s="4">
        <v>202000000</v>
      </c>
      <c r="AI8" s="4">
        <v>202000000</v>
      </c>
      <c r="AJ8" s="4">
        <v>202000000</v>
      </c>
      <c r="AK8" s="4">
        <v>202000000</v>
      </c>
      <c r="AL8" s="4">
        <v>202000000</v>
      </c>
      <c r="AM8" s="4">
        <v>202000000</v>
      </c>
      <c r="AN8" s="4">
        <v>202000000</v>
      </c>
      <c r="AO8" s="4">
        <v>202000000</v>
      </c>
      <c r="AP8" s="4">
        <v>202000000</v>
      </c>
      <c r="AQ8" s="4">
        <v>202000000</v>
      </c>
      <c r="AR8" s="4">
        <v>202000000</v>
      </c>
      <c r="AS8" s="4">
        <v>202000000</v>
      </c>
      <c r="AT8" s="4">
        <v>202000000</v>
      </c>
      <c r="AU8" s="4">
        <v>202000000</v>
      </c>
      <c r="AV8" s="4">
        <v>202000000</v>
      </c>
      <c r="AW8" s="4">
        <v>202000000</v>
      </c>
      <c r="AX8" s="4">
        <v>202000000</v>
      </c>
      <c r="AY8" s="4">
        <v>202000000</v>
      </c>
      <c r="AZ8" s="548">
        <v>202000000</v>
      </c>
      <c r="BA8" s="548">
        <v>202000000</v>
      </c>
      <c r="BB8" s="548">
        <v>202000000</v>
      </c>
      <c r="BC8" s="548">
        <v>202000000</v>
      </c>
      <c r="BD8" s="548">
        <v>202000000</v>
      </c>
      <c r="BE8" s="548">
        <v>202000000</v>
      </c>
      <c r="BF8" s="548">
        <v>202000000</v>
      </c>
      <c r="BG8" s="548">
        <v>202000000</v>
      </c>
      <c r="BH8" s="548">
        <v>202000000</v>
      </c>
      <c r="BI8" s="548">
        <v>202000000</v>
      </c>
      <c r="BJ8" s="548">
        <v>202000000</v>
      </c>
      <c r="BK8" s="548">
        <v>202000000</v>
      </c>
      <c r="BL8" s="548">
        <f>SUM(BL9:BL11)</f>
        <v>202000000</v>
      </c>
      <c r="BM8" s="4">
        <f>SUM(BM9:BM11)</f>
        <v>202000000</v>
      </c>
      <c r="BN8" s="4">
        <f>SUM(BN9:BN11)</f>
        <v>202000000</v>
      </c>
      <c r="BO8" s="4">
        <f>SUM(BO9:BO11)</f>
        <v>202000000</v>
      </c>
      <c r="BP8" s="4">
        <f>SUM(BP9:BP11)</f>
        <v>202000000</v>
      </c>
      <c r="BQ8" s="4"/>
      <c r="BR8" s="4"/>
      <c r="BS8" s="4"/>
      <c r="BT8" s="4"/>
      <c r="BU8" s="4"/>
      <c r="BV8" s="4"/>
      <c r="BW8" s="4"/>
    </row>
    <row r="9" spans="1:75" ht="15" customHeight="1" x14ac:dyDescent="0.25">
      <c r="A9" s="95">
        <v>6</v>
      </c>
      <c r="B9" s="62" t="s">
        <v>36</v>
      </c>
      <c r="C9" s="95">
        <v>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547"/>
      <c r="BA9" s="547"/>
      <c r="BB9" s="547"/>
      <c r="BC9" s="547"/>
      <c r="BD9" s="547"/>
      <c r="BE9" s="547"/>
      <c r="BF9" s="547"/>
      <c r="BG9" s="547"/>
      <c r="BH9" s="547"/>
      <c r="BI9" s="547"/>
      <c r="BJ9" s="547"/>
      <c r="BK9" s="547"/>
      <c r="BL9" s="547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 x14ac:dyDescent="0.25">
      <c r="A10" s="95">
        <v>7</v>
      </c>
      <c r="B10" s="62" t="s">
        <v>37</v>
      </c>
      <c r="C10" s="95">
        <v>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547"/>
      <c r="BA10" s="547"/>
      <c r="BB10" s="547"/>
      <c r="BC10" s="547"/>
      <c r="BD10" s="547"/>
      <c r="BE10" s="547"/>
      <c r="BF10" s="547"/>
      <c r="BG10" s="547"/>
      <c r="BH10" s="547"/>
      <c r="BI10" s="547"/>
      <c r="BJ10" s="547"/>
      <c r="BK10" s="547"/>
      <c r="BL10" s="547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 x14ac:dyDescent="0.25">
      <c r="A11" s="95">
        <v>8</v>
      </c>
      <c r="B11" s="63" t="s">
        <v>38</v>
      </c>
      <c r="C11" s="95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202000000</v>
      </c>
      <c r="AA11" s="3">
        <v>202000000</v>
      </c>
      <c r="AB11" s="3">
        <v>202000000</v>
      </c>
      <c r="AC11" s="3">
        <v>202000000</v>
      </c>
      <c r="AD11" s="3">
        <v>202000000</v>
      </c>
      <c r="AE11" s="3">
        <v>202000000</v>
      </c>
      <c r="AF11" s="3">
        <v>202000000</v>
      </c>
      <c r="AG11" s="3">
        <v>202000000</v>
      </c>
      <c r="AH11" s="3">
        <v>202000000</v>
      </c>
      <c r="AI11" s="3">
        <v>202000000</v>
      </c>
      <c r="AJ11" s="3">
        <v>202000000</v>
      </c>
      <c r="AK11" s="3">
        <v>202000000</v>
      </c>
      <c r="AL11" s="3">
        <v>202000000</v>
      </c>
      <c r="AM11" s="3">
        <v>202000000</v>
      </c>
      <c r="AN11" s="3">
        <v>202000000</v>
      </c>
      <c r="AO11" s="3">
        <v>202000000</v>
      </c>
      <c r="AP11" s="3">
        <v>202000000</v>
      </c>
      <c r="AQ11" s="3">
        <v>202000000</v>
      </c>
      <c r="AR11" s="3">
        <v>202000000</v>
      </c>
      <c r="AS11" s="3">
        <v>202000000</v>
      </c>
      <c r="AT11" s="3">
        <v>202000000</v>
      </c>
      <c r="AU11" s="3">
        <v>202000000</v>
      </c>
      <c r="AV11" s="3">
        <v>202000000</v>
      </c>
      <c r="AW11" s="3">
        <v>202000000</v>
      </c>
      <c r="AX11" s="3">
        <v>202000000</v>
      </c>
      <c r="AY11" s="3">
        <v>202000000</v>
      </c>
      <c r="AZ11" s="547">
        <v>202000000</v>
      </c>
      <c r="BA11" s="547">
        <v>202000000</v>
      </c>
      <c r="BB11" s="547">
        <v>202000000</v>
      </c>
      <c r="BC11" s="547">
        <v>202000000</v>
      </c>
      <c r="BD11" s="547">
        <v>202000000</v>
      </c>
      <c r="BE11" s="547">
        <v>202000000</v>
      </c>
      <c r="BF11" s="547">
        <v>202000000</v>
      </c>
      <c r="BG11" s="547">
        <v>202000000</v>
      </c>
      <c r="BH11" s="547">
        <v>202000000</v>
      </c>
      <c r="BI11" s="547">
        <v>202000000</v>
      </c>
      <c r="BJ11" s="547">
        <v>202000000</v>
      </c>
      <c r="BK11" s="547">
        <v>202000000</v>
      </c>
      <c r="BL11" s="547">
        <v>202000000</v>
      </c>
      <c r="BM11" s="3">
        <v>202000000</v>
      </c>
      <c r="BN11" s="3">
        <v>202000000</v>
      </c>
      <c r="BO11" s="3">
        <v>202000000</v>
      </c>
      <c r="BP11" s="3">
        <v>202000000</v>
      </c>
      <c r="BQ11" s="3"/>
      <c r="BR11" s="3"/>
      <c r="BS11" s="3"/>
      <c r="BT11" s="3"/>
      <c r="BU11" s="3"/>
      <c r="BV11" s="3"/>
      <c r="BW11" s="3"/>
    </row>
    <row r="12" spans="1:75" ht="15" customHeight="1" x14ac:dyDescent="0.25">
      <c r="A12" s="95">
        <v>9</v>
      </c>
      <c r="B12" s="63" t="s">
        <v>39</v>
      </c>
      <c r="C12" s="95">
        <v>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547"/>
      <c r="BA12" s="547"/>
      <c r="BB12" s="547"/>
      <c r="BC12" s="547"/>
      <c r="BD12" s="547"/>
      <c r="BE12" s="547"/>
      <c r="BF12" s="547"/>
      <c r="BG12" s="547"/>
      <c r="BH12" s="547"/>
      <c r="BI12" s="547"/>
      <c r="BJ12" s="547"/>
      <c r="BK12" s="547"/>
      <c r="BL12" s="547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25">
      <c r="A13" s="95">
        <v>10</v>
      </c>
      <c r="B13" s="63" t="s">
        <v>40</v>
      </c>
      <c r="C13" s="95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547"/>
      <c r="BA13" s="547"/>
      <c r="BB13" s="547"/>
      <c r="BC13" s="547"/>
      <c r="BD13" s="547"/>
      <c r="BE13" s="547"/>
      <c r="BF13" s="547"/>
      <c r="BG13" s="547"/>
      <c r="BH13" s="547"/>
      <c r="BI13" s="547"/>
      <c r="BJ13" s="547"/>
      <c r="BK13" s="547"/>
      <c r="BL13" s="547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25">
      <c r="A14" s="95">
        <v>11</v>
      </c>
      <c r="B14" s="63" t="s">
        <v>41</v>
      </c>
      <c r="C14" s="95">
        <v>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547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25">
      <c r="A15" s="97">
        <v>12</v>
      </c>
      <c r="B15" s="61" t="s">
        <v>322</v>
      </c>
      <c r="C15" s="97">
        <v>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>
        <v>0</v>
      </c>
      <c r="P15" s="5">
        <v>1187516400</v>
      </c>
      <c r="Q15" s="5">
        <v>1866910792</v>
      </c>
      <c r="R15" s="5">
        <v>6470211816</v>
      </c>
      <c r="S15" s="5">
        <v>24283744937</v>
      </c>
      <c r="T15" s="5">
        <v>24554914592</v>
      </c>
      <c r="U15" s="5">
        <v>24650916388</v>
      </c>
      <c r="V15" s="5">
        <v>30437876430</v>
      </c>
      <c r="W15" s="5">
        <v>26109628587</v>
      </c>
      <c r="X15" s="5">
        <v>26303539336</v>
      </c>
      <c r="Y15" s="5">
        <v>24006876365</v>
      </c>
      <c r="Z15" s="5">
        <v>23860717314</v>
      </c>
      <c r="AA15" s="5">
        <v>17877240086</v>
      </c>
      <c r="AB15" s="5">
        <v>18306781732</v>
      </c>
      <c r="AC15" s="5">
        <v>18163543488</v>
      </c>
      <c r="AD15" s="5">
        <v>18240495642</v>
      </c>
      <c r="AE15" s="5">
        <f>SUM(AE16:AE22)</f>
        <v>4111173369</v>
      </c>
      <c r="AF15" s="5">
        <f t="shared" ref="AF15:AL15" si="2">SUM(AF16:AF22)</f>
        <v>3943393796</v>
      </c>
      <c r="AG15" s="5">
        <f t="shared" si="2"/>
        <v>7168507453</v>
      </c>
      <c r="AH15" s="5">
        <f t="shared" si="2"/>
        <v>5051334176</v>
      </c>
      <c r="AI15" s="5">
        <f t="shared" si="2"/>
        <v>4878648796</v>
      </c>
      <c r="AJ15" s="5">
        <f t="shared" si="2"/>
        <v>5060172396</v>
      </c>
      <c r="AK15" s="5">
        <f t="shared" si="2"/>
        <v>7935733721</v>
      </c>
      <c r="AL15" s="5">
        <f t="shared" si="2"/>
        <v>9310759861</v>
      </c>
      <c r="AM15" s="5">
        <v>9605663166</v>
      </c>
      <c r="AN15" s="5">
        <v>16658626185</v>
      </c>
      <c r="AO15" s="5">
        <v>15500348188</v>
      </c>
      <c r="AP15" s="5">
        <v>5482147536</v>
      </c>
      <c r="AQ15" s="5">
        <v>6345939397</v>
      </c>
      <c r="AR15" s="5">
        <v>5527281336</v>
      </c>
      <c r="AS15" s="5">
        <v>8251714126</v>
      </c>
      <c r="AT15" s="5">
        <v>5210481853</v>
      </c>
      <c r="AU15" s="5">
        <v>7136554164</v>
      </c>
      <c r="AV15" s="5">
        <v>8947650552</v>
      </c>
      <c r="AW15" s="5">
        <v>7476089680</v>
      </c>
      <c r="AX15" s="5">
        <v>9462527411</v>
      </c>
      <c r="AY15" s="6">
        <v>5949064562</v>
      </c>
      <c r="AZ15" s="549">
        <v>5228224588</v>
      </c>
      <c r="BA15" s="549">
        <v>8616883790</v>
      </c>
      <c r="BB15" s="549">
        <v>6833083254</v>
      </c>
      <c r="BC15" s="549">
        <v>5814554097</v>
      </c>
      <c r="BD15" s="549">
        <v>8292340172</v>
      </c>
      <c r="BE15" s="549">
        <v>7486229537</v>
      </c>
      <c r="BF15" s="549">
        <v>5642649105</v>
      </c>
      <c r="BG15" s="549">
        <v>5771887968</v>
      </c>
      <c r="BH15" s="549">
        <v>6282413208</v>
      </c>
      <c r="BI15" s="549">
        <v>7423099413</v>
      </c>
      <c r="BJ15" s="549">
        <v>7926213865</v>
      </c>
      <c r="BK15" s="549">
        <v>5293820118</v>
      </c>
      <c r="BL15" s="549">
        <f>+SUM(BL16:BL22)</f>
        <v>9856482138</v>
      </c>
      <c r="BM15" s="6">
        <f>+SUM(BM16:BM22)</f>
        <v>9066813206</v>
      </c>
      <c r="BN15" s="6">
        <f>+SUM(BN16:BN22)</f>
        <v>8815471722</v>
      </c>
      <c r="BO15" s="6">
        <f>+SUM(BO16:BO22)</f>
        <v>8398021406</v>
      </c>
      <c r="BP15" s="6">
        <f>+SUM(BP16:BP22)</f>
        <v>9726655670</v>
      </c>
      <c r="BQ15" s="6"/>
      <c r="BR15" s="6"/>
      <c r="BS15" s="6"/>
      <c r="BT15" s="6"/>
      <c r="BU15" s="6"/>
      <c r="BV15" s="6"/>
      <c r="BW15" s="6"/>
    </row>
    <row r="16" spans="1:75" ht="15" customHeight="1" x14ac:dyDescent="0.25">
      <c r="A16" s="95">
        <v>13</v>
      </c>
      <c r="B16" s="64" t="s">
        <v>43</v>
      </c>
      <c r="C16" s="95">
        <v>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>
        <v>0</v>
      </c>
      <c r="P16" s="3">
        <v>0</v>
      </c>
      <c r="Q16" s="3">
        <v>0</v>
      </c>
      <c r="R16" s="3">
        <v>0</v>
      </c>
      <c r="S16" s="3">
        <v>936494461</v>
      </c>
      <c r="T16" s="3">
        <v>719662320</v>
      </c>
      <c r="U16" s="3">
        <v>1596541320</v>
      </c>
      <c r="V16" s="3">
        <v>3043698660</v>
      </c>
      <c r="W16" s="3">
        <v>2857289580</v>
      </c>
      <c r="X16" s="3">
        <v>3011959620</v>
      </c>
      <c r="Y16" s="3">
        <v>3559363777</v>
      </c>
      <c r="Z16" s="3">
        <v>1535432491</v>
      </c>
      <c r="AA16" s="3">
        <v>818791513</v>
      </c>
      <c r="AB16" s="3">
        <v>853506097</v>
      </c>
      <c r="AC16" s="3">
        <v>716083100</v>
      </c>
      <c r="AD16" s="3">
        <v>1607691986</v>
      </c>
      <c r="AE16" s="3">
        <v>45596440</v>
      </c>
      <c r="AF16" s="3">
        <v>0</v>
      </c>
      <c r="AG16" s="3">
        <v>1157121100</v>
      </c>
      <c r="AH16" s="3">
        <v>447462730</v>
      </c>
      <c r="AI16" s="3">
        <v>731841750</v>
      </c>
      <c r="AJ16" s="3">
        <v>656967510</v>
      </c>
      <c r="AK16" s="3">
        <v>2702919850</v>
      </c>
      <c r="AL16" s="3">
        <v>5459221490</v>
      </c>
      <c r="AM16" s="3">
        <v>6457008060</v>
      </c>
      <c r="AN16" s="3">
        <v>13608290704</v>
      </c>
      <c r="AO16" s="3">
        <v>12386602102</v>
      </c>
      <c r="AP16" s="3">
        <v>2381138100</v>
      </c>
      <c r="AQ16" s="3">
        <v>3234258110</v>
      </c>
      <c r="AR16" s="3">
        <v>2384727750</v>
      </c>
      <c r="AS16" s="3">
        <v>5043732840</v>
      </c>
      <c r="AT16" s="3">
        <v>2130680267</v>
      </c>
      <c r="AU16" s="3">
        <v>3941517778</v>
      </c>
      <c r="AV16" s="3">
        <v>5843239018</v>
      </c>
      <c r="AW16" s="3">
        <v>4118510434</v>
      </c>
      <c r="AX16" s="3">
        <v>5329154083</v>
      </c>
      <c r="AY16" s="3">
        <v>3050417781</v>
      </c>
      <c r="AZ16" s="547">
        <v>1818060000</v>
      </c>
      <c r="BA16" s="547">
        <v>4391185668</v>
      </c>
      <c r="BB16" s="547">
        <v>3145752577</v>
      </c>
      <c r="BC16" s="547">
        <v>1736464919</v>
      </c>
      <c r="BD16" s="547">
        <v>3526718568</v>
      </c>
      <c r="BE16" s="547">
        <v>2830023867</v>
      </c>
      <c r="BF16" s="547">
        <v>1079767233</v>
      </c>
      <c r="BG16" s="547">
        <v>2580378716</v>
      </c>
      <c r="BH16" s="547">
        <v>1936533259</v>
      </c>
      <c r="BI16" s="547">
        <v>2785647821</v>
      </c>
      <c r="BJ16" s="547">
        <v>3190212778</v>
      </c>
      <c r="BK16" s="547">
        <v>492988680</v>
      </c>
      <c r="BL16" s="547">
        <v>1697872250</v>
      </c>
      <c r="BM16" s="3">
        <v>1561117282</v>
      </c>
      <c r="BN16" s="3">
        <v>1312091020</v>
      </c>
      <c r="BO16" s="3">
        <f>2409977682-1000000000</f>
        <v>1409977682</v>
      </c>
      <c r="BP16" s="3">
        <v>2761975218</v>
      </c>
      <c r="BQ16" s="3"/>
      <c r="BR16" s="3"/>
      <c r="BS16" s="3"/>
      <c r="BT16" s="3"/>
      <c r="BU16" s="3"/>
      <c r="BV16" s="3"/>
      <c r="BW16" s="3"/>
    </row>
    <row r="17" spans="1:75" ht="15" customHeight="1" x14ac:dyDescent="0.25">
      <c r="A17" s="95">
        <v>14</v>
      </c>
      <c r="B17" s="64" t="s">
        <v>44</v>
      </c>
      <c r="C17" s="95">
        <v>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>
        <v>279800400</v>
      </c>
      <c r="Q17" s="3">
        <v>629584792</v>
      </c>
      <c r="R17" s="3">
        <v>5262869388</v>
      </c>
      <c r="S17" s="3">
        <v>5865844229</v>
      </c>
      <c r="T17" s="3">
        <v>6716362021</v>
      </c>
      <c r="U17" s="3">
        <v>5914541408</v>
      </c>
      <c r="V17" s="3">
        <v>7570980870</v>
      </c>
      <c r="W17" s="3">
        <v>14478327107</v>
      </c>
      <c r="X17" s="3">
        <v>14878541616</v>
      </c>
      <c r="Y17" s="3">
        <v>15521040753</v>
      </c>
      <c r="Z17" s="3">
        <v>15777554222</v>
      </c>
      <c r="AA17" s="3">
        <v>13155020004</v>
      </c>
      <c r="AB17" s="3">
        <v>13213096075</v>
      </c>
      <c r="AC17" s="3">
        <v>13207515328</v>
      </c>
      <c r="AD17" s="3">
        <v>13382740888</v>
      </c>
      <c r="AE17" s="3">
        <v>771381133</v>
      </c>
      <c r="AF17" s="3">
        <v>692353550</v>
      </c>
      <c r="AG17" s="3">
        <v>844311400</v>
      </c>
      <c r="AH17" s="3">
        <v>1003041400</v>
      </c>
      <c r="AI17" s="3">
        <v>594290000</v>
      </c>
      <c r="AJ17" s="3">
        <v>755687840</v>
      </c>
      <c r="AK17" s="3">
        <v>1679296825</v>
      </c>
      <c r="AL17" s="3">
        <v>302165325</v>
      </c>
      <c r="AM17" s="3">
        <v>150830000</v>
      </c>
      <c r="AN17" s="3">
        <v>123910000</v>
      </c>
      <c r="AO17" s="3">
        <v>138450000</v>
      </c>
      <c r="AP17" s="3">
        <v>134190000</v>
      </c>
      <c r="AQ17" s="3">
        <v>143051350</v>
      </c>
      <c r="AR17" s="3">
        <v>186150000</v>
      </c>
      <c r="AS17" s="3">
        <v>239350000</v>
      </c>
      <c r="AT17" s="3">
        <v>119650000</v>
      </c>
      <c r="AU17" s="3">
        <v>226185400</v>
      </c>
      <c r="AV17" s="3">
        <v>139494200</v>
      </c>
      <c r="AW17" s="3">
        <v>387133780</v>
      </c>
      <c r="AX17" s="3">
        <v>1173221742</v>
      </c>
      <c r="AY17" s="3">
        <v>133534800</v>
      </c>
      <c r="AZ17" s="547">
        <v>612081264</v>
      </c>
      <c r="BA17" s="547">
        <v>1370614445</v>
      </c>
      <c r="BB17" s="547">
        <v>926247000</v>
      </c>
      <c r="BC17" s="547">
        <v>1324005501</v>
      </c>
      <c r="BD17" s="547">
        <v>2003771567</v>
      </c>
      <c r="BE17" s="547">
        <v>1826775993</v>
      </c>
      <c r="BF17" s="547">
        <v>1578043087</v>
      </c>
      <c r="BG17" s="547">
        <v>231679367</v>
      </c>
      <c r="BH17" s="547">
        <v>1384273092</v>
      </c>
      <c r="BI17" s="547">
        <v>1571013432</v>
      </c>
      <c r="BJ17" s="547">
        <v>1648603432</v>
      </c>
      <c r="BK17" s="547">
        <v>2048754161</v>
      </c>
      <c r="BL17" s="547">
        <v>5263719036</v>
      </c>
      <c r="BM17" s="3">
        <v>4605609572</v>
      </c>
      <c r="BN17" s="3">
        <v>4611489850</v>
      </c>
      <c r="BO17" s="3">
        <v>4101729492</v>
      </c>
      <c r="BP17" s="3">
        <v>4072789600</v>
      </c>
      <c r="BQ17" s="3"/>
      <c r="BR17" s="3"/>
      <c r="BS17" s="3"/>
      <c r="BT17" s="3"/>
      <c r="BU17" s="3"/>
      <c r="BV17" s="3"/>
      <c r="BW17" s="3"/>
    </row>
    <row r="18" spans="1:75" ht="15" customHeight="1" x14ac:dyDescent="0.25">
      <c r="A18" s="95">
        <v>15</v>
      </c>
      <c r="B18" s="64" t="s">
        <v>45</v>
      </c>
      <c r="C18" s="95">
        <v>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>
        <v>0</v>
      </c>
      <c r="Q18" s="3">
        <v>1237326000</v>
      </c>
      <c r="R18" s="3">
        <v>1207342428</v>
      </c>
      <c r="S18" s="3">
        <v>1481406247</v>
      </c>
      <c r="T18" s="3">
        <v>1118890251</v>
      </c>
      <c r="U18" s="3">
        <v>1139833660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547"/>
      <c r="BA18" s="547"/>
      <c r="BB18" s="547"/>
      <c r="BC18" s="547"/>
      <c r="BD18" s="547"/>
      <c r="BE18" s="547"/>
      <c r="BF18" s="547"/>
      <c r="BG18" s="547"/>
      <c r="BH18" s="547"/>
      <c r="BI18" s="547"/>
      <c r="BJ18" s="547"/>
      <c r="BK18" s="547"/>
      <c r="BL18" s="547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25">
      <c r="A19" s="95">
        <v>16</v>
      </c>
      <c r="B19" s="64" t="s">
        <v>46</v>
      </c>
      <c r="C19" s="95">
        <v>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547"/>
      <c r="BA19" s="547"/>
      <c r="BB19" s="547"/>
      <c r="BC19" s="547"/>
      <c r="BD19" s="547"/>
      <c r="BE19" s="547"/>
      <c r="BF19" s="547"/>
      <c r="BG19" s="547"/>
      <c r="BH19" s="547"/>
      <c r="BI19" s="547"/>
      <c r="BJ19" s="547"/>
      <c r="BK19" s="547"/>
      <c r="BL19" s="547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25">
      <c r="A20" s="95">
        <v>17</v>
      </c>
      <c r="B20" s="64" t="s">
        <v>47</v>
      </c>
      <c r="C20" s="95">
        <v>6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>
        <v>907716000</v>
      </c>
      <c r="Q20" s="3">
        <v>0</v>
      </c>
      <c r="R20" s="3">
        <v>0</v>
      </c>
      <c r="S20" s="3">
        <v>16000000000</v>
      </c>
      <c r="T20" s="3">
        <v>16000000000</v>
      </c>
      <c r="U20" s="3">
        <v>16000000000</v>
      </c>
      <c r="V20" s="3">
        <v>19823196900</v>
      </c>
      <c r="W20" s="3">
        <v>8774011900</v>
      </c>
      <c r="X20" s="3">
        <v>8413038100</v>
      </c>
      <c r="Y20" s="3">
        <v>4926471835</v>
      </c>
      <c r="Z20" s="3">
        <v>6547730601</v>
      </c>
      <c r="AA20" s="3">
        <v>3903428569</v>
      </c>
      <c r="AB20" s="3">
        <v>4240179560</v>
      </c>
      <c r="AC20" s="3">
        <v>4239945060</v>
      </c>
      <c r="AD20" s="3">
        <v>3214427424</v>
      </c>
      <c r="AE20" s="3">
        <v>3258560424</v>
      </c>
      <c r="AF20" s="3">
        <v>3215392424</v>
      </c>
      <c r="AG20" s="3">
        <v>5131427131</v>
      </c>
      <c r="AH20" s="3">
        <v>3060254501</v>
      </c>
      <c r="AI20" s="3">
        <v>3011941501</v>
      </c>
      <c r="AJ20" s="3">
        <v>3106941501</v>
      </c>
      <c r="AK20" s="3">
        <v>3012941501</v>
      </c>
      <c r="AL20" s="3">
        <v>3008797501</v>
      </c>
      <c r="AM20" s="3">
        <v>2997825106</v>
      </c>
      <c r="AN20" s="3">
        <v>2926425481</v>
      </c>
      <c r="AO20" s="3">
        <v>2975296086</v>
      </c>
      <c r="AP20" s="3">
        <v>2966819436</v>
      </c>
      <c r="AQ20" s="3">
        <v>2968629937</v>
      </c>
      <c r="AR20" s="3">
        <v>2956403586</v>
      </c>
      <c r="AS20" s="3">
        <v>2968631286</v>
      </c>
      <c r="AT20" s="3">
        <v>2960151586</v>
      </c>
      <c r="AU20" s="3">
        <v>2968850986</v>
      </c>
      <c r="AV20" s="3">
        <v>2964917334</v>
      </c>
      <c r="AW20" s="3">
        <v>2970445466</v>
      </c>
      <c r="AX20" s="3">
        <v>2960151586</v>
      </c>
      <c r="AY20" s="3">
        <v>2765111981</v>
      </c>
      <c r="AZ20" s="547">
        <v>2798083324</v>
      </c>
      <c r="BA20" s="547">
        <v>2855083677</v>
      </c>
      <c r="BB20" s="547">
        <v>2761083677</v>
      </c>
      <c r="BC20" s="547">
        <v>2754083677</v>
      </c>
      <c r="BD20" s="547">
        <v>2761850037</v>
      </c>
      <c r="BE20" s="547">
        <v>2829429677</v>
      </c>
      <c r="BF20" s="547">
        <v>2984838785</v>
      </c>
      <c r="BG20" s="547">
        <v>2959829885</v>
      </c>
      <c r="BH20" s="547">
        <v>2961606857</v>
      </c>
      <c r="BI20" s="547">
        <v>3066438160</v>
      </c>
      <c r="BJ20" s="547">
        <v>3087397655</v>
      </c>
      <c r="BK20" s="547">
        <v>2752077277</v>
      </c>
      <c r="BL20" s="547">
        <v>2894890852</v>
      </c>
      <c r="BM20" s="3">
        <v>2900086352</v>
      </c>
      <c r="BN20" s="3">
        <v>2891890852</v>
      </c>
      <c r="BO20" s="3">
        <v>2886314232</v>
      </c>
      <c r="BP20" s="3">
        <v>2891890852</v>
      </c>
      <c r="BQ20" s="3"/>
      <c r="BR20" s="3"/>
      <c r="BS20" s="3"/>
      <c r="BT20" s="3"/>
      <c r="BU20" s="3"/>
      <c r="BV20" s="3"/>
      <c r="BW20" s="3"/>
    </row>
    <row r="21" spans="1:75" ht="15" customHeight="1" x14ac:dyDescent="0.25">
      <c r="A21" s="95">
        <v>18</v>
      </c>
      <c r="B21" s="64" t="s">
        <v>48</v>
      </c>
      <c r="C21" s="95">
        <v>6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547"/>
      <c r="BA21" s="547"/>
      <c r="BB21" s="547"/>
      <c r="BC21" s="547"/>
      <c r="BD21" s="547"/>
      <c r="BE21" s="547"/>
      <c r="BF21" s="547"/>
      <c r="BG21" s="547"/>
      <c r="BH21" s="547"/>
      <c r="BI21" s="547"/>
      <c r="BJ21" s="547"/>
      <c r="BK21" s="547"/>
      <c r="BL21" s="547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25">
      <c r="A22" s="95">
        <v>19</v>
      </c>
      <c r="B22" s="65" t="s">
        <v>49</v>
      </c>
      <c r="C22" s="95">
        <v>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35635344</v>
      </c>
      <c r="AE22" s="3">
        <v>35635372</v>
      </c>
      <c r="AF22" s="3">
        <v>35647822</v>
      </c>
      <c r="AG22" s="3">
        <v>35647822</v>
      </c>
      <c r="AH22" s="3">
        <v>540575545</v>
      </c>
      <c r="AI22" s="3">
        <v>540575545</v>
      </c>
      <c r="AJ22" s="3">
        <v>540575545</v>
      </c>
      <c r="AK22" s="3">
        <v>540575545</v>
      </c>
      <c r="AL22" s="3">
        <v>540575545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547"/>
      <c r="BA22" s="547"/>
      <c r="BB22" s="547"/>
      <c r="BC22" s="547"/>
      <c r="BD22" s="547"/>
      <c r="BE22" s="547"/>
      <c r="BF22" s="547"/>
      <c r="BG22" s="547"/>
      <c r="BH22" s="547"/>
      <c r="BI22" s="547"/>
      <c r="BJ22" s="547"/>
      <c r="BK22" s="547"/>
      <c r="BL22" s="547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25">
      <c r="A23" s="97">
        <v>20</v>
      </c>
      <c r="B23" s="61" t="s">
        <v>50</v>
      </c>
      <c r="C23" s="97">
        <v>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>
        <v>5192308</v>
      </c>
      <c r="P23" s="5">
        <v>260527385</v>
      </c>
      <c r="Q23" s="5">
        <v>1225676658</v>
      </c>
      <c r="R23" s="5">
        <v>2548074011</v>
      </c>
      <c r="S23" s="5">
        <v>2445174864</v>
      </c>
      <c r="T23" s="5">
        <v>2131085985</v>
      </c>
      <c r="U23" s="5">
        <v>1692282273</v>
      </c>
      <c r="V23" s="5">
        <v>3375436615</v>
      </c>
      <c r="W23" s="5">
        <v>5763572471</v>
      </c>
      <c r="X23" s="5">
        <v>8190498707</v>
      </c>
      <c r="Y23" s="5">
        <v>9168125026</v>
      </c>
      <c r="Z23" s="5">
        <v>11657083026</v>
      </c>
      <c r="AA23" s="5">
        <v>11967574946</v>
      </c>
      <c r="AB23" s="5">
        <v>11208754382</v>
      </c>
      <c r="AC23" s="5">
        <v>11059434516</v>
      </c>
      <c r="AD23" s="5">
        <v>12898731573</v>
      </c>
      <c r="AE23" s="5">
        <v>10648876712</v>
      </c>
      <c r="AF23" s="5">
        <v>12025236451</v>
      </c>
      <c r="AG23" s="5">
        <v>8688848053</v>
      </c>
      <c r="AH23" s="5">
        <v>9823260874</v>
      </c>
      <c r="AI23" s="5">
        <v>10423895508</v>
      </c>
      <c r="AJ23" s="5">
        <v>17316552718</v>
      </c>
      <c r="AK23" s="5">
        <v>29252215231</v>
      </c>
      <c r="AL23" s="5">
        <v>25091889779</v>
      </c>
      <c r="AM23" s="5">
        <v>22500552497</v>
      </c>
      <c r="AN23" s="5">
        <v>13208234475</v>
      </c>
      <c r="AO23" s="5">
        <v>14340680867</v>
      </c>
      <c r="AP23" s="5">
        <v>13290433415</v>
      </c>
      <c r="AQ23" s="5">
        <v>13785166707</v>
      </c>
      <c r="AR23" s="5">
        <v>12095843160</v>
      </c>
      <c r="AS23" s="5">
        <v>9876158887</v>
      </c>
      <c r="AT23" s="5">
        <v>8323836901</v>
      </c>
      <c r="AU23" s="5">
        <v>9442710702</v>
      </c>
      <c r="AV23" s="5">
        <v>9382508311</v>
      </c>
      <c r="AW23" s="5">
        <v>8298002387</v>
      </c>
      <c r="AX23" s="5">
        <v>8589623574</v>
      </c>
      <c r="AY23" s="6">
        <v>5867578748</v>
      </c>
      <c r="AZ23" s="549">
        <v>8139296420</v>
      </c>
      <c r="BA23" s="549">
        <v>8144390990</v>
      </c>
      <c r="BB23" s="549">
        <v>5521593497</v>
      </c>
      <c r="BC23" s="549">
        <v>5461032605</v>
      </c>
      <c r="BD23" s="549">
        <v>6208792982</v>
      </c>
      <c r="BE23" s="549">
        <v>7327289485</v>
      </c>
      <c r="BF23" s="549">
        <v>14390258294</v>
      </c>
      <c r="BG23" s="549">
        <v>14910683343</v>
      </c>
      <c r="BH23" s="549">
        <v>7851723952</v>
      </c>
      <c r="BI23" s="549">
        <v>2539444482</v>
      </c>
      <c r="BJ23" s="549">
        <v>4024393760</v>
      </c>
      <c r="BK23" s="549">
        <v>3915897505</v>
      </c>
      <c r="BL23" s="549">
        <f t="shared" ref="BL23:BM23" si="3">SUM(BL24:BL25)</f>
        <v>8778277711</v>
      </c>
      <c r="BM23" s="6">
        <f t="shared" si="3"/>
        <v>10031463386</v>
      </c>
      <c r="BN23" s="6">
        <f>SUM(BN24:BN25)</f>
        <v>8849945399</v>
      </c>
      <c r="BO23" s="6">
        <f>SUM(BO24:BO25)</f>
        <v>4841634225</v>
      </c>
      <c r="BP23" s="6">
        <f>SUM(BP24:BP25)</f>
        <v>4712565569</v>
      </c>
      <c r="BQ23" s="6"/>
      <c r="BR23" s="6"/>
      <c r="BS23" s="6"/>
      <c r="BT23" s="6"/>
      <c r="BU23" s="6"/>
      <c r="BV23" s="6"/>
      <c r="BW23" s="6"/>
    </row>
    <row r="24" spans="1:75" ht="15" customHeight="1" x14ac:dyDescent="0.25">
      <c r="A24" s="95">
        <v>21</v>
      </c>
      <c r="B24" s="62" t="s">
        <v>323</v>
      </c>
      <c r="C24" s="95">
        <v>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>
        <v>5192308</v>
      </c>
      <c r="P24" s="3">
        <v>260527385</v>
      </c>
      <c r="Q24" s="3">
        <v>1225676658</v>
      </c>
      <c r="R24" s="3">
        <v>2548074011</v>
      </c>
      <c r="S24" s="3">
        <v>2445174864</v>
      </c>
      <c r="T24" s="3">
        <v>2131085985</v>
      </c>
      <c r="U24" s="3">
        <v>1692282273</v>
      </c>
      <c r="V24" s="3">
        <v>3375436615</v>
      </c>
      <c r="W24" s="3">
        <v>5763572471</v>
      </c>
      <c r="X24" s="3">
        <v>8190498707</v>
      </c>
      <c r="Y24" s="3">
        <v>9168125026</v>
      </c>
      <c r="Z24" s="3">
        <v>11657083026</v>
      </c>
      <c r="AA24" s="3">
        <v>11967574946</v>
      </c>
      <c r="AB24" s="3">
        <v>11208754382</v>
      </c>
      <c r="AC24" s="3">
        <v>11059434516</v>
      </c>
      <c r="AD24" s="3">
        <v>12947731573</v>
      </c>
      <c r="AE24" s="3">
        <v>10697876712</v>
      </c>
      <c r="AF24" s="3">
        <v>12074236451</v>
      </c>
      <c r="AG24" s="3">
        <v>8737848053</v>
      </c>
      <c r="AH24" s="3">
        <v>9872260874</v>
      </c>
      <c r="AI24" s="3">
        <v>10472895508</v>
      </c>
      <c r="AJ24" s="3">
        <v>17365552718</v>
      </c>
      <c r="AK24" s="3">
        <v>29301215231</v>
      </c>
      <c r="AL24" s="3">
        <v>25140889779</v>
      </c>
      <c r="AM24" s="3">
        <v>22500552497</v>
      </c>
      <c r="AN24" s="3">
        <v>13208234475</v>
      </c>
      <c r="AO24" s="3">
        <v>14340680867</v>
      </c>
      <c r="AP24" s="3">
        <v>13290433415</v>
      </c>
      <c r="AQ24" s="3">
        <v>13785166707</v>
      </c>
      <c r="AR24" s="3">
        <v>12095843160</v>
      </c>
      <c r="AS24" s="3">
        <v>9876158887</v>
      </c>
      <c r="AT24" s="3">
        <v>8323836901</v>
      </c>
      <c r="AU24" s="3">
        <v>9442710702</v>
      </c>
      <c r="AV24" s="3">
        <v>9382508311</v>
      </c>
      <c r="AW24" s="3">
        <v>8298002387</v>
      </c>
      <c r="AX24" s="3">
        <v>8589623574</v>
      </c>
      <c r="AY24" s="3">
        <v>5867578748</v>
      </c>
      <c r="AZ24" s="547">
        <v>8139296420</v>
      </c>
      <c r="BA24" s="547">
        <v>8144390990</v>
      </c>
      <c r="BB24" s="547">
        <v>5521593497</v>
      </c>
      <c r="BC24" s="547">
        <v>5461032605</v>
      </c>
      <c r="BD24" s="547">
        <v>6208792982</v>
      </c>
      <c r="BE24" s="547">
        <v>7327289485</v>
      </c>
      <c r="BF24" s="547">
        <v>14390258294</v>
      </c>
      <c r="BG24" s="547">
        <v>14910683343</v>
      </c>
      <c r="BH24" s="547">
        <v>7851723952</v>
      </c>
      <c r="BI24" s="547">
        <v>2539444482</v>
      </c>
      <c r="BJ24" s="547">
        <v>4024393760</v>
      </c>
      <c r="BK24" s="547">
        <v>3915897505</v>
      </c>
      <c r="BL24" s="547">
        <v>8778277711</v>
      </c>
      <c r="BM24" s="3">
        <v>10031463386</v>
      </c>
      <c r="BN24" s="3">
        <v>8849945399</v>
      </c>
      <c r="BO24" s="3">
        <v>4841634225</v>
      </c>
      <c r="BP24" s="3">
        <v>4712565569</v>
      </c>
      <c r="BQ24" s="3"/>
      <c r="BR24" s="3"/>
      <c r="BS24" s="3"/>
      <c r="BT24" s="3"/>
      <c r="BU24" s="3"/>
      <c r="BV24" s="3"/>
      <c r="BW24" s="3"/>
    </row>
    <row r="25" spans="1:75" ht="15" customHeight="1" x14ac:dyDescent="0.25">
      <c r="A25" s="95">
        <v>22</v>
      </c>
      <c r="B25" s="62" t="s">
        <v>324</v>
      </c>
      <c r="C25" s="95">
        <v>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-49000000</v>
      </c>
      <c r="AE25" s="3">
        <v>-49000000</v>
      </c>
      <c r="AF25" s="3">
        <v>-49000000</v>
      </c>
      <c r="AG25" s="3">
        <v>-49000000</v>
      </c>
      <c r="AH25" s="3">
        <v>-49000000</v>
      </c>
      <c r="AI25" s="3">
        <v>-49000000</v>
      </c>
      <c r="AJ25" s="3">
        <v>-49000000</v>
      </c>
      <c r="AK25" s="3">
        <v>-49000000</v>
      </c>
      <c r="AL25" s="3">
        <v>-49000000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547"/>
      <c r="BA25" s="547"/>
      <c r="BB25" s="547"/>
      <c r="BC25" s="547"/>
      <c r="BD25" s="547"/>
      <c r="BE25" s="547"/>
      <c r="BF25" s="547"/>
      <c r="BG25" s="547"/>
      <c r="BH25" s="547"/>
      <c r="BI25" s="547"/>
      <c r="BJ25" s="547"/>
      <c r="BK25" s="547"/>
      <c r="BL25" s="547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25">
      <c r="A26" s="97">
        <v>23</v>
      </c>
      <c r="B26" s="61" t="s">
        <v>53</v>
      </c>
      <c r="C26" s="97">
        <v>6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6"/>
      <c r="AZ26" s="549"/>
      <c r="BA26" s="549"/>
      <c r="BB26" s="549"/>
      <c r="BC26" s="549"/>
      <c r="BD26" s="549"/>
      <c r="BE26" s="549"/>
      <c r="BF26" s="549"/>
      <c r="BG26" s="549"/>
      <c r="BH26" s="549"/>
      <c r="BI26" s="549"/>
      <c r="BJ26" s="549"/>
      <c r="BK26" s="549"/>
      <c r="BL26" s="549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</row>
    <row r="27" spans="1:75" ht="15" customHeight="1" x14ac:dyDescent="0.25">
      <c r="A27" s="95">
        <v>24</v>
      </c>
      <c r="B27" s="62" t="s">
        <v>54</v>
      </c>
      <c r="C27" s="95">
        <v>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547"/>
      <c r="BA27" s="547"/>
      <c r="BB27" s="547"/>
      <c r="BC27" s="547"/>
      <c r="BD27" s="547"/>
      <c r="BE27" s="547"/>
      <c r="BF27" s="547"/>
      <c r="BG27" s="547"/>
      <c r="BH27" s="547"/>
      <c r="BI27" s="547"/>
      <c r="BJ27" s="547"/>
      <c r="BK27" s="547"/>
      <c r="BL27" s="547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25">
      <c r="A28" s="95">
        <v>25</v>
      </c>
      <c r="B28" s="62" t="s">
        <v>55</v>
      </c>
      <c r="C28" s="95">
        <v>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547"/>
      <c r="BA28" s="547"/>
      <c r="BB28" s="547"/>
      <c r="BC28" s="547"/>
      <c r="BD28" s="547"/>
      <c r="BE28" s="547"/>
      <c r="BF28" s="547"/>
      <c r="BG28" s="547"/>
      <c r="BH28" s="547"/>
      <c r="BI28" s="547"/>
      <c r="BJ28" s="547"/>
      <c r="BK28" s="547"/>
      <c r="BL28" s="547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x14ac:dyDescent="0.25">
      <c r="A29" s="95">
        <v>26</v>
      </c>
      <c r="B29" s="62" t="s">
        <v>56</v>
      </c>
      <c r="C29" s="95">
        <v>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547"/>
      <c r="BA29" s="547"/>
      <c r="BB29" s="547"/>
      <c r="BC29" s="547"/>
      <c r="BD29" s="547"/>
      <c r="BE29" s="547"/>
      <c r="BF29" s="547"/>
      <c r="BG29" s="547"/>
      <c r="BH29" s="547"/>
      <c r="BI29" s="547"/>
      <c r="BJ29" s="547"/>
      <c r="BK29" s="547"/>
      <c r="BL29" s="547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25">
      <c r="A30" s="97">
        <v>27</v>
      </c>
      <c r="B30" s="61" t="s">
        <v>57</v>
      </c>
      <c r="C30" s="97">
        <v>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>
        <v>200000000</v>
      </c>
      <c r="P30" s="5">
        <v>184181242</v>
      </c>
      <c r="Q30" s="5">
        <v>268876457</v>
      </c>
      <c r="R30" s="5">
        <v>3123460776</v>
      </c>
      <c r="S30" s="5">
        <v>3349842567</v>
      </c>
      <c r="T30" s="5">
        <v>3174322245</v>
      </c>
      <c r="U30" s="5">
        <v>3155380988</v>
      </c>
      <c r="V30" s="5">
        <v>92529599</v>
      </c>
      <c r="W30" s="5">
        <v>358028838</v>
      </c>
      <c r="X30" s="5">
        <v>831446994</v>
      </c>
      <c r="Y30" s="5">
        <v>812579873</v>
      </c>
      <c r="Z30" s="5">
        <v>110383743</v>
      </c>
      <c r="AA30" s="5">
        <v>900227844</v>
      </c>
      <c r="AB30" s="5">
        <v>1081172921</v>
      </c>
      <c r="AC30" s="5">
        <v>833765112</v>
      </c>
      <c r="AD30" s="5">
        <v>1048636722</v>
      </c>
      <c r="AE30" s="5">
        <v>284915132</v>
      </c>
      <c r="AF30" s="5">
        <v>158217513</v>
      </c>
      <c r="AG30" s="5">
        <v>112491729</v>
      </c>
      <c r="AH30" s="5">
        <v>198394869</v>
      </c>
      <c r="AI30" s="5">
        <v>157013855</v>
      </c>
      <c r="AJ30" s="5">
        <v>508398882</v>
      </c>
      <c r="AK30" s="5">
        <v>1199429905</v>
      </c>
      <c r="AL30" s="5">
        <v>890562059</v>
      </c>
      <c r="AM30" s="5">
        <v>664365383</v>
      </c>
      <c r="AN30" s="5">
        <v>249461882</v>
      </c>
      <c r="AO30" s="5">
        <v>242962152</v>
      </c>
      <c r="AP30" s="5">
        <v>211577744</v>
      </c>
      <c r="AQ30" s="5">
        <v>169616123</v>
      </c>
      <c r="AR30" s="5">
        <v>267715003</v>
      </c>
      <c r="AS30" s="5">
        <v>240008634</v>
      </c>
      <c r="AT30" s="5">
        <v>213667875</v>
      </c>
      <c r="AU30" s="5">
        <v>191606852</v>
      </c>
      <c r="AV30" s="5">
        <v>178156253</v>
      </c>
      <c r="AW30" s="5">
        <v>190619025</v>
      </c>
      <c r="AX30" s="5">
        <v>399707482</v>
      </c>
      <c r="AY30" s="6">
        <v>496895001</v>
      </c>
      <c r="AZ30" s="549">
        <v>984606154</v>
      </c>
      <c r="BA30" s="549">
        <v>955562341</v>
      </c>
      <c r="BB30" s="549">
        <v>893181836</v>
      </c>
      <c r="BC30" s="549">
        <v>634569518</v>
      </c>
      <c r="BD30" s="549">
        <v>676752756</v>
      </c>
      <c r="BE30" s="549">
        <v>731931681</v>
      </c>
      <c r="BF30" s="549">
        <v>987929211</v>
      </c>
      <c r="BG30" s="549">
        <v>855538824</v>
      </c>
      <c r="BH30" s="549">
        <v>1100146856</v>
      </c>
      <c r="BI30" s="549">
        <v>939181847</v>
      </c>
      <c r="BJ30" s="549">
        <v>733145184</v>
      </c>
      <c r="BK30" s="549">
        <v>771036854</v>
      </c>
      <c r="BL30" s="549">
        <f>+SUM(BL31:BL35)</f>
        <v>803004954</v>
      </c>
      <c r="BM30" s="6">
        <f>+SUM(BM31:BM35)</f>
        <v>617802183</v>
      </c>
      <c r="BN30" s="6">
        <f>+SUM(BN31:BN35)</f>
        <v>679885637</v>
      </c>
      <c r="BO30" s="6">
        <f t="shared" ref="BO30:BP30" si="4">+SUM(BO31:BO35)</f>
        <v>608871833</v>
      </c>
      <c r="BP30" s="6">
        <f t="shared" si="4"/>
        <v>771325704</v>
      </c>
      <c r="BQ30" s="6"/>
      <c r="BR30" s="6"/>
      <c r="BS30" s="6"/>
      <c r="BT30" s="6"/>
      <c r="BU30" s="6"/>
      <c r="BV30" s="6"/>
      <c r="BW30" s="6"/>
    </row>
    <row r="31" spans="1:75" ht="15" customHeight="1" x14ac:dyDescent="0.25">
      <c r="A31" s="95">
        <v>28</v>
      </c>
      <c r="B31" s="64" t="s">
        <v>58</v>
      </c>
      <c r="C31" s="95">
        <v>6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>
        <v>0</v>
      </c>
      <c r="P31" s="3">
        <v>151010000</v>
      </c>
      <c r="Q31" s="3">
        <v>212386163</v>
      </c>
      <c r="R31" s="3">
        <v>267535652</v>
      </c>
      <c r="S31" s="3">
        <v>449975137</v>
      </c>
      <c r="T31" s="3">
        <v>445899118</v>
      </c>
      <c r="U31" s="3">
        <v>408356824</v>
      </c>
      <c r="V31" s="3">
        <v>91133766</v>
      </c>
      <c r="W31" s="3">
        <v>357035998</v>
      </c>
      <c r="X31" s="3">
        <v>831446994</v>
      </c>
      <c r="Y31" s="3">
        <v>812579873</v>
      </c>
      <c r="Z31" s="3">
        <v>110383743</v>
      </c>
      <c r="AA31" s="3">
        <v>231863131</v>
      </c>
      <c r="AB31" s="3">
        <v>390684709</v>
      </c>
      <c r="AC31" s="3">
        <v>352809041</v>
      </c>
      <c r="AD31" s="3">
        <v>444837065</v>
      </c>
      <c r="AE31" s="3">
        <v>197407890</v>
      </c>
      <c r="AF31" s="3">
        <v>163705972</v>
      </c>
      <c r="AG31" s="3">
        <v>238495729</v>
      </c>
      <c r="AH31" s="3">
        <v>324398869</v>
      </c>
      <c r="AI31" s="3">
        <v>283017855</v>
      </c>
      <c r="AJ31" s="3">
        <v>268069706</v>
      </c>
      <c r="AK31" s="3">
        <v>241162098</v>
      </c>
      <c r="AL31" s="3">
        <v>208573858</v>
      </c>
      <c r="AM31" s="3">
        <v>311617833</v>
      </c>
      <c r="AN31" s="3">
        <v>375465882</v>
      </c>
      <c r="AO31" s="3">
        <v>368966152</v>
      </c>
      <c r="AP31" s="3">
        <v>337581744</v>
      </c>
      <c r="AQ31" s="3">
        <v>295620123</v>
      </c>
      <c r="AR31" s="3">
        <v>267715003</v>
      </c>
      <c r="AS31" s="3">
        <v>240008634</v>
      </c>
      <c r="AT31" s="3">
        <v>213667875</v>
      </c>
      <c r="AU31" s="3">
        <v>191606852</v>
      </c>
      <c r="AV31" s="3">
        <v>178156253</v>
      </c>
      <c r="AW31" s="3">
        <v>190619025</v>
      </c>
      <c r="AX31" s="3">
        <v>399707482</v>
      </c>
      <c r="AY31" s="3">
        <v>496895001</v>
      </c>
      <c r="AZ31" s="547">
        <v>992360354</v>
      </c>
      <c r="BA31" s="547">
        <v>963316541</v>
      </c>
      <c r="BB31" s="547">
        <v>900936036</v>
      </c>
      <c r="BC31" s="547">
        <v>642323718</v>
      </c>
      <c r="BD31" s="547">
        <v>684506956</v>
      </c>
      <c r="BE31" s="547">
        <v>739685881</v>
      </c>
      <c r="BF31" s="547">
        <v>995683411</v>
      </c>
      <c r="BG31" s="547">
        <v>863293024</v>
      </c>
      <c r="BH31" s="547">
        <v>1107901056</v>
      </c>
      <c r="BI31" s="547">
        <v>946936047</v>
      </c>
      <c r="BJ31" s="547">
        <v>740899384</v>
      </c>
      <c r="BK31" s="547">
        <v>778319454</v>
      </c>
      <c r="BL31" s="547">
        <v>810287554</v>
      </c>
      <c r="BM31" s="3">
        <v>617802183</v>
      </c>
      <c r="BN31" s="3">
        <v>679885637</v>
      </c>
      <c r="BO31" s="3">
        <v>606597139</v>
      </c>
      <c r="BP31" s="3">
        <v>768327062</v>
      </c>
      <c r="BQ31" s="3"/>
      <c r="BR31" s="3"/>
      <c r="BS31" s="3"/>
      <c r="BT31" s="3"/>
      <c r="BU31" s="3"/>
      <c r="BV31" s="3"/>
      <c r="BW31" s="3"/>
    </row>
    <row r="32" spans="1:75" ht="15" customHeight="1" x14ac:dyDescent="0.25">
      <c r="A32" s="95">
        <v>29</v>
      </c>
      <c r="B32" s="64" t="s">
        <v>59</v>
      </c>
      <c r="C32" s="95">
        <v>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>
        <v>0</v>
      </c>
      <c r="P32" s="3">
        <v>32727242</v>
      </c>
      <c r="Q32" s="3">
        <v>55836294</v>
      </c>
      <c r="R32" s="3">
        <v>138701524</v>
      </c>
      <c r="S32" s="3">
        <v>182643830</v>
      </c>
      <c r="T32" s="3">
        <v>11199527</v>
      </c>
      <c r="U32" s="3">
        <v>29800564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668364713</v>
      </c>
      <c r="AB32" s="3">
        <v>690488212</v>
      </c>
      <c r="AC32" s="3">
        <v>480956071</v>
      </c>
      <c r="AD32" s="3">
        <v>603799657</v>
      </c>
      <c r="AE32" s="3">
        <v>87507242</v>
      </c>
      <c r="AF32" s="3">
        <v>-5488459</v>
      </c>
      <c r="AG32" s="3">
        <v>-126004000</v>
      </c>
      <c r="AH32" s="3">
        <v>-126004000</v>
      </c>
      <c r="AI32" s="3">
        <v>-126004000</v>
      </c>
      <c r="AJ32" s="3">
        <v>240329176</v>
      </c>
      <c r="AK32" s="3">
        <v>958267807</v>
      </c>
      <c r="AL32" s="3">
        <v>681988201</v>
      </c>
      <c r="AM32" s="3">
        <v>352747550</v>
      </c>
      <c r="AN32" s="3">
        <v>-126004000</v>
      </c>
      <c r="AO32" s="3">
        <v>-126004000</v>
      </c>
      <c r="AP32" s="3">
        <v>-126004000</v>
      </c>
      <c r="AQ32" s="3">
        <v>-126004000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547">
        <v>-7754200</v>
      </c>
      <c r="BA32" s="547">
        <v>-7754200</v>
      </c>
      <c r="BB32" s="547">
        <v>-7754200</v>
      </c>
      <c r="BC32" s="547">
        <v>-7754200</v>
      </c>
      <c r="BD32" s="547">
        <v>-7754200</v>
      </c>
      <c r="BE32" s="547">
        <v>-7754200</v>
      </c>
      <c r="BF32" s="547">
        <v>-7754200</v>
      </c>
      <c r="BG32" s="547">
        <v>-7754200</v>
      </c>
      <c r="BH32" s="547">
        <v>-7754200</v>
      </c>
      <c r="BI32" s="547">
        <v>-7754200</v>
      </c>
      <c r="BJ32" s="547">
        <v>-7754200</v>
      </c>
      <c r="BK32" s="547">
        <v>-7282600</v>
      </c>
      <c r="BL32" s="547">
        <v>-7282600</v>
      </c>
      <c r="BM32" s="3"/>
      <c r="BN32" s="3"/>
      <c r="BO32" s="3">
        <v>0</v>
      </c>
      <c r="BP32" s="3"/>
      <c r="BQ32" s="3"/>
      <c r="BR32" s="3"/>
      <c r="BS32" s="3"/>
      <c r="BT32" s="3"/>
      <c r="BU32" s="3"/>
      <c r="BV32" s="3"/>
      <c r="BW32" s="3"/>
    </row>
    <row r="33" spans="1:75" ht="15" customHeight="1" x14ac:dyDescent="0.25">
      <c r="A33" s="95">
        <v>30</v>
      </c>
      <c r="B33" s="64" t="s">
        <v>60</v>
      </c>
      <c r="C33" s="95">
        <v>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1395833</v>
      </c>
      <c r="W33" s="3">
        <v>992840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547"/>
      <c r="BA33" s="547"/>
      <c r="BB33" s="547"/>
      <c r="BC33" s="547"/>
      <c r="BD33" s="547"/>
      <c r="BE33" s="547"/>
      <c r="BF33" s="547"/>
      <c r="BG33" s="547"/>
      <c r="BH33" s="547"/>
      <c r="BI33" s="547"/>
      <c r="BJ33" s="547"/>
      <c r="BK33" s="547"/>
      <c r="BL33" s="547"/>
      <c r="BM33" s="3"/>
      <c r="BN33" s="3"/>
      <c r="BO33" s="3">
        <v>2274694</v>
      </c>
      <c r="BP33" s="3">
        <v>2998642</v>
      </c>
      <c r="BQ33" s="3"/>
      <c r="BR33" s="3"/>
      <c r="BS33" s="3"/>
      <c r="BT33" s="3"/>
      <c r="BU33" s="3"/>
      <c r="BV33" s="3"/>
      <c r="BW33" s="3"/>
    </row>
    <row r="34" spans="1:75" ht="15" customHeight="1" x14ac:dyDescent="0.25">
      <c r="A34" s="95">
        <v>31</v>
      </c>
      <c r="B34" s="64" t="s">
        <v>61</v>
      </c>
      <c r="C34" s="95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547"/>
      <c r="BA34" s="547"/>
      <c r="BB34" s="547"/>
      <c r="BC34" s="547"/>
      <c r="BD34" s="547"/>
      <c r="BE34" s="547"/>
      <c r="BF34" s="547"/>
      <c r="BG34" s="547"/>
      <c r="BH34" s="547"/>
      <c r="BI34" s="547"/>
      <c r="BJ34" s="547"/>
      <c r="BK34" s="547"/>
      <c r="BL34" s="547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25">
      <c r="A35" s="95">
        <v>32</v>
      </c>
      <c r="B35" s="64" t="s">
        <v>62</v>
      </c>
      <c r="C35" s="95">
        <v>6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>
        <v>200000000</v>
      </c>
      <c r="P35" s="3">
        <v>444000</v>
      </c>
      <c r="Q35" s="3">
        <v>654000</v>
      </c>
      <c r="R35" s="3">
        <v>2717223600</v>
      </c>
      <c r="S35" s="3">
        <v>2717223600</v>
      </c>
      <c r="T35" s="3">
        <v>2717223600</v>
      </c>
      <c r="U35" s="3">
        <v>2717223600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547"/>
      <c r="BA35" s="547"/>
      <c r="BB35" s="547"/>
      <c r="BC35" s="547"/>
      <c r="BD35" s="547"/>
      <c r="BE35" s="547"/>
      <c r="BF35" s="547"/>
      <c r="BG35" s="547"/>
      <c r="BH35" s="547"/>
      <c r="BI35" s="547"/>
      <c r="BJ35" s="547"/>
      <c r="BK35" s="547"/>
      <c r="BL35" s="547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 x14ac:dyDescent="0.25">
      <c r="A36" s="98">
        <v>33</v>
      </c>
      <c r="B36" s="66" t="s">
        <v>325</v>
      </c>
      <c r="C36" s="98">
        <v>6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>
        <v>0</v>
      </c>
      <c r="P36" s="7">
        <v>0</v>
      </c>
      <c r="Q36" s="7">
        <v>0</v>
      </c>
      <c r="R36" s="7">
        <v>462000000</v>
      </c>
      <c r="S36" s="7">
        <v>462000000</v>
      </c>
      <c r="T36" s="7">
        <v>462000000</v>
      </c>
      <c r="U36" s="7">
        <v>1943788000</v>
      </c>
      <c r="V36" s="7">
        <v>2266400769</v>
      </c>
      <c r="W36" s="7">
        <v>3490630832</v>
      </c>
      <c r="X36" s="7">
        <v>3866735423</v>
      </c>
      <c r="Y36" s="7">
        <v>9626390273</v>
      </c>
      <c r="Z36" s="7">
        <v>11490539572</v>
      </c>
      <c r="AA36" s="7">
        <v>31067630649</v>
      </c>
      <c r="AB36" s="7">
        <v>30671144800</v>
      </c>
      <c r="AC36" s="7">
        <v>30824287565</v>
      </c>
      <c r="AD36" s="7">
        <v>33168916809</v>
      </c>
      <c r="AE36" s="7">
        <v>32939153900</v>
      </c>
      <c r="AF36" s="7">
        <v>32660929419</v>
      </c>
      <c r="AG36" s="7">
        <v>32440866046</v>
      </c>
      <c r="AH36" s="7">
        <v>32188548540</v>
      </c>
      <c r="AI36" s="7">
        <v>33961565703</v>
      </c>
      <c r="AJ36" s="7">
        <v>33674231630</v>
      </c>
      <c r="AK36" s="7">
        <v>33422060179</v>
      </c>
      <c r="AL36" s="7">
        <v>34414308792</v>
      </c>
      <c r="AM36" s="7">
        <v>30563499221</v>
      </c>
      <c r="AN36" s="7">
        <v>30466419236</v>
      </c>
      <c r="AO36" s="7">
        <v>29463849338</v>
      </c>
      <c r="AP36" s="7">
        <v>28987262147</v>
      </c>
      <c r="AQ36" s="7">
        <v>28415924614</v>
      </c>
      <c r="AR36" s="7">
        <v>27915539418</v>
      </c>
      <c r="AS36" s="7">
        <v>27371434219</v>
      </c>
      <c r="AT36" s="7">
        <v>26921557774</v>
      </c>
      <c r="AU36" s="7">
        <v>26610306328</v>
      </c>
      <c r="AV36" s="7">
        <v>26020754879</v>
      </c>
      <c r="AW36" s="7">
        <v>25817377133</v>
      </c>
      <c r="AX36" s="7">
        <v>25219667553</v>
      </c>
      <c r="AY36" s="8">
        <v>24673757974</v>
      </c>
      <c r="AZ36" s="550">
        <v>24898331523</v>
      </c>
      <c r="BA36" s="550">
        <v>24353477882</v>
      </c>
      <c r="BB36" s="550">
        <v>24260264292</v>
      </c>
      <c r="BC36" s="550">
        <v>24728040870</v>
      </c>
      <c r="BD36" s="550">
        <v>24164134378</v>
      </c>
      <c r="BE36" s="550">
        <v>23241808674</v>
      </c>
      <c r="BF36" s="550">
        <v>25141658929</v>
      </c>
      <c r="BG36" s="550">
        <v>25082315070</v>
      </c>
      <c r="BH36" s="550">
        <v>24399717348</v>
      </c>
      <c r="BI36" s="550">
        <v>23806872186</v>
      </c>
      <c r="BJ36" s="550">
        <v>23163884916</v>
      </c>
      <c r="BK36" s="550">
        <v>22792550879</v>
      </c>
      <c r="BL36" s="550">
        <f>+BL37+BL44+BL63+BL69+BL76+BL66</f>
        <v>26964505614</v>
      </c>
      <c r="BM36" s="8">
        <f>+BM37+BM44+BM63+BM69+BM76+BM66</f>
        <v>27399313180</v>
      </c>
      <c r="BN36" s="8">
        <f>+BN37+BN44+BN63+BN69+BN76+BN66</f>
        <v>28771128507</v>
      </c>
      <c r="BO36" s="8">
        <f t="shared" ref="BO36:BP36" si="5">+BO37+BO44+BO63+BO69+BO76+BO66</f>
        <v>28781794761</v>
      </c>
      <c r="BP36" s="8">
        <f t="shared" si="5"/>
        <v>28617949438</v>
      </c>
      <c r="BQ36" s="8"/>
      <c r="BR36" s="8"/>
      <c r="BS36" s="8"/>
      <c r="BT36" s="8"/>
      <c r="BU36" s="8"/>
      <c r="BV36" s="8"/>
      <c r="BW36" s="8"/>
    </row>
    <row r="37" spans="1:75" ht="15" customHeight="1" x14ac:dyDescent="0.25">
      <c r="A37" s="97">
        <v>34</v>
      </c>
      <c r="B37" s="61" t="s">
        <v>64</v>
      </c>
      <c r="C37" s="97">
        <v>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0</v>
      </c>
      <c r="AZ37" s="549"/>
      <c r="BA37" s="549"/>
      <c r="BB37" s="549"/>
      <c r="BC37" s="549"/>
      <c r="BD37" s="549"/>
      <c r="BE37" s="549"/>
      <c r="BF37" s="549"/>
      <c r="BG37" s="549"/>
      <c r="BH37" s="549"/>
      <c r="BI37" s="549"/>
      <c r="BJ37" s="549"/>
      <c r="BK37" s="549"/>
      <c r="BL37" s="549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</row>
    <row r="38" spans="1:75" ht="15" customHeight="1" x14ac:dyDescent="0.25">
      <c r="A38" s="95">
        <v>35</v>
      </c>
      <c r="B38" s="62" t="s">
        <v>65</v>
      </c>
      <c r="C38" s="95">
        <v>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547"/>
      <c r="BA38" s="547"/>
      <c r="BB38" s="547"/>
      <c r="BC38" s="547"/>
      <c r="BD38" s="547"/>
      <c r="BE38" s="547"/>
      <c r="BF38" s="547"/>
      <c r="BG38" s="547"/>
      <c r="BH38" s="547"/>
      <c r="BI38" s="547"/>
      <c r="BJ38" s="547"/>
      <c r="BK38" s="547"/>
      <c r="BL38" s="547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25">
      <c r="A39" s="95">
        <v>36</v>
      </c>
      <c r="B39" s="62" t="s">
        <v>66</v>
      </c>
      <c r="C39" s="95">
        <v>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547"/>
      <c r="BA39" s="547"/>
      <c r="BB39" s="547"/>
      <c r="BC39" s="547"/>
      <c r="BD39" s="547"/>
      <c r="BE39" s="547"/>
      <c r="BF39" s="547"/>
      <c r="BG39" s="547"/>
      <c r="BH39" s="547"/>
      <c r="BI39" s="547"/>
      <c r="BJ39" s="547"/>
      <c r="BK39" s="547"/>
      <c r="BL39" s="547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25">
      <c r="A40" s="95">
        <v>37</v>
      </c>
      <c r="B40" s="62" t="s">
        <v>67</v>
      </c>
      <c r="C40" s="95">
        <v>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547"/>
      <c r="BA40" s="547"/>
      <c r="BB40" s="547"/>
      <c r="BC40" s="547"/>
      <c r="BD40" s="547"/>
      <c r="BE40" s="547"/>
      <c r="BF40" s="547"/>
      <c r="BG40" s="547"/>
      <c r="BH40" s="547"/>
      <c r="BI40" s="547"/>
      <c r="BJ40" s="547"/>
      <c r="BK40" s="547"/>
      <c r="BL40" s="547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25">
      <c r="A41" s="95">
        <v>38</v>
      </c>
      <c r="B41" s="62" t="s">
        <v>68</v>
      </c>
      <c r="C41" s="95">
        <v>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547"/>
      <c r="BA41" s="547"/>
      <c r="BB41" s="547"/>
      <c r="BC41" s="547"/>
      <c r="BD41" s="547"/>
      <c r="BE41" s="547"/>
      <c r="BF41" s="547"/>
      <c r="BG41" s="547"/>
      <c r="BH41" s="547"/>
      <c r="BI41" s="547"/>
      <c r="BJ41" s="547"/>
      <c r="BK41" s="547"/>
      <c r="BL41" s="547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25">
      <c r="A42" s="95">
        <v>39</v>
      </c>
      <c r="B42" s="62" t="s">
        <v>69</v>
      </c>
      <c r="C42" s="95">
        <v>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547"/>
      <c r="BA42" s="547"/>
      <c r="BB42" s="547"/>
      <c r="BC42" s="547"/>
      <c r="BD42" s="547"/>
      <c r="BE42" s="547"/>
      <c r="BF42" s="547"/>
      <c r="BG42" s="547"/>
      <c r="BH42" s="547"/>
      <c r="BI42" s="547"/>
      <c r="BJ42" s="547"/>
      <c r="BK42" s="547"/>
      <c r="BL42" s="547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25">
      <c r="A43" s="95">
        <v>40</v>
      </c>
      <c r="B43" s="62" t="s">
        <v>70</v>
      </c>
      <c r="C43" s="95">
        <v>6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547"/>
      <c r="BA43" s="547"/>
      <c r="BB43" s="547"/>
      <c r="BC43" s="547"/>
      <c r="BD43" s="547"/>
      <c r="BE43" s="547"/>
      <c r="BF43" s="547"/>
      <c r="BG43" s="547"/>
      <c r="BH43" s="547"/>
      <c r="BI43" s="547"/>
      <c r="BJ43" s="547"/>
      <c r="BK43" s="547"/>
      <c r="BL43" s="547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25">
      <c r="A44" s="97">
        <v>41</v>
      </c>
      <c r="B44" s="67" t="s">
        <v>326</v>
      </c>
      <c r="C44" s="97">
        <v>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>
        <v>0</v>
      </c>
      <c r="P44" s="5">
        <v>0</v>
      </c>
      <c r="Q44" s="5">
        <v>0</v>
      </c>
      <c r="R44" s="5">
        <v>462000000</v>
      </c>
      <c r="S44" s="5">
        <v>462000000</v>
      </c>
      <c r="T44" s="5">
        <v>462000000</v>
      </c>
      <c r="U44" s="5">
        <v>1943788000</v>
      </c>
      <c r="V44" s="5">
        <v>1911263200</v>
      </c>
      <c r="W44" s="5">
        <v>3056568400</v>
      </c>
      <c r="X44" s="5">
        <v>3359920431</v>
      </c>
      <c r="Y44" s="5">
        <v>3301840009</v>
      </c>
      <c r="Z44" s="5">
        <v>5856814587</v>
      </c>
      <c r="AA44" s="5">
        <v>24882961817</v>
      </c>
      <c r="AB44" s="5">
        <v>24844962502</v>
      </c>
      <c r="AC44" s="5">
        <v>24764647241</v>
      </c>
      <c r="AD44" s="5">
        <v>27066811225</v>
      </c>
      <c r="AE44" s="5">
        <v>26915195710</v>
      </c>
      <c r="AF44" s="5">
        <v>26637269796</v>
      </c>
      <c r="AG44" s="5">
        <v>26428304990</v>
      </c>
      <c r="AH44" s="5">
        <v>26161056851</v>
      </c>
      <c r="AI44" s="5">
        <v>26640077697</v>
      </c>
      <c r="AJ44" s="5">
        <v>26410412135</v>
      </c>
      <c r="AK44" s="5">
        <v>25774058699</v>
      </c>
      <c r="AL44" s="5">
        <v>25398080395</v>
      </c>
      <c r="AM44" s="5">
        <v>25022102089</v>
      </c>
      <c r="AN44" s="5">
        <v>24904824264</v>
      </c>
      <c r="AO44" s="5">
        <v>24406179985</v>
      </c>
      <c r="AP44" s="5">
        <v>23907535705</v>
      </c>
      <c r="AQ44" s="5">
        <v>26284009944</v>
      </c>
      <c r="AR44" s="5">
        <v>26129962179</v>
      </c>
      <c r="AS44" s="5">
        <v>25609819411</v>
      </c>
      <c r="AT44" s="5">
        <v>25183905397</v>
      </c>
      <c r="AU44" s="5">
        <v>24885816382</v>
      </c>
      <c r="AV44" s="5">
        <v>24320227364</v>
      </c>
      <c r="AW44" s="5">
        <v>24135828708</v>
      </c>
      <c r="AX44" s="5">
        <v>23562298226</v>
      </c>
      <c r="AY44" s="6">
        <v>23029767745</v>
      </c>
      <c r="AZ44" s="549">
        <v>23179097275</v>
      </c>
      <c r="BA44" s="549">
        <v>22592859083</v>
      </c>
      <c r="BB44" s="549">
        <v>22006620894</v>
      </c>
      <c r="BC44" s="549">
        <v>22422447764</v>
      </c>
      <c r="BD44" s="549">
        <v>21828084571</v>
      </c>
      <c r="BE44" s="549">
        <v>20525863109</v>
      </c>
      <c r="BF44" s="549">
        <v>22436833132</v>
      </c>
      <c r="BG44" s="549">
        <v>21812594347</v>
      </c>
      <c r="BH44" s="549">
        <v>21188355568</v>
      </c>
      <c r="BI44" s="549">
        <v>20564116784</v>
      </c>
      <c r="BJ44" s="549">
        <v>19939878006</v>
      </c>
      <c r="BK44" s="549">
        <v>19373639224</v>
      </c>
      <c r="BL44" s="549">
        <f>+BL45+BL51+BL48</f>
        <v>19468422486</v>
      </c>
      <c r="BM44" s="6">
        <f>+BM45+BM51+BM48</f>
        <v>19106796849</v>
      </c>
      <c r="BN44" s="6">
        <f>+BN45+BN51+BN48</f>
        <v>19254734855</v>
      </c>
      <c r="BO44" s="6">
        <f>+BO45+BO51+BO48</f>
        <v>18892152027</v>
      </c>
      <c r="BP44" s="6">
        <f>+BP45+BP51+BP48</f>
        <v>18529569191</v>
      </c>
      <c r="BQ44" s="6"/>
      <c r="BR44" s="6"/>
      <c r="BS44" s="6"/>
      <c r="BT44" s="6"/>
      <c r="BU44" s="6"/>
      <c r="BV44" s="6"/>
      <c r="BW44" s="6"/>
    </row>
    <row r="45" spans="1:75" ht="15" customHeight="1" x14ac:dyDescent="0.25">
      <c r="A45" s="97">
        <v>42</v>
      </c>
      <c r="B45" s="68" t="s">
        <v>327</v>
      </c>
      <c r="C45" s="97">
        <v>6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>
        <v>0</v>
      </c>
      <c r="P45" s="5">
        <v>0</v>
      </c>
      <c r="Q45" s="5">
        <v>0</v>
      </c>
      <c r="R45" s="5">
        <v>462000000</v>
      </c>
      <c r="S45" s="5">
        <v>462000000</v>
      </c>
      <c r="T45" s="5">
        <v>462000000</v>
      </c>
      <c r="U45" s="5">
        <v>1943788000</v>
      </c>
      <c r="V45" s="5">
        <v>1911263200</v>
      </c>
      <c r="W45" s="5">
        <v>3056568400</v>
      </c>
      <c r="X45" s="5">
        <v>3004413100</v>
      </c>
      <c r="Y45" s="5">
        <v>2952257800</v>
      </c>
      <c r="Z45" s="5">
        <v>5440657500</v>
      </c>
      <c r="AA45" s="5">
        <v>24473979853</v>
      </c>
      <c r="AB45" s="5">
        <v>24443155660</v>
      </c>
      <c r="AC45" s="5">
        <v>24370015521</v>
      </c>
      <c r="AD45" s="5">
        <v>26679354628</v>
      </c>
      <c r="AE45" s="5">
        <v>26534914235</v>
      </c>
      <c r="AF45" s="5">
        <v>26264163443</v>
      </c>
      <c r="AG45" s="5">
        <v>26062373759</v>
      </c>
      <c r="AH45" s="5">
        <v>25802300742</v>
      </c>
      <c r="AI45" s="5">
        <v>26288496710</v>
      </c>
      <c r="AJ45" s="5">
        <v>26066006271</v>
      </c>
      <c r="AK45" s="5">
        <v>25436827957</v>
      </c>
      <c r="AL45" s="5">
        <v>25068024775</v>
      </c>
      <c r="AM45" s="5">
        <v>24699221591</v>
      </c>
      <c r="AN45" s="5">
        <v>24589118888</v>
      </c>
      <c r="AO45" s="5">
        <v>24097649731</v>
      </c>
      <c r="AP45" s="5">
        <v>23606180574</v>
      </c>
      <c r="AQ45" s="5">
        <v>25989829935</v>
      </c>
      <c r="AR45" s="5">
        <v>25842957292</v>
      </c>
      <c r="AS45" s="5">
        <v>25329989646</v>
      </c>
      <c r="AT45" s="5">
        <v>24911250754</v>
      </c>
      <c r="AU45" s="5">
        <v>24620336861</v>
      </c>
      <c r="AV45" s="5">
        <v>24061922966</v>
      </c>
      <c r="AW45" s="5">
        <v>23884699432</v>
      </c>
      <c r="AX45" s="5">
        <v>23318344072</v>
      </c>
      <c r="AY45" s="6">
        <v>22792988713</v>
      </c>
      <c r="AZ45" s="549">
        <v>22949493365</v>
      </c>
      <c r="BA45" s="549">
        <v>22370430295</v>
      </c>
      <c r="BB45" s="549">
        <v>21791367229</v>
      </c>
      <c r="BC45" s="549">
        <v>22214369221</v>
      </c>
      <c r="BD45" s="549">
        <v>21627181150</v>
      </c>
      <c r="BE45" s="549">
        <v>20332134810</v>
      </c>
      <c r="BF45" s="549">
        <v>22250279955</v>
      </c>
      <c r="BG45" s="549">
        <v>21633216292</v>
      </c>
      <c r="BH45" s="549">
        <v>21016152636</v>
      </c>
      <c r="BI45" s="549">
        <v>20399088974</v>
      </c>
      <c r="BJ45" s="549">
        <v>19782025318</v>
      </c>
      <c r="BK45" s="549">
        <v>19222961658</v>
      </c>
      <c r="BL45" s="549">
        <f>+SUM(BL46:BL47)</f>
        <v>19320388386</v>
      </c>
      <c r="BM45" s="6">
        <f>+SUM(BM46:BM47)</f>
        <v>18961406215</v>
      </c>
      <c r="BN45" s="6">
        <f>+SUM(BN46:BN47)</f>
        <v>19111987687</v>
      </c>
      <c r="BO45" s="6">
        <f>+SUM(BO46:BO47)</f>
        <v>18752048325</v>
      </c>
      <c r="BP45" s="6">
        <f>+SUM(BP46:BP47)</f>
        <v>18392108955</v>
      </c>
      <c r="BQ45" s="6"/>
      <c r="BR45" s="6"/>
      <c r="BS45" s="6"/>
      <c r="BT45" s="6"/>
      <c r="BU45" s="6"/>
      <c r="BV45" s="6"/>
      <c r="BW45" s="6"/>
    </row>
    <row r="46" spans="1:75" ht="15" customHeight="1" x14ac:dyDescent="0.25">
      <c r="A46" s="95">
        <v>43</v>
      </c>
      <c r="B46" s="69" t="s">
        <v>328</v>
      </c>
      <c r="C46" s="95">
        <v>6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>
        <v>0</v>
      </c>
      <c r="P46" s="3">
        <v>0</v>
      </c>
      <c r="Q46" s="3">
        <v>0</v>
      </c>
      <c r="R46" s="3">
        <v>462000000</v>
      </c>
      <c r="S46" s="3">
        <v>462000000</v>
      </c>
      <c r="T46" s="3">
        <v>462000000</v>
      </c>
      <c r="U46" s="3">
        <v>1951488000</v>
      </c>
      <c r="V46" s="3">
        <v>1951488000</v>
      </c>
      <c r="W46" s="3">
        <v>3129318000</v>
      </c>
      <c r="X46" s="3">
        <v>3129318000</v>
      </c>
      <c r="Y46" s="3">
        <v>3129318000</v>
      </c>
      <c r="Z46" s="3">
        <v>5669873000</v>
      </c>
      <c r="AA46" s="3">
        <v>24797693236</v>
      </c>
      <c r="AB46" s="3">
        <v>25145081203</v>
      </c>
      <c r="AC46" s="3">
        <v>25261281203</v>
      </c>
      <c r="AD46" s="3">
        <v>27782012343</v>
      </c>
      <c r="AE46" s="3">
        <v>27889726170</v>
      </c>
      <c r="AF46" s="3">
        <v>27889726170</v>
      </c>
      <c r="AG46" s="3">
        <v>27912726170</v>
      </c>
      <c r="AH46" s="3">
        <v>27912726170</v>
      </c>
      <c r="AI46" s="3">
        <v>28762726170</v>
      </c>
      <c r="AJ46" s="3">
        <v>28915214570</v>
      </c>
      <c r="AK46" s="3">
        <v>28611384570</v>
      </c>
      <c r="AL46" s="3">
        <v>28611384570</v>
      </c>
      <c r="AM46" s="3">
        <v>28611384570</v>
      </c>
      <c r="AN46" s="3">
        <v>28987796607</v>
      </c>
      <c r="AO46" s="3">
        <v>28987796607</v>
      </c>
      <c r="AP46" s="3">
        <v>28987796607</v>
      </c>
      <c r="AQ46" s="3">
        <v>31911645948</v>
      </c>
      <c r="AR46" s="3">
        <v>32315720948</v>
      </c>
      <c r="AS46" s="3">
        <v>32353700948</v>
      </c>
      <c r="AT46" s="3">
        <v>32486700948</v>
      </c>
      <c r="AU46" s="3">
        <v>32754200948</v>
      </c>
      <c r="AV46" s="3">
        <v>32754200948</v>
      </c>
      <c r="AW46" s="3">
        <v>33143332773</v>
      </c>
      <c r="AX46" s="3">
        <v>33143332773</v>
      </c>
      <c r="AY46" s="3">
        <v>33184332773</v>
      </c>
      <c r="AZ46" s="547">
        <v>33921758270</v>
      </c>
      <c r="BA46" s="547">
        <v>33921758270</v>
      </c>
      <c r="BB46" s="547">
        <v>33921758270</v>
      </c>
      <c r="BC46" s="547">
        <v>34931948329</v>
      </c>
      <c r="BD46" s="547">
        <v>34931948329</v>
      </c>
      <c r="BE46" s="547">
        <v>33539283529</v>
      </c>
      <c r="BF46" s="547">
        <v>36032931529</v>
      </c>
      <c r="BG46" s="547">
        <v>36032931529</v>
      </c>
      <c r="BH46" s="547">
        <v>36032931529</v>
      </c>
      <c r="BI46" s="547">
        <v>36032931529</v>
      </c>
      <c r="BJ46" s="547">
        <v>36032931529</v>
      </c>
      <c r="BK46" s="547">
        <v>36090931529</v>
      </c>
      <c r="BL46" s="547">
        <v>36051590779</v>
      </c>
      <c r="BM46" s="3">
        <v>36051590779</v>
      </c>
      <c r="BN46" s="3">
        <v>36558590779</v>
      </c>
      <c r="BO46" s="3">
        <v>36558590779</v>
      </c>
      <c r="BP46" s="3">
        <v>36558590779</v>
      </c>
      <c r="BQ46" s="3"/>
      <c r="BR46" s="3"/>
      <c r="BS46" s="3"/>
      <c r="BT46" s="3"/>
      <c r="BU46" s="3"/>
      <c r="BV46" s="3"/>
      <c r="BW46" s="3"/>
    </row>
    <row r="47" spans="1:75" ht="15" customHeight="1" x14ac:dyDescent="0.25">
      <c r="A47" s="95">
        <v>44</v>
      </c>
      <c r="B47" s="69" t="s">
        <v>329</v>
      </c>
      <c r="C47" s="95">
        <v>6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-7700000</v>
      </c>
      <c r="V47" s="3">
        <v>-40224800</v>
      </c>
      <c r="W47" s="3">
        <v>-72749600</v>
      </c>
      <c r="X47" s="3">
        <v>-124904900</v>
      </c>
      <c r="Y47" s="3">
        <v>-177060200</v>
      </c>
      <c r="Z47" s="3">
        <v>-229215500</v>
      </c>
      <c r="AA47" s="3">
        <v>-323713383</v>
      </c>
      <c r="AB47" s="3">
        <v>-701925543</v>
      </c>
      <c r="AC47" s="3">
        <v>-891265682</v>
      </c>
      <c r="AD47" s="3">
        <v>-1102657715</v>
      </c>
      <c r="AE47" s="3">
        <v>-1354811935</v>
      </c>
      <c r="AF47" s="3">
        <v>-1625562727</v>
      </c>
      <c r="AG47" s="3">
        <v>-1850352411</v>
      </c>
      <c r="AH47" s="3">
        <v>-2110425428</v>
      </c>
      <c r="AI47" s="3">
        <v>-2474229460</v>
      </c>
      <c r="AJ47" s="3">
        <v>-2849208299</v>
      </c>
      <c r="AK47" s="3">
        <v>-3174556613</v>
      </c>
      <c r="AL47" s="3">
        <v>-3543359795</v>
      </c>
      <c r="AM47" s="3">
        <v>-3912162979</v>
      </c>
      <c r="AN47" s="3">
        <v>-4398677719</v>
      </c>
      <c r="AO47" s="3">
        <v>-4890146876</v>
      </c>
      <c r="AP47" s="3">
        <v>-5381616033</v>
      </c>
      <c r="AQ47" s="3">
        <v>-5921816013</v>
      </c>
      <c r="AR47" s="3">
        <v>-6472763656</v>
      </c>
      <c r="AS47" s="3">
        <v>-7023711302</v>
      </c>
      <c r="AT47" s="3">
        <v>-7575450194</v>
      </c>
      <c r="AU47" s="3">
        <v>-8133864087</v>
      </c>
      <c r="AV47" s="3">
        <v>-8692277982</v>
      </c>
      <c r="AW47" s="3">
        <v>-9258633341</v>
      </c>
      <c r="AX47" s="3">
        <v>-9824988701</v>
      </c>
      <c r="AY47" s="3">
        <v>-10391344060</v>
      </c>
      <c r="AZ47" s="547">
        <v>-10972264905</v>
      </c>
      <c r="BA47" s="547">
        <v>-11551327975</v>
      </c>
      <c r="BB47" s="547">
        <v>-12130391041</v>
      </c>
      <c r="BC47" s="547">
        <v>-12717579108</v>
      </c>
      <c r="BD47" s="547">
        <v>-13304767179</v>
      </c>
      <c r="BE47" s="547">
        <v>-13207148719</v>
      </c>
      <c r="BF47" s="547">
        <v>-13782651574</v>
      </c>
      <c r="BG47" s="547">
        <v>-14399715237</v>
      </c>
      <c r="BH47" s="547">
        <v>-15016778893</v>
      </c>
      <c r="BI47" s="547">
        <v>-15633842555</v>
      </c>
      <c r="BJ47" s="547">
        <v>-16250906211</v>
      </c>
      <c r="BK47" s="547">
        <v>-16867969871</v>
      </c>
      <c r="BL47" s="551">
        <v>-16731202393</v>
      </c>
      <c r="BM47" s="3">
        <v>-17090184564</v>
      </c>
      <c r="BN47" s="3">
        <v>-17446603092</v>
      </c>
      <c r="BO47" s="3">
        <v>-17806542454</v>
      </c>
      <c r="BP47" s="3">
        <v>-18166481824</v>
      </c>
      <c r="BQ47" s="3"/>
      <c r="BR47" s="3"/>
      <c r="BS47" s="3"/>
      <c r="BT47" s="3"/>
      <c r="BU47" s="3"/>
      <c r="BV47" s="3"/>
      <c r="BW47" s="3"/>
    </row>
    <row r="48" spans="1:75" ht="15" customHeight="1" x14ac:dyDescent="0.25">
      <c r="A48" s="97">
        <v>45</v>
      </c>
      <c r="B48" s="68" t="s">
        <v>75</v>
      </c>
      <c r="C48" s="97">
        <v>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6">
        <v>0</v>
      </c>
      <c r="AZ48" s="549"/>
      <c r="BA48" s="549"/>
      <c r="BB48" s="549"/>
      <c r="BC48" s="549"/>
      <c r="BD48" s="549"/>
      <c r="BE48" s="549"/>
      <c r="BF48" s="549"/>
      <c r="BG48" s="549"/>
      <c r="BH48" s="549"/>
      <c r="BI48" s="549"/>
      <c r="BJ48" s="549"/>
      <c r="BK48" s="549"/>
      <c r="BL48" s="549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25">
      <c r="A49" s="95">
        <v>46</v>
      </c>
      <c r="B49" s="69" t="s">
        <v>330</v>
      </c>
      <c r="C49" s="95">
        <v>6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547"/>
      <c r="BA49" s="547"/>
      <c r="BB49" s="547"/>
      <c r="BC49" s="547"/>
      <c r="BD49" s="547"/>
      <c r="BE49" s="547"/>
      <c r="BF49" s="547"/>
      <c r="BG49" s="547"/>
      <c r="BH49" s="547"/>
      <c r="BI49" s="547"/>
      <c r="BJ49" s="547"/>
      <c r="BK49" s="547"/>
      <c r="BL49" s="547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25">
      <c r="A50" s="95">
        <v>47</v>
      </c>
      <c r="B50" s="69" t="s">
        <v>331</v>
      </c>
      <c r="C50" s="95">
        <v>6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547"/>
      <c r="BA50" s="547"/>
      <c r="BB50" s="547"/>
      <c r="BC50" s="547"/>
      <c r="BD50" s="547"/>
      <c r="BE50" s="547"/>
      <c r="BF50" s="547"/>
      <c r="BG50" s="547"/>
      <c r="BH50" s="547"/>
      <c r="BI50" s="547"/>
      <c r="BJ50" s="547"/>
      <c r="BK50" s="547"/>
      <c r="BL50" s="547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25">
      <c r="A51" s="97">
        <v>48</v>
      </c>
      <c r="B51" s="68" t="s">
        <v>76</v>
      </c>
      <c r="C51" s="97">
        <v>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355507331</v>
      </c>
      <c r="Y51" s="5">
        <v>349582209</v>
      </c>
      <c r="Z51" s="5">
        <v>416157087</v>
      </c>
      <c r="AA51" s="5">
        <v>408981964</v>
      </c>
      <c r="AB51" s="5">
        <v>401806842</v>
      </c>
      <c r="AC51" s="5">
        <v>394631720</v>
      </c>
      <c r="AD51" s="5">
        <v>387456597</v>
      </c>
      <c r="AE51" s="5">
        <v>380281475</v>
      </c>
      <c r="AF51" s="5">
        <v>373106353</v>
      </c>
      <c r="AG51" s="5">
        <v>365931231</v>
      </c>
      <c r="AH51" s="5">
        <v>358756109</v>
      </c>
      <c r="AI51" s="5">
        <v>351580987</v>
      </c>
      <c r="AJ51" s="5">
        <v>344405864</v>
      </c>
      <c r="AK51" s="5">
        <v>337230742</v>
      </c>
      <c r="AL51" s="5">
        <v>330055620</v>
      </c>
      <c r="AM51" s="5">
        <v>322880498</v>
      </c>
      <c r="AN51" s="5">
        <v>315705376</v>
      </c>
      <c r="AO51" s="5">
        <v>308530254</v>
      </c>
      <c r="AP51" s="5">
        <v>301355131</v>
      </c>
      <c r="AQ51" s="5">
        <v>294180009</v>
      </c>
      <c r="AR51" s="5">
        <v>287004887</v>
      </c>
      <c r="AS51" s="5">
        <v>279829765</v>
      </c>
      <c r="AT51" s="5">
        <v>272654643</v>
      </c>
      <c r="AU51" s="5">
        <v>265479521</v>
      </c>
      <c r="AV51" s="5">
        <v>258304398</v>
      </c>
      <c r="AW51" s="5">
        <v>251129276</v>
      </c>
      <c r="AX51" s="5">
        <v>243954154</v>
      </c>
      <c r="AY51" s="6">
        <v>236779032</v>
      </c>
      <c r="AZ51" s="549">
        <v>229603910</v>
      </c>
      <c r="BA51" s="549">
        <v>222428788</v>
      </c>
      <c r="BB51" s="549">
        <v>215253665</v>
      </c>
      <c r="BC51" s="549">
        <v>208078543</v>
      </c>
      <c r="BD51" s="549">
        <v>200903421</v>
      </c>
      <c r="BE51" s="549">
        <v>193728299</v>
      </c>
      <c r="BF51" s="549">
        <v>186553177</v>
      </c>
      <c r="BG51" s="549">
        <v>179378055</v>
      </c>
      <c r="BH51" s="549">
        <v>172202932</v>
      </c>
      <c r="BI51" s="549">
        <v>165027810</v>
      </c>
      <c r="BJ51" s="549">
        <v>157852688</v>
      </c>
      <c r="BK51" s="549">
        <v>150677566</v>
      </c>
      <c r="BL51" s="549">
        <f>+SUM(BL52:BL53)</f>
        <v>148034100</v>
      </c>
      <c r="BM51" s="6">
        <f>+SUM(BM52:BM53)</f>
        <v>145390634</v>
      </c>
      <c r="BN51" s="6">
        <f>+SUM(BN52:BN53)</f>
        <v>142747168</v>
      </c>
      <c r="BO51" s="6">
        <f>+SUM(BO52:BO53)</f>
        <v>140103702</v>
      </c>
      <c r="BP51" s="6">
        <f>+SUM(BP52:BP53)</f>
        <v>137460236</v>
      </c>
      <c r="BQ51" s="6"/>
      <c r="BR51" s="6"/>
      <c r="BS51" s="6"/>
      <c r="BT51" s="6"/>
      <c r="BU51" s="6"/>
      <c r="BV51" s="6"/>
      <c r="BW51" s="6"/>
    </row>
    <row r="52" spans="1:75" ht="15" customHeight="1" x14ac:dyDescent="0.25">
      <c r="A52" s="95">
        <v>49</v>
      </c>
      <c r="B52" s="69" t="s">
        <v>332</v>
      </c>
      <c r="C52" s="95">
        <v>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355507331</v>
      </c>
      <c r="Y52" s="3">
        <v>355507331</v>
      </c>
      <c r="Z52" s="3">
        <v>430507331</v>
      </c>
      <c r="AA52" s="3">
        <v>430507331</v>
      </c>
      <c r="AB52" s="3">
        <v>430507331</v>
      </c>
      <c r="AC52" s="3">
        <v>430507331</v>
      </c>
      <c r="AD52" s="3">
        <v>430507331</v>
      </c>
      <c r="AE52" s="3">
        <v>430507331</v>
      </c>
      <c r="AF52" s="3">
        <v>430507331</v>
      </c>
      <c r="AG52" s="3">
        <v>430507331</v>
      </c>
      <c r="AH52" s="3">
        <v>430507331</v>
      </c>
      <c r="AI52" s="3">
        <v>430507331</v>
      </c>
      <c r="AJ52" s="3">
        <v>430507331</v>
      </c>
      <c r="AK52" s="3">
        <v>430507331</v>
      </c>
      <c r="AL52" s="3">
        <v>430507331</v>
      </c>
      <c r="AM52" s="3">
        <v>430507331</v>
      </c>
      <c r="AN52" s="3">
        <v>430507331</v>
      </c>
      <c r="AO52" s="3">
        <v>430507331</v>
      </c>
      <c r="AP52" s="3">
        <v>430507331</v>
      </c>
      <c r="AQ52" s="3">
        <v>430507331</v>
      </c>
      <c r="AR52" s="3">
        <v>430507331</v>
      </c>
      <c r="AS52" s="3">
        <v>430507331</v>
      </c>
      <c r="AT52" s="3">
        <v>430507331</v>
      </c>
      <c r="AU52" s="3">
        <v>430507331</v>
      </c>
      <c r="AV52" s="3">
        <v>430507331</v>
      </c>
      <c r="AW52" s="3">
        <v>430507331</v>
      </c>
      <c r="AX52" s="3">
        <v>430507331</v>
      </c>
      <c r="AY52" s="3">
        <v>430507331</v>
      </c>
      <c r="AZ52" s="547">
        <v>430507331</v>
      </c>
      <c r="BA52" s="547">
        <v>430507331</v>
      </c>
      <c r="BB52" s="547">
        <v>430507331</v>
      </c>
      <c r="BC52" s="547">
        <v>430507331</v>
      </c>
      <c r="BD52" s="547">
        <v>430507331</v>
      </c>
      <c r="BE52" s="547">
        <v>430507331</v>
      </c>
      <c r="BF52" s="547">
        <v>430507331</v>
      </c>
      <c r="BG52" s="547">
        <v>430507331</v>
      </c>
      <c r="BH52" s="547">
        <v>430507331</v>
      </c>
      <c r="BI52" s="547">
        <v>430507331</v>
      </c>
      <c r="BJ52" s="547">
        <v>430507331</v>
      </c>
      <c r="BK52" s="547">
        <v>430507331</v>
      </c>
      <c r="BL52" s="547">
        <v>430507331</v>
      </c>
      <c r="BM52" s="3">
        <v>430507331</v>
      </c>
      <c r="BN52" s="3">
        <v>430507331</v>
      </c>
      <c r="BO52" s="3">
        <v>430507331</v>
      </c>
      <c r="BP52" s="3">
        <v>430507331</v>
      </c>
      <c r="BQ52" s="3"/>
      <c r="BR52" s="3"/>
      <c r="BS52" s="3"/>
      <c r="BT52" s="3"/>
      <c r="BU52" s="3"/>
      <c r="BV52" s="3"/>
      <c r="BW52" s="3"/>
    </row>
    <row r="53" spans="1:75" ht="15" customHeight="1" x14ac:dyDescent="0.25">
      <c r="A53" s="95">
        <v>50</v>
      </c>
      <c r="B53" s="69" t="s">
        <v>333</v>
      </c>
      <c r="C53" s="95">
        <v>6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-5925122</v>
      </c>
      <c r="Z53" s="3">
        <v>-14350244</v>
      </c>
      <c r="AA53" s="3">
        <v>-21525367</v>
      </c>
      <c r="AB53" s="3">
        <v>-28700489</v>
      </c>
      <c r="AC53" s="3">
        <v>-35875611</v>
      </c>
      <c r="AD53" s="3">
        <v>-43050734</v>
      </c>
      <c r="AE53" s="3">
        <v>-50225856</v>
      </c>
      <c r="AF53" s="3">
        <v>-57400978</v>
      </c>
      <c r="AG53" s="3">
        <v>-64576100</v>
      </c>
      <c r="AH53" s="3">
        <v>-71751222</v>
      </c>
      <c r="AI53" s="3">
        <v>-78926344</v>
      </c>
      <c r="AJ53" s="3">
        <v>-86101467</v>
      </c>
      <c r="AK53" s="3">
        <v>-93276589</v>
      </c>
      <c r="AL53" s="3">
        <v>-100451711</v>
      </c>
      <c r="AM53" s="3">
        <v>-107626833</v>
      </c>
      <c r="AN53" s="3">
        <v>-114801955</v>
      </c>
      <c r="AO53" s="3">
        <v>-121977077</v>
      </c>
      <c r="AP53" s="3">
        <v>-129152200</v>
      </c>
      <c r="AQ53" s="3">
        <v>-136327322</v>
      </c>
      <c r="AR53" s="3">
        <v>-143502444</v>
      </c>
      <c r="AS53" s="3">
        <v>-150677566</v>
      </c>
      <c r="AT53" s="3">
        <v>-157852688</v>
      </c>
      <c r="AU53" s="3">
        <v>-165027810</v>
      </c>
      <c r="AV53" s="3">
        <v>-172202933</v>
      </c>
      <c r="AW53" s="3">
        <v>-179378055</v>
      </c>
      <c r="AX53" s="3">
        <v>-186553177</v>
      </c>
      <c r="AY53" s="3">
        <v>-193728299</v>
      </c>
      <c r="AZ53" s="547">
        <v>-200903421</v>
      </c>
      <c r="BA53" s="547">
        <v>-208078543</v>
      </c>
      <c r="BB53" s="547">
        <v>-215253666</v>
      </c>
      <c r="BC53" s="547">
        <v>-222428788</v>
      </c>
      <c r="BD53" s="547">
        <v>-229603910</v>
      </c>
      <c r="BE53" s="547">
        <v>-236779032</v>
      </c>
      <c r="BF53" s="547">
        <v>-243954154</v>
      </c>
      <c r="BG53" s="547">
        <v>-251129276</v>
      </c>
      <c r="BH53" s="547">
        <v>-258304399</v>
      </c>
      <c r="BI53" s="547">
        <v>-265479521</v>
      </c>
      <c r="BJ53" s="547">
        <v>-272654643</v>
      </c>
      <c r="BK53" s="547">
        <v>-279829765</v>
      </c>
      <c r="BL53" s="551">
        <v>-282473231</v>
      </c>
      <c r="BM53" s="3">
        <v>-285116697</v>
      </c>
      <c r="BN53" s="3">
        <v>-287760163</v>
      </c>
      <c r="BO53" s="3">
        <v>-290403629</v>
      </c>
      <c r="BP53" s="3">
        <v>-293047095</v>
      </c>
      <c r="BQ53" s="3"/>
      <c r="BR53" s="3"/>
      <c r="BS53" s="3"/>
      <c r="BT53" s="3"/>
      <c r="BU53" s="3"/>
      <c r="BV53" s="3"/>
      <c r="BW53" s="3"/>
    </row>
    <row r="54" spans="1:75" ht="15" customHeight="1" x14ac:dyDescent="0.25">
      <c r="A54" s="97">
        <v>51</v>
      </c>
      <c r="B54" s="67" t="s">
        <v>334</v>
      </c>
      <c r="C54" s="97">
        <v>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6"/>
      <c r="AZ54" s="549"/>
      <c r="BA54" s="549"/>
      <c r="BB54" s="549"/>
      <c r="BC54" s="549"/>
      <c r="BD54" s="549"/>
      <c r="BE54" s="549"/>
      <c r="BF54" s="549"/>
      <c r="BG54" s="549"/>
      <c r="BH54" s="549"/>
      <c r="BI54" s="549"/>
      <c r="BJ54" s="549"/>
      <c r="BK54" s="549"/>
      <c r="BL54" s="549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</row>
    <row r="55" spans="1:75" ht="15" customHeight="1" x14ac:dyDescent="0.25">
      <c r="A55" s="95">
        <v>52</v>
      </c>
      <c r="B55" s="91" t="s">
        <v>78</v>
      </c>
      <c r="C55" s="95">
        <v>6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547"/>
      <c r="BA55" s="547"/>
      <c r="BB55" s="547"/>
      <c r="BC55" s="547"/>
      <c r="BD55" s="547"/>
      <c r="BE55" s="547"/>
      <c r="BF55" s="547"/>
      <c r="BG55" s="547"/>
      <c r="BH55" s="547"/>
      <c r="BI55" s="547"/>
      <c r="BJ55" s="547"/>
      <c r="BK55" s="547"/>
      <c r="BL55" s="547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25">
      <c r="A56" s="95">
        <v>53</v>
      </c>
      <c r="B56" s="69" t="s">
        <v>79</v>
      </c>
      <c r="C56" s="95">
        <v>6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547"/>
      <c r="BA56" s="547"/>
      <c r="BB56" s="547"/>
      <c r="BC56" s="547"/>
      <c r="BD56" s="547"/>
      <c r="BE56" s="547"/>
      <c r="BF56" s="547"/>
      <c r="BG56" s="547"/>
      <c r="BH56" s="547"/>
      <c r="BI56" s="547"/>
      <c r="BJ56" s="547"/>
      <c r="BK56" s="547"/>
      <c r="BL56" s="547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25">
      <c r="A57" s="95">
        <v>54</v>
      </c>
      <c r="B57" s="69" t="s">
        <v>80</v>
      </c>
      <c r="C57" s="95">
        <v>6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547"/>
      <c r="BA57" s="547"/>
      <c r="BB57" s="547"/>
      <c r="BC57" s="547"/>
      <c r="BD57" s="547"/>
      <c r="BE57" s="547"/>
      <c r="BF57" s="547"/>
      <c r="BG57" s="547"/>
      <c r="BH57" s="547"/>
      <c r="BI57" s="547"/>
      <c r="BJ57" s="547"/>
      <c r="BK57" s="547"/>
      <c r="BL57" s="547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25">
      <c r="A58" s="95">
        <v>55</v>
      </c>
      <c r="B58" s="92" t="s">
        <v>335</v>
      </c>
      <c r="C58" s="95">
        <v>6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547"/>
      <c r="BA58" s="547"/>
      <c r="BB58" s="547"/>
      <c r="BC58" s="547"/>
      <c r="BD58" s="547"/>
      <c r="BE58" s="547"/>
      <c r="BF58" s="547"/>
      <c r="BG58" s="547"/>
      <c r="BH58" s="547"/>
      <c r="BI58" s="547"/>
      <c r="BJ58" s="547"/>
      <c r="BK58" s="547"/>
      <c r="BL58" s="547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25">
      <c r="A59" s="95">
        <v>56</v>
      </c>
      <c r="B59" s="92" t="s">
        <v>336</v>
      </c>
      <c r="C59" s="95">
        <v>6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547"/>
      <c r="BA59" s="547"/>
      <c r="BB59" s="547"/>
      <c r="BC59" s="547"/>
      <c r="BD59" s="547"/>
      <c r="BE59" s="547"/>
      <c r="BF59" s="547"/>
      <c r="BG59" s="547"/>
      <c r="BH59" s="547"/>
      <c r="BI59" s="547"/>
      <c r="BJ59" s="547"/>
      <c r="BK59" s="547"/>
      <c r="BL59" s="547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 x14ac:dyDescent="0.25">
      <c r="A60" s="95">
        <v>57</v>
      </c>
      <c r="B60" s="91" t="s">
        <v>83</v>
      </c>
      <c r="C60" s="95">
        <v>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547"/>
      <c r="BA60" s="547"/>
      <c r="BB60" s="547"/>
      <c r="BC60" s="547"/>
      <c r="BD60" s="547"/>
      <c r="BE60" s="547"/>
      <c r="BF60" s="547"/>
      <c r="BG60" s="547"/>
      <c r="BH60" s="547"/>
      <c r="BI60" s="547"/>
      <c r="BJ60" s="547"/>
      <c r="BK60" s="547"/>
      <c r="BL60" s="547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25">
      <c r="A61" s="95">
        <v>58</v>
      </c>
      <c r="B61" s="91" t="s">
        <v>84</v>
      </c>
      <c r="C61" s="95">
        <v>6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547"/>
      <c r="BA61" s="547"/>
      <c r="BB61" s="547"/>
      <c r="BC61" s="547"/>
      <c r="BD61" s="547"/>
      <c r="BE61" s="547"/>
      <c r="BF61" s="547"/>
      <c r="BG61" s="547"/>
      <c r="BH61" s="547"/>
      <c r="BI61" s="547"/>
      <c r="BJ61" s="547"/>
      <c r="BK61" s="547"/>
      <c r="BL61" s="547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25">
      <c r="A62" s="95">
        <v>59</v>
      </c>
      <c r="B62" s="91" t="s">
        <v>85</v>
      </c>
      <c r="C62" s="95">
        <v>6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547"/>
      <c r="BA62" s="547"/>
      <c r="BB62" s="547"/>
      <c r="BC62" s="547"/>
      <c r="BD62" s="547"/>
      <c r="BE62" s="547"/>
      <c r="BF62" s="547"/>
      <c r="BG62" s="547"/>
      <c r="BH62" s="547"/>
      <c r="BI62" s="547"/>
      <c r="BJ62" s="547"/>
      <c r="BK62" s="547"/>
      <c r="BL62" s="547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25">
      <c r="A63" s="96">
        <v>60</v>
      </c>
      <c r="B63" s="67" t="s">
        <v>86</v>
      </c>
      <c r="C63" s="96">
        <v>6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548"/>
      <c r="BA63" s="548"/>
      <c r="BB63" s="548"/>
      <c r="BC63" s="548"/>
      <c r="BD63" s="548"/>
      <c r="BE63" s="548"/>
      <c r="BF63" s="548"/>
      <c r="BG63" s="548"/>
      <c r="BH63" s="548"/>
      <c r="BI63" s="548"/>
      <c r="BJ63" s="548"/>
      <c r="BK63" s="548"/>
      <c r="BL63" s="548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25">
      <c r="A64" s="95">
        <v>61</v>
      </c>
      <c r="B64" s="62" t="s">
        <v>337</v>
      </c>
      <c r="C64" s="95">
        <v>6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547"/>
      <c r="BA64" s="547"/>
      <c r="BB64" s="547"/>
      <c r="BC64" s="547"/>
      <c r="BD64" s="547"/>
      <c r="BE64" s="547"/>
      <c r="BF64" s="547"/>
      <c r="BG64" s="547"/>
      <c r="BH64" s="547"/>
      <c r="BI64" s="547"/>
      <c r="BJ64" s="547"/>
      <c r="BK64" s="547"/>
      <c r="BL64" s="547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 x14ac:dyDescent="0.25">
      <c r="A65" s="95">
        <v>62</v>
      </c>
      <c r="B65" s="62" t="s">
        <v>338</v>
      </c>
      <c r="C65" s="95">
        <v>6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547"/>
      <c r="BA65" s="547"/>
      <c r="BB65" s="547"/>
      <c r="BC65" s="547"/>
      <c r="BD65" s="547"/>
      <c r="BE65" s="547"/>
      <c r="BF65" s="547"/>
      <c r="BG65" s="547"/>
      <c r="BH65" s="547"/>
      <c r="BI65" s="547"/>
      <c r="BJ65" s="547"/>
      <c r="BK65" s="547"/>
      <c r="BL65" s="547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25">
      <c r="A66" s="97">
        <v>63</v>
      </c>
      <c r="B66" s="67" t="s">
        <v>339</v>
      </c>
      <c r="C66" s="97">
        <v>6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90023430</v>
      </c>
      <c r="X66" s="5">
        <v>173874557</v>
      </c>
      <c r="Y66" s="5">
        <v>2002708396</v>
      </c>
      <c r="Z66" s="5">
        <v>1322981684</v>
      </c>
      <c r="AA66" s="5">
        <v>1885024098</v>
      </c>
      <c r="AB66" s="5">
        <v>1537636131</v>
      </c>
      <c r="AC66" s="5">
        <v>1782192724</v>
      </c>
      <c r="AD66" s="5">
        <v>1835756551</v>
      </c>
      <c r="AE66" s="5">
        <v>1768707724</v>
      </c>
      <c r="AF66" s="5">
        <v>1768707724</v>
      </c>
      <c r="AG66" s="5">
        <v>1768707724</v>
      </c>
      <c r="AH66" s="5">
        <v>1794736924</v>
      </c>
      <c r="AI66" s="5">
        <v>3099831808</v>
      </c>
      <c r="AJ66" s="5">
        <v>3042461864</v>
      </c>
      <c r="AK66" s="5">
        <v>3442062416</v>
      </c>
      <c r="AL66" s="5">
        <v>4371475647</v>
      </c>
      <c r="AM66" s="5">
        <v>4904362054</v>
      </c>
      <c r="AN66" s="5">
        <v>4857379009</v>
      </c>
      <c r="AO66" s="5">
        <v>4377415821</v>
      </c>
      <c r="AP66" s="5">
        <v>4423435341</v>
      </c>
      <c r="AQ66" s="5">
        <v>1499586000</v>
      </c>
      <c r="AR66" s="5">
        <v>1177211000</v>
      </c>
      <c r="AS66" s="5">
        <v>1177211000</v>
      </c>
      <c r="AT66" s="5">
        <v>1177211000</v>
      </c>
      <c r="AU66" s="5">
        <v>1177211000</v>
      </c>
      <c r="AV66" s="5">
        <v>1177211000</v>
      </c>
      <c r="AW66" s="5">
        <v>1177211000</v>
      </c>
      <c r="AX66" s="5">
        <v>1177211000</v>
      </c>
      <c r="AY66" s="6">
        <v>1177211000</v>
      </c>
      <c r="AZ66" s="549">
        <v>1177211000</v>
      </c>
      <c r="BA66" s="549">
        <v>1246628500</v>
      </c>
      <c r="BB66" s="549">
        <v>1725748047</v>
      </c>
      <c r="BC66" s="549">
        <v>1627211000</v>
      </c>
      <c r="BD66" s="549">
        <v>1185859000</v>
      </c>
      <c r="BE66" s="549">
        <v>1187229000</v>
      </c>
      <c r="BF66" s="549">
        <v>1178581000</v>
      </c>
      <c r="BG66" s="549">
        <v>1178581000</v>
      </c>
      <c r="BH66" s="549">
        <v>1178581000</v>
      </c>
      <c r="BI66" s="549">
        <v>1178581000</v>
      </c>
      <c r="BJ66" s="549">
        <v>1187370250</v>
      </c>
      <c r="BK66" s="549">
        <v>1426085050</v>
      </c>
      <c r="BL66" s="549">
        <v>5582450404</v>
      </c>
      <c r="BM66" s="6">
        <v>6450228762</v>
      </c>
      <c r="BN66" s="6">
        <f>SUM(BN67:BN68)</f>
        <v>7660518411</v>
      </c>
      <c r="BO66" s="6">
        <f>SUM(BO67:BO68)</f>
        <v>7887119268</v>
      </c>
      <c r="BP66" s="6">
        <f>SUM(BP67:BP68)</f>
        <v>8008082927</v>
      </c>
      <c r="BQ66" s="6"/>
      <c r="BR66" s="6"/>
      <c r="BS66" s="6"/>
      <c r="BT66" s="6"/>
      <c r="BU66" s="6"/>
      <c r="BV66" s="6"/>
      <c r="BW66" s="6"/>
    </row>
    <row r="67" spans="1:75" ht="15" customHeight="1" x14ac:dyDescent="0.25">
      <c r="A67" s="95">
        <v>64</v>
      </c>
      <c r="B67" s="62" t="s">
        <v>89</v>
      </c>
      <c r="C67" s="95">
        <v>6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547"/>
      <c r="BA67" s="547"/>
      <c r="BB67" s="547"/>
      <c r="BC67" s="547"/>
      <c r="BD67" s="547"/>
      <c r="BE67" s="547"/>
      <c r="BF67" s="547"/>
      <c r="BG67" s="547"/>
      <c r="BH67" s="547"/>
      <c r="BI67" s="547"/>
      <c r="BJ67" s="547"/>
      <c r="BK67" s="547"/>
      <c r="BL67" s="547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s="72" customFormat="1" ht="15" customHeight="1" x14ac:dyDescent="0.3">
      <c r="A68" s="95">
        <v>65</v>
      </c>
      <c r="B68" s="62" t="s">
        <v>90</v>
      </c>
      <c r="C68" s="95">
        <v>6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90023430</v>
      </c>
      <c r="X68" s="3">
        <v>173874557</v>
      </c>
      <c r="Y68" s="3">
        <v>2002708396</v>
      </c>
      <c r="Z68" s="3">
        <v>1322981684</v>
      </c>
      <c r="AA68" s="3">
        <v>1885024098</v>
      </c>
      <c r="AB68" s="3">
        <v>1537636131</v>
      </c>
      <c r="AC68" s="3">
        <v>1782192724</v>
      </c>
      <c r="AD68" s="3">
        <v>1835756551</v>
      </c>
      <c r="AE68" s="3">
        <v>1768707724</v>
      </c>
      <c r="AF68" s="3">
        <v>1768707724</v>
      </c>
      <c r="AG68" s="3">
        <v>1768707724</v>
      </c>
      <c r="AH68" s="3">
        <v>1794736924</v>
      </c>
      <c r="AI68" s="3">
        <v>3099831808</v>
      </c>
      <c r="AJ68" s="3">
        <v>3042461864</v>
      </c>
      <c r="AK68" s="3">
        <v>3442062416</v>
      </c>
      <c r="AL68" s="3">
        <v>4371475647</v>
      </c>
      <c r="AM68" s="3">
        <v>4904362054</v>
      </c>
      <c r="AN68" s="3">
        <v>4857379009</v>
      </c>
      <c r="AO68" s="3">
        <v>4377415821</v>
      </c>
      <c r="AP68" s="3">
        <v>4423435341</v>
      </c>
      <c r="AQ68" s="3">
        <v>1499586000</v>
      </c>
      <c r="AR68" s="3">
        <v>1177211000</v>
      </c>
      <c r="AS68" s="3">
        <v>1177211000</v>
      </c>
      <c r="AT68" s="3">
        <v>1177211000</v>
      </c>
      <c r="AU68" s="3">
        <v>1177211000</v>
      </c>
      <c r="AV68" s="3">
        <v>1177211000</v>
      </c>
      <c r="AW68" s="3">
        <v>1177211000</v>
      </c>
      <c r="AX68" s="3">
        <v>1177211000</v>
      </c>
      <c r="AY68" s="3">
        <v>1177211000</v>
      </c>
      <c r="AZ68" s="547">
        <v>1177211000</v>
      </c>
      <c r="BA68" s="547">
        <v>1246628500</v>
      </c>
      <c r="BB68" s="547">
        <v>1725748047</v>
      </c>
      <c r="BC68" s="547">
        <v>1627211000</v>
      </c>
      <c r="BD68" s="547">
        <v>1185859000</v>
      </c>
      <c r="BE68" s="547">
        <v>1187229000</v>
      </c>
      <c r="BF68" s="547">
        <v>1178581000</v>
      </c>
      <c r="BG68" s="547">
        <v>1178581000</v>
      </c>
      <c r="BH68" s="547">
        <v>1178581000</v>
      </c>
      <c r="BI68" s="547">
        <v>1178581000</v>
      </c>
      <c r="BJ68" s="547">
        <v>1187370250</v>
      </c>
      <c r="BK68" s="547">
        <v>1426085050</v>
      </c>
      <c r="BL68" s="547">
        <v>5582450404</v>
      </c>
      <c r="BM68" s="3">
        <v>6450228762</v>
      </c>
      <c r="BN68" s="3">
        <v>7660518411</v>
      </c>
      <c r="BO68" s="3">
        <v>7887119268</v>
      </c>
      <c r="BP68" s="3">
        <v>8008082927</v>
      </c>
      <c r="BQ68" s="3"/>
      <c r="BR68" s="3"/>
      <c r="BS68" s="3"/>
      <c r="BT68" s="3"/>
      <c r="BU68" s="3"/>
      <c r="BV68" s="3"/>
      <c r="BW68" s="3"/>
    </row>
    <row r="69" spans="1:75" ht="15" customHeight="1" x14ac:dyDescent="0.25">
      <c r="A69" s="97">
        <v>66</v>
      </c>
      <c r="B69" s="70" t="s">
        <v>340</v>
      </c>
      <c r="C69" s="97">
        <v>6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4000000000</v>
      </c>
      <c r="Z69" s="5">
        <v>4000000000</v>
      </c>
      <c r="AA69" s="5">
        <v>4000000000</v>
      </c>
      <c r="AB69" s="5">
        <v>4000000000</v>
      </c>
      <c r="AC69" s="5">
        <v>4000000000</v>
      </c>
      <c r="AD69" s="5">
        <v>4000000000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52"/>
      <c r="BA69" s="552"/>
      <c r="BB69" s="552"/>
      <c r="BC69" s="552"/>
      <c r="BD69" s="552"/>
      <c r="BE69" s="552"/>
      <c r="BF69" s="552"/>
      <c r="BG69" s="552"/>
      <c r="BH69" s="552"/>
      <c r="BI69" s="552"/>
      <c r="BJ69" s="552"/>
      <c r="BK69" s="552"/>
      <c r="BL69" s="552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25">
      <c r="A70" s="95">
        <v>67</v>
      </c>
      <c r="B70" s="62" t="s">
        <v>92</v>
      </c>
      <c r="C70" s="95">
        <v>6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547"/>
      <c r="BA70" s="547"/>
      <c r="BB70" s="547"/>
      <c r="BC70" s="547"/>
      <c r="BD70" s="547"/>
      <c r="BE70" s="547"/>
      <c r="BF70" s="547"/>
      <c r="BG70" s="547"/>
      <c r="BH70" s="547"/>
      <c r="BI70" s="547"/>
      <c r="BJ70" s="547"/>
      <c r="BK70" s="547"/>
      <c r="BL70" s="547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25">
      <c r="A71" s="95">
        <v>68</v>
      </c>
      <c r="B71" s="62" t="s">
        <v>93</v>
      </c>
      <c r="C71" s="95">
        <v>6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547"/>
      <c r="BA71" s="547"/>
      <c r="BB71" s="547"/>
      <c r="BC71" s="547"/>
      <c r="BD71" s="547"/>
      <c r="BE71" s="547"/>
      <c r="BF71" s="547"/>
      <c r="BG71" s="547"/>
      <c r="BH71" s="547"/>
      <c r="BI71" s="547"/>
      <c r="BJ71" s="547"/>
      <c r="BK71" s="547"/>
      <c r="BL71" s="547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 x14ac:dyDescent="0.25">
      <c r="A72" s="95">
        <v>69</v>
      </c>
      <c r="B72" s="62" t="s">
        <v>94</v>
      </c>
      <c r="C72" s="95">
        <v>6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547"/>
      <c r="BA72" s="547"/>
      <c r="BB72" s="547"/>
      <c r="BC72" s="547"/>
      <c r="BD72" s="547"/>
      <c r="BE72" s="547"/>
      <c r="BF72" s="547"/>
      <c r="BG72" s="547"/>
      <c r="BH72" s="547"/>
      <c r="BI72" s="547"/>
      <c r="BJ72" s="547"/>
      <c r="BK72" s="547"/>
      <c r="BL72" s="547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s="74" customFormat="1" ht="15" customHeight="1" x14ac:dyDescent="0.25">
      <c r="A73" s="95">
        <v>70</v>
      </c>
      <c r="B73" s="62" t="s">
        <v>95</v>
      </c>
      <c r="C73" s="95">
        <v>6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547"/>
      <c r="BA73" s="547"/>
      <c r="BB73" s="547"/>
      <c r="BC73" s="547"/>
      <c r="BD73" s="547"/>
      <c r="BE73" s="547"/>
      <c r="BF73" s="547"/>
      <c r="BG73" s="547"/>
      <c r="BH73" s="547"/>
      <c r="BI73" s="547"/>
      <c r="BJ73" s="547"/>
      <c r="BK73" s="547"/>
      <c r="BL73" s="547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25">
      <c r="A74" s="95">
        <v>71</v>
      </c>
      <c r="B74" s="63" t="s">
        <v>96</v>
      </c>
      <c r="C74" s="95">
        <v>6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4000000000</v>
      </c>
      <c r="Z74" s="3">
        <v>4000000000</v>
      </c>
      <c r="AA74" s="3">
        <v>4000000000</v>
      </c>
      <c r="AB74" s="3">
        <v>4000000000</v>
      </c>
      <c r="AC74" s="3">
        <v>4000000000</v>
      </c>
      <c r="AD74" s="3">
        <v>4000000000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547"/>
      <c r="BA74" s="547"/>
      <c r="BB74" s="547"/>
      <c r="BC74" s="547"/>
      <c r="BD74" s="547"/>
      <c r="BE74" s="547"/>
      <c r="BF74" s="547"/>
      <c r="BG74" s="547"/>
      <c r="BH74" s="547"/>
      <c r="BI74" s="547"/>
      <c r="BJ74" s="547"/>
      <c r="BK74" s="547"/>
      <c r="BL74" s="547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25">
      <c r="A75" s="95">
        <v>72</v>
      </c>
      <c r="B75" s="63" t="s">
        <v>97</v>
      </c>
      <c r="C75" s="95">
        <v>6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547"/>
      <c r="BA75" s="547"/>
      <c r="BB75" s="547"/>
      <c r="BC75" s="547"/>
      <c r="BD75" s="547"/>
      <c r="BE75" s="547"/>
      <c r="BF75" s="547"/>
      <c r="BG75" s="547"/>
      <c r="BH75" s="547"/>
      <c r="BI75" s="547"/>
      <c r="BJ75" s="547"/>
      <c r="BK75" s="547"/>
      <c r="BL75" s="547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 x14ac:dyDescent="0.25">
      <c r="A76" s="97">
        <v>73</v>
      </c>
      <c r="B76" s="71" t="s">
        <v>341</v>
      </c>
      <c r="C76" s="97">
        <v>6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355137569</v>
      </c>
      <c r="W76" s="5">
        <v>344039002</v>
      </c>
      <c r="X76" s="5">
        <v>332940435</v>
      </c>
      <c r="Y76" s="5">
        <v>321841868</v>
      </c>
      <c r="Z76" s="5">
        <v>310743301</v>
      </c>
      <c r="AA76" s="5">
        <v>299644734</v>
      </c>
      <c r="AB76" s="5">
        <v>288546167</v>
      </c>
      <c r="AC76" s="5">
        <v>277447600</v>
      </c>
      <c r="AD76" s="5">
        <v>266349033</v>
      </c>
      <c r="AE76" s="5">
        <v>255250466</v>
      </c>
      <c r="AF76" s="5">
        <v>254951899</v>
      </c>
      <c r="AG76" s="5">
        <v>243853332</v>
      </c>
      <c r="AH76" s="5">
        <v>232754765</v>
      </c>
      <c r="AI76" s="5">
        <v>221656198</v>
      </c>
      <c r="AJ76" s="5">
        <v>221357631</v>
      </c>
      <c r="AK76" s="5">
        <v>205939064</v>
      </c>
      <c r="AL76" s="5">
        <v>644752750</v>
      </c>
      <c r="AM76" s="5">
        <v>637035078</v>
      </c>
      <c r="AN76" s="5">
        <v>704215963</v>
      </c>
      <c r="AO76" s="5">
        <v>680253532</v>
      </c>
      <c r="AP76" s="5">
        <v>656291101</v>
      </c>
      <c r="AQ76" s="5">
        <v>632328670</v>
      </c>
      <c r="AR76" s="5">
        <v>608366239</v>
      </c>
      <c r="AS76" s="5">
        <v>584403808</v>
      </c>
      <c r="AT76" s="5">
        <v>560441377</v>
      </c>
      <c r="AU76" s="5">
        <v>547278946</v>
      </c>
      <c r="AV76" s="5">
        <v>523316515</v>
      </c>
      <c r="AW76" s="5">
        <v>504337425</v>
      </c>
      <c r="AX76" s="5">
        <v>480158327</v>
      </c>
      <c r="AY76" s="6">
        <v>466779229</v>
      </c>
      <c r="AZ76" s="549">
        <v>542023248</v>
      </c>
      <c r="BA76" s="549">
        <v>513990299</v>
      </c>
      <c r="BB76" s="549">
        <v>527895351</v>
      </c>
      <c r="BC76" s="549">
        <v>678382106</v>
      </c>
      <c r="BD76" s="549">
        <v>1150190807</v>
      </c>
      <c r="BE76" s="549">
        <v>1528716565</v>
      </c>
      <c r="BF76" s="549">
        <v>1526244797</v>
      </c>
      <c r="BG76" s="549">
        <v>2091139723</v>
      </c>
      <c r="BH76" s="549">
        <v>2032780780</v>
      </c>
      <c r="BI76" s="549">
        <v>2064174402</v>
      </c>
      <c r="BJ76" s="549">
        <v>2036636660</v>
      </c>
      <c r="BK76" s="549">
        <v>1992826605</v>
      </c>
      <c r="BL76" s="549">
        <v>1913632724</v>
      </c>
      <c r="BM76" s="6">
        <v>1842287569</v>
      </c>
      <c r="BN76" s="6">
        <f>SUM(BN77:BN80)</f>
        <v>1855875241</v>
      </c>
      <c r="BO76" s="6">
        <f>SUM(BO77:BO80)</f>
        <v>2002523466</v>
      </c>
      <c r="BP76" s="6">
        <f>SUM(BP77:BP80)</f>
        <v>2080297320</v>
      </c>
      <c r="BQ76" s="6"/>
      <c r="BR76" s="6"/>
      <c r="BS76" s="6"/>
      <c r="BT76" s="6"/>
      <c r="BU76" s="6"/>
      <c r="BV76" s="6"/>
      <c r="BW76" s="6"/>
    </row>
    <row r="77" spans="1:75" ht="15" customHeight="1" x14ac:dyDescent="0.25">
      <c r="A77" s="95">
        <v>74</v>
      </c>
      <c r="B77" s="64" t="s">
        <v>99</v>
      </c>
      <c r="C77" s="95">
        <v>6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355137569</v>
      </c>
      <c r="W77" s="3">
        <v>344039002</v>
      </c>
      <c r="X77" s="3">
        <v>332940435</v>
      </c>
      <c r="Y77" s="3">
        <v>321841868</v>
      </c>
      <c r="Z77" s="3">
        <v>310743301</v>
      </c>
      <c r="AA77" s="3">
        <v>299644734</v>
      </c>
      <c r="AB77" s="3">
        <v>288546167</v>
      </c>
      <c r="AC77" s="3">
        <v>277447600</v>
      </c>
      <c r="AD77" s="3">
        <v>266349033</v>
      </c>
      <c r="AE77" s="3">
        <v>255250466</v>
      </c>
      <c r="AF77" s="3">
        <v>254951899</v>
      </c>
      <c r="AG77" s="3">
        <v>243853332</v>
      </c>
      <c r="AH77" s="3">
        <v>232754765</v>
      </c>
      <c r="AI77" s="3">
        <v>221656198</v>
      </c>
      <c r="AJ77" s="3">
        <v>221357631</v>
      </c>
      <c r="AK77" s="3">
        <v>205939064</v>
      </c>
      <c r="AL77" s="3">
        <v>644752750</v>
      </c>
      <c r="AM77" s="3">
        <v>637035078</v>
      </c>
      <c r="AN77" s="3">
        <v>704215963</v>
      </c>
      <c r="AO77" s="3">
        <v>680253532</v>
      </c>
      <c r="AP77" s="3">
        <v>656291101</v>
      </c>
      <c r="AQ77" s="3">
        <v>632328670</v>
      </c>
      <c r="AR77" s="3">
        <v>608366239</v>
      </c>
      <c r="AS77" s="3">
        <v>584403808</v>
      </c>
      <c r="AT77" s="3">
        <v>560441377</v>
      </c>
      <c r="AU77" s="3">
        <v>547278946</v>
      </c>
      <c r="AV77" s="3">
        <v>523316515</v>
      </c>
      <c r="AW77" s="3">
        <v>504337425</v>
      </c>
      <c r="AX77" s="3">
        <v>480158327</v>
      </c>
      <c r="AY77" s="3">
        <v>466779229</v>
      </c>
      <c r="AZ77" s="547">
        <v>542023248</v>
      </c>
      <c r="BA77" s="547">
        <v>513990299</v>
      </c>
      <c r="BB77" s="547">
        <v>527895351</v>
      </c>
      <c r="BC77" s="547">
        <v>678382106</v>
      </c>
      <c r="BD77" s="547">
        <v>1150190807</v>
      </c>
      <c r="BE77" s="547">
        <v>1528716565</v>
      </c>
      <c r="BF77" s="547">
        <v>1526244797</v>
      </c>
      <c r="BG77" s="547">
        <v>2091139723</v>
      </c>
      <c r="BH77" s="547">
        <v>2032780780</v>
      </c>
      <c r="BI77" s="547">
        <v>2064174402</v>
      </c>
      <c r="BJ77" s="547">
        <v>2036636660</v>
      </c>
      <c r="BK77" s="547">
        <v>1992826605</v>
      </c>
      <c r="BL77" s="547">
        <v>1913632724</v>
      </c>
      <c r="BM77" s="3">
        <v>1842287569</v>
      </c>
      <c r="BN77" s="3">
        <v>1855875241</v>
      </c>
      <c r="BO77" s="3">
        <v>2002523466</v>
      </c>
      <c r="BP77" s="3">
        <v>2080297320</v>
      </c>
      <c r="BQ77" s="3"/>
      <c r="BR77" s="3"/>
      <c r="BS77" s="3"/>
      <c r="BT77" s="3"/>
      <c r="BU77" s="3"/>
      <c r="BV77" s="3"/>
      <c r="BW77" s="3"/>
    </row>
    <row r="78" spans="1:75" ht="15" customHeight="1" x14ac:dyDescent="0.25">
      <c r="A78" s="95">
        <v>75</v>
      </c>
      <c r="B78" s="64" t="s">
        <v>100</v>
      </c>
      <c r="C78" s="95">
        <v>6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547"/>
      <c r="BA78" s="547"/>
      <c r="BB78" s="547"/>
      <c r="BC78" s="547"/>
      <c r="BD78" s="547"/>
      <c r="BE78" s="547"/>
      <c r="BF78" s="547"/>
      <c r="BG78" s="547"/>
      <c r="BH78" s="547"/>
      <c r="BI78" s="547"/>
      <c r="BJ78" s="547"/>
      <c r="BK78" s="547"/>
      <c r="BL78" s="547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25">
      <c r="A79" s="95">
        <v>76</v>
      </c>
      <c r="B79" s="64" t="s">
        <v>101</v>
      </c>
      <c r="C79" s="95">
        <v>6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547"/>
      <c r="BA79" s="547"/>
      <c r="BB79" s="547"/>
      <c r="BC79" s="547"/>
      <c r="BD79" s="547"/>
      <c r="BE79" s="547"/>
      <c r="BF79" s="547"/>
      <c r="BG79" s="547"/>
      <c r="BH79" s="547"/>
      <c r="BI79" s="547"/>
      <c r="BJ79" s="547"/>
      <c r="BK79" s="547"/>
      <c r="BL79" s="547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25">
      <c r="A80" s="95">
        <v>77</v>
      </c>
      <c r="B80" s="64" t="s">
        <v>102</v>
      </c>
      <c r="C80" s="95">
        <v>6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547"/>
      <c r="BA80" s="547"/>
      <c r="BB80" s="547"/>
      <c r="BC80" s="547"/>
      <c r="BD80" s="547"/>
      <c r="BE80" s="547"/>
      <c r="BF80" s="547"/>
      <c r="BG80" s="547"/>
      <c r="BH80" s="547"/>
      <c r="BI80" s="547"/>
      <c r="BJ80" s="547"/>
      <c r="BK80" s="547"/>
      <c r="BL80" s="547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 x14ac:dyDescent="0.25">
      <c r="A81" s="99">
        <v>78</v>
      </c>
      <c r="B81" s="73" t="s">
        <v>342</v>
      </c>
      <c r="C81" s="99">
        <v>6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3005092308</v>
      </c>
      <c r="P81" s="10">
        <v>3118845191</v>
      </c>
      <c r="Q81" s="10">
        <v>13190871944</v>
      </c>
      <c r="R81" s="10">
        <v>13700005392</v>
      </c>
      <c r="S81" s="10">
        <v>39774031942</v>
      </c>
      <c r="T81" s="10">
        <v>39726221743</v>
      </c>
      <c r="U81" s="10">
        <v>38099797681</v>
      </c>
      <c r="V81" s="10">
        <v>37891750205</v>
      </c>
      <c r="W81" s="10">
        <v>39658227746</v>
      </c>
      <c r="X81" s="10">
        <v>40892970569</v>
      </c>
      <c r="Y81" s="10">
        <v>46216622897</v>
      </c>
      <c r="Z81" s="10">
        <v>48135903913</v>
      </c>
      <c r="AA81" s="10">
        <v>67118265497</v>
      </c>
      <c r="AB81" s="10">
        <v>63653807246</v>
      </c>
      <c r="AC81" s="10">
        <v>63079385204</v>
      </c>
      <c r="AD81" s="10">
        <v>66862749097</v>
      </c>
      <c r="AE81" s="10">
        <v>45980579799</v>
      </c>
      <c r="AF81" s="10">
        <v>47025027244</v>
      </c>
      <c r="AG81" s="10">
        <v>45791188650</v>
      </c>
      <c r="AH81" s="10">
        <v>51920886836</v>
      </c>
      <c r="AI81" s="10">
        <v>47426643093</v>
      </c>
      <c r="AJ81" s="10">
        <v>54130432747</v>
      </c>
      <c r="AK81" s="10">
        <v>68469514948</v>
      </c>
      <c r="AL81" s="10">
        <v>66557876275</v>
      </c>
      <c r="AM81" s="10">
        <v>64725699701</v>
      </c>
      <c r="AN81" s="10">
        <v>63730957256</v>
      </c>
      <c r="AO81" s="10">
        <v>62014978803</v>
      </c>
      <c r="AP81" s="10">
        <v>52392417486</v>
      </c>
      <c r="AQ81" s="10">
        <v>52476456277</v>
      </c>
      <c r="AR81" s="10">
        <v>49950295088</v>
      </c>
      <c r="AS81" s="10">
        <v>46713473924</v>
      </c>
      <c r="AT81" s="10">
        <v>43677045941</v>
      </c>
      <c r="AU81" s="10">
        <v>43914856538</v>
      </c>
      <c r="AV81" s="10">
        <v>44738490704</v>
      </c>
      <c r="AW81" s="10">
        <v>45380812277</v>
      </c>
      <c r="AX81" s="10">
        <v>45622961818</v>
      </c>
      <c r="AY81" s="11">
        <v>38908743599</v>
      </c>
      <c r="AZ81" s="553">
        <v>41943313678</v>
      </c>
      <c r="BA81" s="553">
        <v>42457609995</v>
      </c>
      <c r="BB81" s="553">
        <v>39675680654</v>
      </c>
      <c r="BC81" s="553">
        <v>39603612118</v>
      </c>
      <c r="BD81" s="553">
        <v>40611660909</v>
      </c>
      <c r="BE81" s="553">
        <v>39440324531</v>
      </c>
      <c r="BF81" s="553">
        <v>47998921107</v>
      </c>
      <c r="BG81" s="553">
        <v>49401745656</v>
      </c>
      <c r="BH81" s="553">
        <v>45962663493</v>
      </c>
      <c r="BI81" s="553">
        <v>43608888702</v>
      </c>
      <c r="BJ81" s="553">
        <v>39770897732</v>
      </c>
      <c r="BK81" s="553">
        <v>37213708449</v>
      </c>
      <c r="BL81" s="553">
        <f>+BL36+BL4</f>
        <v>48011443510</v>
      </c>
      <c r="BM81" s="11">
        <f>+BM36+BM4</f>
        <v>47949137295</v>
      </c>
      <c r="BN81" s="11">
        <f>+BN36+BN4</f>
        <v>51254128524</v>
      </c>
      <c r="BO81" s="11">
        <f>+BO36+BO4</f>
        <v>47709558686</v>
      </c>
      <c r="BP81" s="11">
        <f>+BP36+BP4</f>
        <v>47617182958</v>
      </c>
      <c r="BQ81" s="11"/>
      <c r="BR81" s="11"/>
      <c r="BS81" s="11"/>
      <c r="BT81" s="11"/>
      <c r="BU81" s="11"/>
      <c r="BV81" s="11"/>
      <c r="BW81" s="11"/>
    </row>
    <row r="82" spans="1:75" ht="15" customHeight="1" x14ac:dyDescent="0.25">
      <c r="A82" s="98">
        <v>79</v>
      </c>
      <c r="B82" s="60" t="s">
        <v>343</v>
      </c>
      <c r="C82" s="98">
        <v>6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10307692</v>
      </c>
      <c r="P82" s="7">
        <v>178251161</v>
      </c>
      <c r="Q82" s="7">
        <v>331242463</v>
      </c>
      <c r="R82" s="7">
        <v>961072845</v>
      </c>
      <c r="S82" s="7">
        <v>346387781</v>
      </c>
      <c r="T82" s="7">
        <v>695115064</v>
      </c>
      <c r="U82" s="7">
        <v>706439291</v>
      </c>
      <c r="V82" s="7">
        <v>1262321142</v>
      </c>
      <c r="W82" s="7">
        <v>2411861933</v>
      </c>
      <c r="X82" s="7">
        <v>3846926434</v>
      </c>
      <c r="Y82" s="7">
        <v>9541000096</v>
      </c>
      <c r="Z82" s="7">
        <v>14183896939</v>
      </c>
      <c r="AA82" s="7">
        <v>37153872883</v>
      </c>
      <c r="AB82" s="7">
        <v>35136558533</v>
      </c>
      <c r="AC82" s="7">
        <v>36681782331</v>
      </c>
      <c r="AD82" s="7">
        <v>43702944721</v>
      </c>
      <c r="AE82" s="7">
        <v>25814767200</v>
      </c>
      <c r="AF82" s="7">
        <v>29149783452</v>
      </c>
      <c r="AG82" s="7">
        <v>30142760892</v>
      </c>
      <c r="AH82" s="7">
        <v>38400779406</v>
      </c>
      <c r="AI82" s="7">
        <v>35568089177</v>
      </c>
      <c r="AJ82" s="7">
        <v>43208717280</v>
      </c>
      <c r="AK82" s="7">
        <v>58292092199</v>
      </c>
      <c r="AL82" s="7">
        <v>59122250016</v>
      </c>
      <c r="AM82" s="7">
        <v>57393245458</v>
      </c>
      <c r="AN82" s="7">
        <v>58847619526</v>
      </c>
      <c r="AO82" s="7">
        <v>58312485933</v>
      </c>
      <c r="AP82" s="7">
        <v>48769906304</v>
      </c>
      <c r="AQ82" s="7">
        <v>49424000723</v>
      </c>
      <c r="AR82" s="7">
        <v>48114454244</v>
      </c>
      <c r="AS82" s="7">
        <v>46497688285</v>
      </c>
      <c r="AT82" s="7">
        <v>44417950340</v>
      </c>
      <c r="AU82" s="7">
        <v>45589711544</v>
      </c>
      <c r="AV82" s="7">
        <v>47089564228</v>
      </c>
      <c r="AW82" s="7">
        <v>48160126002</v>
      </c>
      <c r="AX82" s="7">
        <v>49572642985</v>
      </c>
      <c r="AY82" s="8">
        <v>44111589494</v>
      </c>
      <c r="AZ82" s="550">
        <v>48666518645</v>
      </c>
      <c r="BA82" s="550">
        <v>50589740390</v>
      </c>
      <c r="BB82" s="550">
        <v>48375110909</v>
      </c>
      <c r="BC82" s="550">
        <v>49184145249</v>
      </c>
      <c r="BD82" s="550">
        <v>49997776004</v>
      </c>
      <c r="BE82" s="550">
        <v>49850991440</v>
      </c>
      <c r="BF82" s="550">
        <v>57896245575</v>
      </c>
      <c r="BG82" s="550">
        <v>58952994963</v>
      </c>
      <c r="BH82" s="550">
        <v>56194065653</v>
      </c>
      <c r="BI82" s="550">
        <v>54057185651</v>
      </c>
      <c r="BJ82" s="550">
        <v>51178669828</v>
      </c>
      <c r="BK82" s="550">
        <v>49077997510</v>
      </c>
      <c r="BL82" s="550">
        <f>+BL83+BL99</f>
        <v>60421331002</v>
      </c>
      <c r="BM82" s="8">
        <f>+BM83+BM99</f>
        <v>61296914909</v>
      </c>
      <c r="BN82" s="8">
        <f>+BN83+BN99</f>
        <v>64346906658</v>
      </c>
      <c r="BO82" s="8">
        <f>+BO83+BO99</f>
        <v>61218540806</v>
      </c>
      <c r="BP82" s="8">
        <f>+BP83+BP99</f>
        <v>60961928376</v>
      </c>
      <c r="BQ82" s="8"/>
      <c r="BR82" s="8"/>
      <c r="BS82" s="8"/>
      <c r="BT82" s="8"/>
      <c r="BU82" s="8"/>
      <c r="BV82" s="8"/>
      <c r="BW82" s="8"/>
    </row>
    <row r="83" spans="1:75" ht="15" customHeight="1" x14ac:dyDescent="0.25">
      <c r="A83" s="97">
        <v>80</v>
      </c>
      <c r="B83" s="61" t="s">
        <v>344</v>
      </c>
      <c r="C83" s="97">
        <v>6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>
        <v>10307692</v>
      </c>
      <c r="P83" s="5">
        <v>178251161</v>
      </c>
      <c r="Q83" s="5">
        <v>331242463</v>
      </c>
      <c r="R83" s="5">
        <v>961072845</v>
      </c>
      <c r="S83" s="5">
        <v>346387781</v>
      </c>
      <c r="T83" s="5">
        <v>695115064</v>
      </c>
      <c r="U83" s="5">
        <v>706439291</v>
      </c>
      <c r="V83" s="5">
        <v>1262321142</v>
      </c>
      <c r="W83" s="5">
        <v>2411861933</v>
      </c>
      <c r="X83" s="5">
        <v>3846926434</v>
      </c>
      <c r="Y83" s="5">
        <v>5541000096</v>
      </c>
      <c r="Z83" s="5">
        <v>10183896939</v>
      </c>
      <c r="AA83" s="5">
        <v>18153872883</v>
      </c>
      <c r="AB83" s="5">
        <v>16136558533</v>
      </c>
      <c r="AC83" s="5">
        <v>17681782331</v>
      </c>
      <c r="AD83" s="5">
        <v>24702944721</v>
      </c>
      <c r="AE83" s="5">
        <v>10814767200</v>
      </c>
      <c r="AF83" s="5">
        <v>14149783452</v>
      </c>
      <c r="AG83" s="5">
        <v>15142760892</v>
      </c>
      <c r="AH83" s="5">
        <v>23400779406</v>
      </c>
      <c r="AI83" s="5">
        <v>20568089177</v>
      </c>
      <c r="AJ83" s="5">
        <v>28208717280</v>
      </c>
      <c r="AK83" s="5">
        <v>43292092199</v>
      </c>
      <c r="AL83" s="5">
        <v>44122250016</v>
      </c>
      <c r="AM83" s="5">
        <v>24623245458</v>
      </c>
      <c r="AN83" s="5">
        <v>26077619526</v>
      </c>
      <c r="AO83" s="5">
        <v>25542485933</v>
      </c>
      <c r="AP83" s="5">
        <v>15999906304</v>
      </c>
      <c r="AQ83" s="5">
        <v>16654000723</v>
      </c>
      <c r="AR83" s="5">
        <v>15344454244</v>
      </c>
      <c r="AS83" s="5">
        <v>13727688285</v>
      </c>
      <c r="AT83" s="5">
        <v>11647950340</v>
      </c>
      <c r="AU83" s="5">
        <v>12819711544</v>
      </c>
      <c r="AV83" s="5">
        <v>14319564228</v>
      </c>
      <c r="AW83" s="5">
        <v>15390126002</v>
      </c>
      <c r="AX83" s="5">
        <v>16802642985</v>
      </c>
      <c r="AY83" s="6">
        <v>11341589494</v>
      </c>
      <c r="AZ83" s="549">
        <v>15896518645</v>
      </c>
      <c r="BA83" s="549">
        <v>17819740390</v>
      </c>
      <c r="BB83" s="549">
        <v>15605110909</v>
      </c>
      <c r="BC83" s="549">
        <v>16414145249</v>
      </c>
      <c r="BD83" s="549">
        <v>17227776004</v>
      </c>
      <c r="BE83" s="549">
        <v>17080991440</v>
      </c>
      <c r="BF83" s="549">
        <v>25126245575</v>
      </c>
      <c r="BG83" s="549">
        <v>26182994963</v>
      </c>
      <c r="BH83" s="549">
        <v>23424065653</v>
      </c>
      <c r="BI83" s="549">
        <v>21287185651</v>
      </c>
      <c r="BJ83" s="549">
        <v>18408669828</v>
      </c>
      <c r="BK83" s="549">
        <v>16307997510</v>
      </c>
      <c r="BL83" s="549">
        <f>+SUM(BL84:BL98)</f>
        <v>27651331002</v>
      </c>
      <c r="BM83" s="6">
        <f>+SUM(BM84:BM98)</f>
        <v>28526914909</v>
      </c>
      <c r="BN83" s="6">
        <f>+SUM(BN84:BN98)</f>
        <v>31576906658</v>
      </c>
      <c r="BO83" s="6">
        <f>+SUM(BO84:BO98)</f>
        <v>28448540806</v>
      </c>
      <c r="BP83" s="6">
        <f>+SUM(BP84:BP98)</f>
        <v>28191928376</v>
      </c>
      <c r="BQ83" s="6"/>
      <c r="BR83" s="6"/>
      <c r="BS83" s="6"/>
      <c r="BT83" s="6"/>
      <c r="BU83" s="6"/>
      <c r="BV83" s="6"/>
      <c r="BW83" s="6"/>
    </row>
    <row r="84" spans="1:75" ht="15" customHeight="1" x14ac:dyDescent="0.25">
      <c r="A84" s="95">
        <v>81</v>
      </c>
      <c r="B84" s="75" t="s">
        <v>107</v>
      </c>
      <c r="C84" s="95">
        <v>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>
        <v>0</v>
      </c>
      <c r="P84" s="3">
        <v>176041161</v>
      </c>
      <c r="Q84" s="3">
        <v>203715347</v>
      </c>
      <c r="R84" s="3">
        <v>714494901</v>
      </c>
      <c r="S84" s="3">
        <v>233967214</v>
      </c>
      <c r="T84" s="3">
        <v>397831440</v>
      </c>
      <c r="U84" s="3">
        <v>346107933</v>
      </c>
      <c r="V84" s="3">
        <v>817697446</v>
      </c>
      <c r="W84" s="3">
        <v>2141733556</v>
      </c>
      <c r="X84" s="3">
        <v>2776736403</v>
      </c>
      <c r="Y84" s="3">
        <v>3595495533</v>
      </c>
      <c r="Z84" s="3">
        <v>7667994301</v>
      </c>
      <c r="AA84" s="3">
        <v>16689692419</v>
      </c>
      <c r="AB84" s="3">
        <v>14533241650</v>
      </c>
      <c r="AC84" s="3">
        <v>16351459792</v>
      </c>
      <c r="AD84" s="3">
        <v>22502271238</v>
      </c>
      <c r="AE84" s="3">
        <v>3508812368</v>
      </c>
      <c r="AF84" s="3">
        <v>2073653399</v>
      </c>
      <c r="AG84" s="3">
        <v>1050083966</v>
      </c>
      <c r="AH84" s="3">
        <v>1611427113</v>
      </c>
      <c r="AI84" s="3">
        <v>999310432</v>
      </c>
      <c r="AJ84" s="3">
        <v>8239089214</v>
      </c>
      <c r="AK84" s="3">
        <v>21201174517</v>
      </c>
      <c r="AL84" s="3">
        <v>21349242299</v>
      </c>
      <c r="AM84" s="3">
        <v>22827967224</v>
      </c>
      <c r="AN84" s="3">
        <v>24622586817</v>
      </c>
      <c r="AO84" s="3">
        <v>24427854123</v>
      </c>
      <c r="AP84" s="3">
        <v>14525488388</v>
      </c>
      <c r="AQ84" s="3">
        <v>15125516019</v>
      </c>
      <c r="AR84" s="3">
        <v>13726290794</v>
      </c>
      <c r="AS84" s="3">
        <v>11782437615</v>
      </c>
      <c r="AT84" s="3">
        <v>10145392242</v>
      </c>
      <c r="AU84" s="3">
        <v>9507165043</v>
      </c>
      <c r="AV84" s="3">
        <v>11875045795</v>
      </c>
      <c r="AW84" s="3">
        <v>12004348771</v>
      </c>
      <c r="AX84" s="3">
        <v>10523519896</v>
      </c>
      <c r="AY84" s="3">
        <v>9348738447</v>
      </c>
      <c r="AZ84" s="547">
        <v>10969319235</v>
      </c>
      <c r="BA84" s="547">
        <v>10031170366</v>
      </c>
      <c r="BB84" s="547">
        <v>8539390979</v>
      </c>
      <c r="BC84" s="547">
        <v>9645001707</v>
      </c>
      <c r="BD84" s="547">
        <v>10383411892</v>
      </c>
      <c r="BE84" s="547">
        <v>9970977876</v>
      </c>
      <c r="BF84" s="547">
        <v>13195393950</v>
      </c>
      <c r="BG84" s="547">
        <v>9767934796</v>
      </c>
      <c r="BH84" s="547">
        <v>8417203475</v>
      </c>
      <c r="BI84" s="547">
        <v>7843661391</v>
      </c>
      <c r="BJ84" s="547">
        <v>8434662713</v>
      </c>
      <c r="BK84" s="547">
        <v>4966936658</v>
      </c>
      <c r="BL84" s="547">
        <v>11114966005</v>
      </c>
      <c r="BM84" s="3">
        <v>10314348291</v>
      </c>
      <c r="BN84" s="3">
        <v>11365641988</v>
      </c>
      <c r="BO84" s="3">
        <v>9980043897</v>
      </c>
      <c r="BP84" s="3">
        <v>10757968483</v>
      </c>
      <c r="BQ84" s="3"/>
      <c r="BR84" s="3"/>
      <c r="BS84" s="3"/>
      <c r="BT84" s="3"/>
      <c r="BU84" s="3"/>
      <c r="BV84" s="3"/>
      <c r="BW84" s="3"/>
    </row>
    <row r="85" spans="1:75" ht="15" customHeight="1" x14ac:dyDescent="0.25">
      <c r="A85" s="95">
        <v>82</v>
      </c>
      <c r="B85" s="75" t="s">
        <v>108</v>
      </c>
      <c r="C85" s="95">
        <v>6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1286403250</v>
      </c>
      <c r="AF85" s="3">
        <v>486650100</v>
      </c>
      <c r="AG85" s="3">
        <v>0</v>
      </c>
      <c r="AH85" s="3">
        <v>300000000</v>
      </c>
      <c r="AI85" s="3">
        <v>0</v>
      </c>
      <c r="AJ85" s="3">
        <v>0</v>
      </c>
      <c r="AK85" s="3">
        <v>793044000</v>
      </c>
      <c r="AL85" s="3">
        <v>1027827200</v>
      </c>
      <c r="AM85" s="3">
        <v>507440000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2000000000</v>
      </c>
      <c r="AV85" s="3">
        <v>0</v>
      </c>
      <c r="AW85" s="3">
        <v>1000000000</v>
      </c>
      <c r="AX85" s="3">
        <v>3080000000</v>
      </c>
      <c r="AY85" s="3">
        <v>0</v>
      </c>
      <c r="AZ85" s="547">
        <v>3400000000</v>
      </c>
      <c r="BA85" s="547">
        <v>5000000000</v>
      </c>
      <c r="BB85" s="547">
        <v>3900000000</v>
      </c>
      <c r="BC85" s="547">
        <v>3900000000</v>
      </c>
      <c r="BD85" s="547">
        <v>2552000000</v>
      </c>
      <c r="BE85" s="547">
        <v>3288000000</v>
      </c>
      <c r="BF85" s="547">
        <v>8940584700</v>
      </c>
      <c r="BG85" s="547">
        <v>13096754000</v>
      </c>
      <c r="BH85" s="547">
        <v>12233700000</v>
      </c>
      <c r="BI85" s="547">
        <v>10680672232</v>
      </c>
      <c r="BJ85" s="547">
        <v>7680672232</v>
      </c>
      <c r="BK85" s="547">
        <v>9621393836</v>
      </c>
      <c r="BL85" s="547">
        <v>13942237927</v>
      </c>
      <c r="BM85" s="3">
        <v>16272437927</v>
      </c>
      <c r="BN85" s="3">
        <v>18043437927</v>
      </c>
      <c r="BO85" s="3">
        <f>17043437927-1000000000</f>
        <v>16043437927</v>
      </c>
      <c r="BP85" s="3">
        <v>15043437927</v>
      </c>
      <c r="BQ85" s="3"/>
      <c r="BR85" s="3"/>
      <c r="BS85" s="3"/>
      <c r="BT85" s="3"/>
      <c r="BU85" s="3"/>
      <c r="BV85" s="3"/>
      <c r="BW85" s="3"/>
    </row>
    <row r="86" spans="1:75" ht="15" customHeight="1" x14ac:dyDescent="0.25">
      <c r="A86" s="95">
        <v>83</v>
      </c>
      <c r="B86" s="75" t="s">
        <v>109</v>
      </c>
      <c r="C86" s="95">
        <v>6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547"/>
      <c r="BA86" s="547"/>
      <c r="BB86" s="547"/>
      <c r="BC86" s="547"/>
      <c r="BD86" s="547"/>
      <c r="BE86" s="547"/>
      <c r="BF86" s="547"/>
      <c r="BG86" s="547"/>
      <c r="BH86" s="547"/>
      <c r="BI86" s="547"/>
      <c r="BJ86" s="547"/>
      <c r="BK86" s="547"/>
      <c r="BL86" s="547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25">
      <c r="A87" s="95">
        <v>84</v>
      </c>
      <c r="B87" s="75" t="s">
        <v>110</v>
      </c>
      <c r="C87" s="95">
        <v>6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>
        <v>0</v>
      </c>
      <c r="P87" s="3">
        <v>0</v>
      </c>
      <c r="Q87" s="3">
        <v>239481</v>
      </c>
      <c r="R87" s="3">
        <v>239481</v>
      </c>
      <c r="S87" s="3">
        <v>69861062</v>
      </c>
      <c r="T87" s="3">
        <v>873034</v>
      </c>
      <c r="U87" s="3">
        <v>71022</v>
      </c>
      <c r="V87" s="3">
        <v>59659294</v>
      </c>
      <c r="W87" s="3">
        <v>197134527</v>
      </c>
      <c r="X87" s="3">
        <v>347170782</v>
      </c>
      <c r="Y87" s="3">
        <v>264742910</v>
      </c>
      <c r="Z87" s="3">
        <v>375502175</v>
      </c>
      <c r="AA87" s="3">
        <v>9748603</v>
      </c>
      <c r="AB87" s="3">
        <v>2560344</v>
      </c>
      <c r="AC87" s="3">
        <v>4773133</v>
      </c>
      <c r="AD87" s="3">
        <v>8812815</v>
      </c>
      <c r="AE87" s="3">
        <v>19794380</v>
      </c>
      <c r="AF87" s="3">
        <v>35224785</v>
      </c>
      <c r="AG87" s="3">
        <v>326091257</v>
      </c>
      <c r="AH87" s="3">
        <v>162632604</v>
      </c>
      <c r="AI87" s="3">
        <v>110739202</v>
      </c>
      <c r="AJ87" s="3">
        <v>57394657</v>
      </c>
      <c r="AK87" s="3">
        <v>16279411</v>
      </c>
      <c r="AL87" s="3">
        <v>31388485</v>
      </c>
      <c r="AM87" s="3">
        <v>79198130</v>
      </c>
      <c r="AN87" s="3">
        <v>423401400</v>
      </c>
      <c r="AO87" s="3">
        <v>171872397</v>
      </c>
      <c r="AP87" s="3">
        <v>493003251</v>
      </c>
      <c r="AQ87" s="3">
        <v>385897131</v>
      </c>
      <c r="AR87" s="3">
        <v>571140238</v>
      </c>
      <c r="AS87" s="3">
        <v>896976703</v>
      </c>
      <c r="AT87" s="3">
        <v>366249265</v>
      </c>
      <c r="AU87" s="3">
        <v>236278984</v>
      </c>
      <c r="AV87" s="3">
        <v>508262486</v>
      </c>
      <c r="AW87" s="3">
        <v>492684179</v>
      </c>
      <c r="AX87" s="3">
        <v>331824086</v>
      </c>
      <c r="AY87" s="3">
        <v>526131255</v>
      </c>
      <c r="AZ87" s="547">
        <v>87235095</v>
      </c>
      <c r="BA87" s="547">
        <v>572121867</v>
      </c>
      <c r="BB87" s="547">
        <v>1155294757</v>
      </c>
      <c r="BC87" s="547">
        <v>991732208</v>
      </c>
      <c r="BD87" s="547">
        <v>1280799702</v>
      </c>
      <c r="BE87" s="547">
        <v>1462108177</v>
      </c>
      <c r="BF87" s="547">
        <v>1072152630</v>
      </c>
      <c r="BG87" s="547">
        <v>1389551694</v>
      </c>
      <c r="BH87" s="547">
        <v>1091579265</v>
      </c>
      <c r="BI87" s="547">
        <v>982838041</v>
      </c>
      <c r="BJ87" s="547">
        <v>461674423</v>
      </c>
      <c r="BK87" s="547">
        <v>667259946</v>
      </c>
      <c r="BL87" s="547">
        <v>452601827</v>
      </c>
      <c r="BM87" s="3">
        <v>530261402</v>
      </c>
      <c r="BN87" s="3">
        <v>768369803</v>
      </c>
      <c r="BO87" s="3">
        <v>853376506</v>
      </c>
      <c r="BP87" s="3">
        <v>707434273</v>
      </c>
      <c r="BQ87" s="3"/>
      <c r="BR87" s="3"/>
      <c r="BS87" s="3"/>
      <c r="BT87" s="3"/>
      <c r="BU87" s="3"/>
      <c r="BV87" s="3"/>
      <c r="BW87" s="3"/>
    </row>
    <row r="88" spans="1:75" ht="15" customHeight="1" x14ac:dyDescent="0.25">
      <c r="A88" s="95">
        <v>85</v>
      </c>
      <c r="B88" s="75" t="s">
        <v>111</v>
      </c>
      <c r="C88" s="95">
        <v>6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v>10307692</v>
      </c>
      <c r="P88" s="3">
        <v>-1780000</v>
      </c>
      <c r="Q88" s="3">
        <v>114432635</v>
      </c>
      <c r="R88" s="3">
        <v>227275873</v>
      </c>
      <c r="S88" s="3">
        <v>1749858</v>
      </c>
      <c r="T88" s="3">
        <v>252363058</v>
      </c>
      <c r="U88" s="3">
        <v>319118499</v>
      </c>
      <c r="V88" s="3">
        <v>325405130</v>
      </c>
      <c r="W88" s="3">
        <v>21524828</v>
      </c>
      <c r="X88" s="3">
        <v>2764028</v>
      </c>
      <c r="Y88" s="3">
        <v>715242832</v>
      </c>
      <c r="Z88" s="3">
        <v>675744591</v>
      </c>
      <c r="AA88" s="3">
        <v>219321017</v>
      </c>
      <c r="AB88" s="3">
        <v>577866908</v>
      </c>
      <c r="AC88" s="3">
        <v>708050164</v>
      </c>
      <c r="AD88" s="3">
        <v>896121304</v>
      </c>
      <c r="AE88" s="3">
        <v>1097112149</v>
      </c>
      <c r="AF88" s="3">
        <v>1012918905</v>
      </c>
      <c r="AG88" s="3">
        <v>760260417</v>
      </c>
      <c r="AH88" s="3">
        <v>655854746</v>
      </c>
      <c r="AI88" s="3">
        <v>975183</v>
      </c>
      <c r="AJ88" s="3">
        <v>423932086</v>
      </c>
      <c r="AK88" s="3">
        <v>431868557</v>
      </c>
      <c r="AL88" s="3">
        <v>474569123</v>
      </c>
      <c r="AM88" s="3">
        <v>833380381</v>
      </c>
      <c r="AN88" s="3">
        <v>756437492</v>
      </c>
      <c r="AO88" s="3">
        <v>487845569</v>
      </c>
      <c r="AP88" s="3">
        <v>526331037</v>
      </c>
      <c r="AQ88" s="3">
        <v>589826152</v>
      </c>
      <c r="AR88" s="3">
        <v>480156710</v>
      </c>
      <c r="AS88" s="3">
        <v>448850565</v>
      </c>
      <c r="AT88" s="3">
        <v>474495051</v>
      </c>
      <c r="AU88" s="3">
        <v>975183</v>
      </c>
      <c r="AV88" s="3">
        <v>569623508</v>
      </c>
      <c r="AW88" s="3">
        <v>552363610</v>
      </c>
      <c r="AX88" s="3">
        <v>576413460</v>
      </c>
      <c r="AY88" s="3">
        <v>548734741</v>
      </c>
      <c r="AZ88" s="547">
        <v>645100582</v>
      </c>
      <c r="BA88" s="547">
        <v>523779608</v>
      </c>
      <c r="BB88" s="547">
        <v>509214049</v>
      </c>
      <c r="BC88" s="547"/>
      <c r="BD88" s="547">
        <v>513441896</v>
      </c>
      <c r="BE88" s="547">
        <v>545503082</v>
      </c>
      <c r="BF88" s="547">
        <v>546005661</v>
      </c>
      <c r="BG88" s="547">
        <v>567085064</v>
      </c>
      <c r="BH88" s="547">
        <v>567185734</v>
      </c>
      <c r="BI88" s="547">
        <v>505418624</v>
      </c>
      <c r="BJ88" s="547">
        <v>491829630</v>
      </c>
      <c r="BK88" s="547">
        <v>540394414</v>
      </c>
      <c r="BL88" s="547">
        <v>1015868152</v>
      </c>
      <c r="BM88" s="3">
        <v>758427364</v>
      </c>
      <c r="BN88" s="3">
        <v>557444965</v>
      </c>
      <c r="BO88" s="3">
        <v>644182992</v>
      </c>
      <c r="BP88" s="3">
        <v>566718152</v>
      </c>
      <c r="BQ88" s="3"/>
      <c r="BR88" s="3"/>
      <c r="BS88" s="3"/>
      <c r="BT88" s="3"/>
      <c r="BU88" s="3"/>
      <c r="BV88" s="3"/>
      <c r="BW88" s="3"/>
    </row>
    <row r="89" spans="1:75" ht="15" customHeight="1" x14ac:dyDescent="0.25">
      <c r="A89" s="95">
        <v>86</v>
      </c>
      <c r="B89" s="75" t="s">
        <v>112</v>
      </c>
      <c r="C89" s="95">
        <v>6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32500000</v>
      </c>
      <c r="Z89" s="3">
        <v>558531977</v>
      </c>
      <c r="AA89" s="3">
        <v>97205512</v>
      </c>
      <c r="AB89" s="3">
        <v>101710909</v>
      </c>
      <c r="AC89" s="3">
        <v>128746220</v>
      </c>
      <c r="AD89" s="3">
        <v>414646491</v>
      </c>
      <c r="AE89" s="3">
        <v>317971930</v>
      </c>
      <c r="AF89" s="3">
        <v>301680140</v>
      </c>
      <c r="AG89" s="3">
        <v>557834749</v>
      </c>
      <c r="AH89" s="3">
        <v>79387833</v>
      </c>
      <c r="AI89" s="3">
        <v>473488958</v>
      </c>
      <c r="AJ89" s="3">
        <v>508365633</v>
      </c>
      <c r="AK89" s="3">
        <v>591884854</v>
      </c>
      <c r="AL89" s="3">
        <v>894103269</v>
      </c>
      <c r="AM89" s="3">
        <v>366066475</v>
      </c>
      <c r="AN89" s="3">
        <v>161495067</v>
      </c>
      <c r="AO89" s="3">
        <v>159236289</v>
      </c>
      <c r="AP89" s="3">
        <v>286895273</v>
      </c>
      <c r="AQ89" s="3">
        <v>346192659</v>
      </c>
      <c r="AR89" s="3">
        <v>367111190</v>
      </c>
      <c r="AS89" s="3">
        <v>411300290</v>
      </c>
      <c r="AT89" s="3">
        <v>476034470</v>
      </c>
      <c r="AU89" s="3">
        <v>569635558</v>
      </c>
      <c r="AV89" s="3">
        <v>637549355</v>
      </c>
      <c r="AW89" s="3">
        <v>656376341</v>
      </c>
      <c r="AX89" s="3">
        <v>765836454</v>
      </c>
      <c r="AY89" s="3">
        <v>777240552</v>
      </c>
      <c r="AZ89" s="547">
        <v>89612636</v>
      </c>
      <c r="BA89" s="547">
        <v>195279138</v>
      </c>
      <c r="BB89" s="547">
        <v>291513043</v>
      </c>
      <c r="BC89" s="547">
        <v>295282664</v>
      </c>
      <c r="BD89" s="547">
        <v>370579654</v>
      </c>
      <c r="BE89" s="547">
        <v>629736152</v>
      </c>
      <c r="BF89" s="547">
        <v>582978895</v>
      </c>
      <c r="BG89" s="547">
        <v>694554095</v>
      </c>
      <c r="BH89" s="547">
        <v>715036226</v>
      </c>
      <c r="BI89" s="547">
        <v>770619811</v>
      </c>
      <c r="BJ89" s="547">
        <v>803014783</v>
      </c>
      <c r="BK89" s="547">
        <v>433434727</v>
      </c>
      <c r="BL89" s="547">
        <v>218193736</v>
      </c>
      <c r="BM89" s="3">
        <v>240400602</v>
      </c>
      <c r="BN89" s="3">
        <v>404996135</v>
      </c>
      <c r="BO89" s="3">
        <v>378355074</v>
      </c>
      <c r="BP89" s="3">
        <v>493880329</v>
      </c>
      <c r="BQ89" s="3"/>
      <c r="BR89" s="3"/>
      <c r="BS89" s="3"/>
      <c r="BT89" s="3"/>
      <c r="BU89" s="3"/>
      <c r="BV89" s="3"/>
      <c r="BW89" s="3"/>
    </row>
    <row r="90" spans="1:75" ht="15" customHeight="1" x14ac:dyDescent="0.25">
      <c r="A90" s="95">
        <v>87</v>
      </c>
      <c r="B90" s="75" t="s">
        <v>113</v>
      </c>
      <c r="C90" s="95">
        <v>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547"/>
      <c r="BA90" s="547"/>
      <c r="BB90" s="547"/>
      <c r="BC90" s="547"/>
      <c r="BD90" s="547"/>
      <c r="BE90" s="547"/>
      <c r="BF90" s="547"/>
      <c r="BG90" s="547"/>
      <c r="BH90" s="547"/>
      <c r="BI90" s="547"/>
      <c r="BJ90" s="547"/>
      <c r="BK90" s="547"/>
      <c r="BL90" s="547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25">
      <c r="A91" s="95">
        <v>88</v>
      </c>
      <c r="B91" s="75" t="s">
        <v>114</v>
      </c>
      <c r="C91" s="95">
        <v>6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547"/>
      <c r="BA91" s="547"/>
      <c r="BB91" s="547"/>
      <c r="BC91" s="547"/>
      <c r="BD91" s="547"/>
      <c r="BE91" s="547"/>
      <c r="BF91" s="547"/>
      <c r="BG91" s="547"/>
      <c r="BH91" s="547"/>
      <c r="BI91" s="547"/>
      <c r="BJ91" s="547"/>
      <c r="BK91" s="547"/>
      <c r="BL91" s="547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25">
      <c r="A92" s="95">
        <v>89</v>
      </c>
      <c r="B92" s="75" t="s">
        <v>115</v>
      </c>
      <c r="C92" s="95">
        <v>6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547"/>
      <c r="BA92" s="547"/>
      <c r="BB92" s="547"/>
      <c r="BC92" s="547"/>
      <c r="BD92" s="547"/>
      <c r="BE92" s="547"/>
      <c r="BF92" s="547"/>
      <c r="BG92" s="547"/>
      <c r="BH92" s="547"/>
      <c r="BI92" s="547"/>
      <c r="BJ92" s="547"/>
      <c r="BK92" s="547"/>
      <c r="BL92" s="547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25">
      <c r="A93" s="95">
        <v>90</v>
      </c>
      <c r="B93" s="75" t="s">
        <v>116</v>
      </c>
      <c r="C93" s="95">
        <v>6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>
        <v>0</v>
      </c>
      <c r="P93" s="3">
        <v>3990000</v>
      </c>
      <c r="Q93" s="3">
        <v>12855000</v>
      </c>
      <c r="R93" s="3">
        <v>19062590</v>
      </c>
      <c r="S93" s="3">
        <v>40809647</v>
      </c>
      <c r="T93" s="3">
        <v>44047532</v>
      </c>
      <c r="U93" s="3">
        <v>41141837</v>
      </c>
      <c r="V93" s="3">
        <v>59559272</v>
      </c>
      <c r="W93" s="3">
        <v>51469022</v>
      </c>
      <c r="X93" s="3">
        <v>720255221</v>
      </c>
      <c r="Y93" s="3">
        <v>933018821</v>
      </c>
      <c r="Z93" s="3">
        <v>906123895</v>
      </c>
      <c r="AA93" s="3">
        <v>1137905332</v>
      </c>
      <c r="AB93" s="3">
        <v>908498722</v>
      </c>
      <c r="AC93" s="3">
        <v>476073022</v>
      </c>
      <c r="AD93" s="3">
        <v>868412873</v>
      </c>
      <c r="AE93" s="3">
        <v>571993123</v>
      </c>
      <c r="AF93" s="3">
        <v>226976123</v>
      </c>
      <c r="AG93" s="3">
        <v>2435810503</v>
      </c>
      <c r="AH93" s="3">
        <v>4078797110</v>
      </c>
      <c r="AI93" s="3">
        <v>2470895402</v>
      </c>
      <c r="AJ93" s="3">
        <v>2479855692</v>
      </c>
      <c r="AK93" s="3">
        <v>2487760862</v>
      </c>
      <c r="AL93" s="3">
        <v>2575039642</v>
      </c>
      <c r="AM93" s="3">
        <v>9113250</v>
      </c>
      <c r="AN93" s="3">
        <v>113618752</v>
      </c>
      <c r="AO93" s="3">
        <v>295597557</v>
      </c>
      <c r="AP93" s="3">
        <v>168108357</v>
      </c>
      <c r="AQ93" s="3">
        <v>206488764</v>
      </c>
      <c r="AR93" s="3">
        <v>199675314</v>
      </c>
      <c r="AS93" s="3">
        <v>188043114</v>
      </c>
      <c r="AT93" s="3">
        <v>185699314</v>
      </c>
      <c r="AU93" s="3">
        <v>505576778</v>
      </c>
      <c r="AV93" s="3">
        <v>729003086</v>
      </c>
      <c r="AW93" s="3">
        <v>684273103</v>
      </c>
      <c r="AX93" s="3">
        <v>1524969091</v>
      </c>
      <c r="AY93" s="3">
        <v>140744499</v>
      </c>
      <c r="AZ93" s="547">
        <v>705251097</v>
      </c>
      <c r="BA93" s="547">
        <v>1497389411</v>
      </c>
      <c r="BB93" s="547">
        <v>1209698081</v>
      </c>
      <c r="BC93" s="547">
        <v>1582128670</v>
      </c>
      <c r="BD93" s="547">
        <v>2127542860</v>
      </c>
      <c r="BE93" s="547">
        <v>1184666153</v>
      </c>
      <c r="BF93" s="547">
        <v>789129739</v>
      </c>
      <c r="BG93" s="547">
        <v>667115314</v>
      </c>
      <c r="BH93" s="547">
        <v>399360953</v>
      </c>
      <c r="BI93" s="547">
        <v>503975552</v>
      </c>
      <c r="BJ93" s="547">
        <v>536816047</v>
      </c>
      <c r="BK93" s="547">
        <v>78577929</v>
      </c>
      <c r="BL93" s="547">
        <v>884463355</v>
      </c>
      <c r="BM93" s="3">
        <v>411039323</v>
      </c>
      <c r="BN93" s="3">
        <v>437015840</v>
      </c>
      <c r="BO93" s="3">
        <v>549144410</v>
      </c>
      <c r="BP93" s="3">
        <v>622489212</v>
      </c>
      <c r="BQ93" s="3"/>
      <c r="BR93" s="3"/>
      <c r="BS93" s="3"/>
      <c r="BT93" s="3"/>
      <c r="BU93" s="3"/>
      <c r="BV93" s="3"/>
      <c r="BW93" s="3"/>
    </row>
    <row r="94" spans="1:75" ht="15" customHeight="1" x14ac:dyDescent="0.25">
      <c r="A94" s="95">
        <v>91</v>
      </c>
      <c r="B94" s="75" t="s">
        <v>117</v>
      </c>
      <c r="C94" s="95">
        <v>6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4000000000</v>
      </c>
      <c r="AF94" s="3">
        <v>10000000000</v>
      </c>
      <c r="AG94" s="3">
        <v>10000000000</v>
      </c>
      <c r="AH94" s="3">
        <v>16500000000</v>
      </c>
      <c r="AI94" s="3">
        <v>16500000000</v>
      </c>
      <c r="AJ94" s="3">
        <v>16500000000</v>
      </c>
      <c r="AK94" s="3">
        <v>17770000000</v>
      </c>
      <c r="AL94" s="3">
        <v>17770000000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547"/>
      <c r="BA94" s="547"/>
      <c r="BB94" s="547"/>
      <c r="BC94" s="547"/>
      <c r="BD94" s="547"/>
      <c r="BE94" s="547"/>
      <c r="BF94" s="547"/>
      <c r="BG94" s="547"/>
      <c r="BH94" s="547"/>
      <c r="BI94" s="547"/>
      <c r="BJ94" s="547"/>
      <c r="BK94" s="547"/>
      <c r="BL94" s="547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25">
      <c r="A95" s="95">
        <v>92</v>
      </c>
      <c r="B95" s="75" t="s">
        <v>118</v>
      </c>
      <c r="C95" s="95">
        <v>6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547"/>
      <c r="BA95" s="547"/>
      <c r="BB95" s="547"/>
      <c r="BC95" s="547"/>
      <c r="BD95" s="547"/>
      <c r="BE95" s="547"/>
      <c r="BF95" s="547"/>
      <c r="BG95" s="547"/>
      <c r="BH95" s="547"/>
      <c r="BI95" s="547"/>
      <c r="BJ95" s="547"/>
      <c r="BK95" s="547"/>
      <c r="BL95" s="547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25">
      <c r="A96" s="95">
        <v>93</v>
      </c>
      <c r="B96" s="75" t="s">
        <v>119</v>
      </c>
      <c r="C96" s="95">
        <v>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12680000</v>
      </c>
      <c r="AC96" s="3">
        <v>12680000</v>
      </c>
      <c r="AD96" s="3">
        <v>12680000</v>
      </c>
      <c r="AE96" s="3">
        <v>12680000</v>
      </c>
      <c r="AF96" s="3">
        <v>12680000</v>
      </c>
      <c r="AG96" s="3">
        <v>12680000</v>
      </c>
      <c r="AH96" s="3">
        <v>12680000</v>
      </c>
      <c r="AI96" s="3">
        <v>12680000</v>
      </c>
      <c r="AJ96" s="3">
        <v>79998</v>
      </c>
      <c r="AK96" s="3">
        <v>79998</v>
      </c>
      <c r="AL96" s="3">
        <v>79998</v>
      </c>
      <c r="AM96" s="3">
        <v>79998</v>
      </c>
      <c r="AN96" s="3">
        <v>79998</v>
      </c>
      <c r="AO96" s="3">
        <v>79998</v>
      </c>
      <c r="AP96" s="3">
        <v>79998</v>
      </c>
      <c r="AQ96" s="3">
        <v>79998</v>
      </c>
      <c r="AR96" s="3">
        <v>79998</v>
      </c>
      <c r="AS96" s="3">
        <v>79998</v>
      </c>
      <c r="AT96" s="3">
        <v>79998</v>
      </c>
      <c r="AU96" s="3">
        <v>79998</v>
      </c>
      <c r="AV96" s="3">
        <v>79998</v>
      </c>
      <c r="AW96" s="3">
        <v>79998</v>
      </c>
      <c r="AX96" s="3">
        <v>79998</v>
      </c>
      <c r="AY96" s="3">
        <v>0</v>
      </c>
      <c r="AZ96" s="547"/>
      <c r="BA96" s="547"/>
      <c r="BB96" s="547"/>
      <c r="BC96" s="547"/>
      <c r="BD96" s="547"/>
      <c r="BE96" s="547"/>
      <c r="BF96" s="547"/>
      <c r="BG96" s="547"/>
      <c r="BH96" s="547"/>
      <c r="BI96" s="547"/>
      <c r="BJ96" s="547"/>
      <c r="BK96" s="547"/>
      <c r="BL96" s="547">
        <v>23000000</v>
      </c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25">
      <c r="A97" s="95">
        <v>94</v>
      </c>
      <c r="B97" s="76" t="s">
        <v>120</v>
      </c>
      <c r="C97" s="95">
        <v>6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547"/>
      <c r="BA97" s="547"/>
      <c r="BB97" s="547"/>
      <c r="BC97" s="547"/>
      <c r="BD97" s="547"/>
      <c r="BE97" s="547"/>
      <c r="BF97" s="547"/>
      <c r="BG97" s="547"/>
      <c r="BH97" s="547"/>
      <c r="BI97" s="547"/>
      <c r="BJ97" s="547"/>
      <c r="BK97" s="547"/>
      <c r="BL97" s="547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25">
      <c r="A98" s="95">
        <v>95</v>
      </c>
      <c r="B98" s="76" t="s">
        <v>121</v>
      </c>
      <c r="C98" s="95">
        <v>6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547"/>
      <c r="BA98" s="547"/>
      <c r="BB98" s="547"/>
      <c r="BC98" s="547"/>
      <c r="BD98" s="547"/>
      <c r="BE98" s="547"/>
      <c r="BF98" s="547"/>
      <c r="BG98" s="547"/>
      <c r="BH98" s="547"/>
      <c r="BI98" s="547"/>
      <c r="BJ98" s="547"/>
      <c r="BK98" s="547"/>
      <c r="BL98" s="547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25">
      <c r="A99" s="97">
        <v>96</v>
      </c>
      <c r="B99" s="67" t="s">
        <v>345</v>
      </c>
      <c r="C99" s="97">
        <v>6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f t="shared" ref="Y99" si="6">SUM(Y100:Y113)</f>
        <v>4000000000</v>
      </c>
      <c r="Z99" s="5">
        <f t="shared" ref="Z99" si="7">SUM(Z100:Z113)</f>
        <v>4000000000</v>
      </c>
      <c r="AA99" s="5">
        <f t="shared" ref="AA99" si="8">SUM(AA100:AA113)</f>
        <v>19000000000</v>
      </c>
      <c r="AB99" s="5">
        <f t="shared" ref="AB99" si="9">SUM(AB100:AB113)</f>
        <v>19000000000</v>
      </c>
      <c r="AC99" s="5">
        <f t="shared" ref="AC99" si="10">SUM(AC100:AC113)</f>
        <v>19000000000</v>
      </c>
      <c r="AD99" s="5">
        <f t="shared" ref="AD99" si="11">SUM(AD100:AD113)</f>
        <v>19000000000</v>
      </c>
      <c r="AE99" s="5">
        <f t="shared" ref="AE99" si="12">SUM(AE100:AE113)</f>
        <v>15000000000</v>
      </c>
      <c r="AF99" s="5">
        <f t="shared" ref="AF99" si="13">SUM(AF100:AF113)</f>
        <v>15000000000</v>
      </c>
      <c r="AG99" s="5">
        <f t="shared" ref="AG99" si="14">SUM(AG100:AG113)</f>
        <v>15000000000</v>
      </c>
      <c r="AH99" s="5">
        <f t="shared" ref="AH99" si="15">SUM(AH100:AH113)</f>
        <v>15000000000</v>
      </c>
      <c r="AI99" s="5">
        <f t="shared" ref="AI99" si="16">SUM(AI100:AI113)</f>
        <v>15000000000</v>
      </c>
      <c r="AJ99" s="5">
        <f t="shared" ref="AJ99" si="17">SUM(AJ100:AJ113)</f>
        <v>15000000000</v>
      </c>
      <c r="AK99" s="5">
        <f t="shared" ref="AK99" si="18">SUM(AK100:AK113)</f>
        <v>15000000000</v>
      </c>
      <c r="AL99" s="5">
        <f t="shared" ref="AL99" si="19">SUM(AL100:AL113)</f>
        <v>15000000000</v>
      </c>
      <c r="AM99" s="5">
        <f t="shared" ref="AM99" si="20">SUM(AM100:AM113)</f>
        <v>32770000000</v>
      </c>
      <c r="AN99" s="5">
        <f t="shared" ref="AN99" si="21">SUM(AN100:AN113)</f>
        <v>32770000000</v>
      </c>
      <c r="AO99" s="5">
        <f t="shared" ref="AO99" si="22">SUM(AO100:AO113)</f>
        <v>32770000000</v>
      </c>
      <c r="AP99" s="5">
        <f t="shared" ref="AP99" si="23">SUM(AP100:AP113)</f>
        <v>32770000000</v>
      </c>
      <c r="AQ99" s="5">
        <f t="shared" ref="AQ99" si="24">SUM(AQ100:AQ113)</f>
        <v>32770000000</v>
      </c>
      <c r="AR99" s="5">
        <f t="shared" ref="AR99" si="25">SUM(AR100:AR113)</f>
        <v>32770000000</v>
      </c>
      <c r="AS99" s="5">
        <f t="shared" ref="AS99" si="26">SUM(AS100:AS113)</f>
        <v>32770000000</v>
      </c>
      <c r="AT99" s="5">
        <f t="shared" ref="AT99" si="27">SUM(AT100:AT113)</f>
        <v>32770000000</v>
      </c>
      <c r="AU99" s="5">
        <f t="shared" ref="AU99" si="28">SUM(AU100:AU113)</f>
        <v>32770000000</v>
      </c>
      <c r="AV99" s="5">
        <f t="shared" ref="AV99" si="29">SUM(AV100:AV113)</f>
        <v>32770000000</v>
      </c>
      <c r="AW99" s="5">
        <f t="shared" ref="AW99" si="30">SUM(AW100:AW113)</f>
        <v>32770000000</v>
      </c>
      <c r="AX99" s="5">
        <f t="shared" ref="AX99" si="31">SUM(AX100:AX113)</f>
        <v>32770000000</v>
      </c>
      <c r="AY99" s="6">
        <f t="shared" ref="AY99" si="32">SUM(AY100:AY113)</f>
        <v>32770000000</v>
      </c>
      <c r="AZ99" s="549">
        <v>32770000000</v>
      </c>
      <c r="BA99" s="549">
        <v>32770000000</v>
      </c>
      <c r="BB99" s="549">
        <v>32770000000</v>
      </c>
      <c r="BC99" s="549">
        <v>32770000000</v>
      </c>
      <c r="BD99" s="549">
        <v>32770000000</v>
      </c>
      <c r="BE99" s="549">
        <v>32770000000</v>
      </c>
      <c r="BF99" s="549">
        <v>32770000000</v>
      </c>
      <c r="BG99" s="549">
        <v>32770000000</v>
      </c>
      <c r="BH99" s="549">
        <v>32770000000</v>
      </c>
      <c r="BI99" s="549">
        <v>32770000000</v>
      </c>
      <c r="BJ99" s="549">
        <v>32770000000</v>
      </c>
      <c r="BK99" s="549">
        <v>32770000000</v>
      </c>
      <c r="BL99" s="549">
        <f t="shared" ref="BL99:BM99" si="33">SUM(BL100:BL113)</f>
        <v>32770000000</v>
      </c>
      <c r="BM99" s="6">
        <f t="shared" si="33"/>
        <v>32770000000</v>
      </c>
      <c r="BN99" s="6">
        <f>SUM(BN100:BN113)</f>
        <v>32770000000</v>
      </c>
      <c r="BO99" s="6">
        <f>SUM(BO100:BO113)</f>
        <v>32770000000</v>
      </c>
      <c r="BP99" s="6">
        <f>SUM(BP100:BP113)</f>
        <v>32770000000</v>
      </c>
      <c r="BQ99" s="6"/>
      <c r="BR99" s="6"/>
      <c r="BS99" s="6"/>
      <c r="BT99" s="6"/>
      <c r="BU99" s="6"/>
      <c r="BV99" s="6"/>
      <c r="BW99" s="6"/>
    </row>
    <row r="100" spans="1:75" ht="15" customHeight="1" x14ac:dyDescent="0.25">
      <c r="A100" s="95">
        <v>97</v>
      </c>
      <c r="B100" s="75" t="s">
        <v>123</v>
      </c>
      <c r="C100" s="95">
        <v>6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547"/>
      <c r="BA100" s="547"/>
      <c r="BB100" s="547"/>
      <c r="BC100" s="547"/>
      <c r="BD100" s="547"/>
      <c r="BE100" s="547"/>
      <c r="BF100" s="547"/>
      <c r="BG100" s="547"/>
      <c r="BH100" s="547"/>
      <c r="BI100" s="547"/>
      <c r="BJ100" s="547"/>
      <c r="BK100" s="547"/>
      <c r="BL100" s="547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25">
      <c r="A101" s="95">
        <v>98</v>
      </c>
      <c r="B101" s="75" t="s">
        <v>124</v>
      </c>
      <c r="C101" s="95">
        <v>6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547"/>
      <c r="BA101" s="547"/>
      <c r="BB101" s="547"/>
      <c r="BC101" s="547"/>
      <c r="BD101" s="547"/>
      <c r="BE101" s="547"/>
      <c r="BF101" s="547"/>
      <c r="BG101" s="547"/>
      <c r="BH101" s="547"/>
      <c r="BI101" s="547"/>
      <c r="BJ101" s="547"/>
      <c r="BK101" s="547"/>
      <c r="BL101" s="547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25">
      <c r="A102" s="95">
        <v>99</v>
      </c>
      <c r="B102" s="75" t="s">
        <v>125</v>
      </c>
      <c r="C102" s="95">
        <v>6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547"/>
      <c r="BA102" s="547"/>
      <c r="BB102" s="547"/>
      <c r="BC102" s="547"/>
      <c r="BD102" s="547"/>
      <c r="BE102" s="547"/>
      <c r="BF102" s="547"/>
      <c r="BG102" s="547"/>
      <c r="BH102" s="547"/>
      <c r="BI102" s="547"/>
      <c r="BJ102" s="547"/>
      <c r="BK102" s="547"/>
      <c r="BL102" s="547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25">
      <c r="A103" s="95">
        <v>100</v>
      </c>
      <c r="B103" s="75" t="s">
        <v>126</v>
      </c>
      <c r="C103" s="95">
        <v>6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547"/>
      <c r="BA103" s="547"/>
      <c r="BB103" s="547"/>
      <c r="BC103" s="547"/>
      <c r="BD103" s="547"/>
      <c r="BE103" s="547"/>
      <c r="BF103" s="547"/>
      <c r="BG103" s="547"/>
      <c r="BH103" s="547"/>
      <c r="BI103" s="547"/>
      <c r="BJ103" s="547"/>
      <c r="BK103" s="547"/>
      <c r="BL103" s="547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25">
      <c r="A104" s="95">
        <v>101</v>
      </c>
      <c r="B104" s="75" t="s">
        <v>127</v>
      </c>
      <c r="C104" s="95">
        <v>6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547"/>
      <c r="BA104" s="547"/>
      <c r="BB104" s="547"/>
      <c r="BC104" s="547"/>
      <c r="BD104" s="547"/>
      <c r="BE104" s="547"/>
      <c r="BF104" s="547"/>
      <c r="BG104" s="547"/>
      <c r="BH104" s="547"/>
      <c r="BI104" s="547"/>
      <c r="BJ104" s="547"/>
      <c r="BK104" s="547"/>
      <c r="BL104" s="547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25">
      <c r="A105" s="95">
        <v>102</v>
      </c>
      <c r="B105" s="75" t="s">
        <v>128</v>
      </c>
      <c r="C105" s="95">
        <v>6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547"/>
      <c r="BA105" s="547"/>
      <c r="BB105" s="547"/>
      <c r="BC105" s="547"/>
      <c r="BD105" s="547"/>
      <c r="BE105" s="547"/>
      <c r="BF105" s="547"/>
      <c r="BG105" s="547"/>
      <c r="BH105" s="547"/>
      <c r="BI105" s="547"/>
      <c r="BJ105" s="547"/>
      <c r="BK105" s="547"/>
      <c r="BL105" s="547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25">
      <c r="A106" s="95">
        <v>103</v>
      </c>
      <c r="B106" s="75" t="s">
        <v>129</v>
      </c>
      <c r="C106" s="95">
        <v>6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547"/>
      <c r="BA106" s="547"/>
      <c r="BB106" s="547"/>
      <c r="BC106" s="547"/>
      <c r="BD106" s="547"/>
      <c r="BE106" s="547"/>
      <c r="BF106" s="547"/>
      <c r="BG106" s="547"/>
      <c r="BH106" s="547"/>
      <c r="BI106" s="547"/>
      <c r="BJ106" s="547"/>
      <c r="BK106" s="547"/>
      <c r="BL106" s="547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25">
      <c r="A107" s="95">
        <v>104</v>
      </c>
      <c r="B107" s="75" t="s">
        <v>130</v>
      </c>
      <c r="C107" s="95">
        <v>6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547"/>
      <c r="BA107" s="547"/>
      <c r="BB107" s="547"/>
      <c r="BC107" s="547"/>
      <c r="BD107" s="547"/>
      <c r="BE107" s="547"/>
      <c r="BF107" s="547"/>
      <c r="BG107" s="547"/>
      <c r="BH107" s="547"/>
      <c r="BI107" s="547"/>
      <c r="BJ107" s="547"/>
      <c r="BK107" s="547"/>
      <c r="BL107" s="547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25">
      <c r="A108" s="95">
        <v>105</v>
      </c>
      <c r="B108" s="75" t="s">
        <v>346</v>
      </c>
      <c r="C108" s="95">
        <v>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4000000000</v>
      </c>
      <c r="Z108" s="3">
        <v>4000000000</v>
      </c>
      <c r="AA108" s="3">
        <v>19000000000</v>
      </c>
      <c r="AB108" s="3">
        <v>19000000000</v>
      </c>
      <c r="AC108" s="3">
        <v>19000000000</v>
      </c>
      <c r="AD108" s="3">
        <v>19000000000</v>
      </c>
      <c r="AE108" s="3">
        <v>15000000000</v>
      </c>
      <c r="AF108" s="3">
        <v>15000000000</v>
      </c>
      <c r="AG108" s="3">
        <v>15000000000</v>
      </c>
      <c r="AH108" s="3">
        <v>15000000000</v>
      </c>
      <c r="AI108" s="3">
        <v>15000000000</v>
      </c>
      <c r="AJ108" s="3">
        <v>15000000000</v>
      </c>
      <c r="AK108" s="3">
        <v>15000000000</v>
      </c>
      <c r="AL108" s="3">
        <v>15000000000</v>
      </c>
      <c r="AM108" s="3">
        <v>32770000000</v>
      </c>
      <c r="AN108" s="3">
        <v>32770000000</v>
      </c>
      <c r="AO108" s="3">
        <v>32770000000</v>
      </c>
      <c r="AP108" s="3">
        <v>32770000000</v>
      </c>
      <c r="AQ108" s="3">
        <v>32770000000</v>
      </c>
      <c r="AR108" s="3">
        <v>32770000000</v>
      </c>
      <c r="AS108" s="3">
        <v>32770000000</v>
      </c>
      <c r="AT108" s="3">
        <v>32770000000</v>
      </c>
      <c r="AU108" s="3">
        <v>32770000000</v>
      </c>
      <c r="AV108" s="3">
        <v>32770000000</v>
      </c>
      <c r="AW108" s="3">
        <v>32770000000</v>
      </c>
      <c r="AX108" s="3">
        <v>32770000000</v>
      </c>
      <c r="AY108" s="3">
        <v>32770000000</v>
      </c>
      <c r="AZ108" s="547">
        <v>32770000000</v>
      </c>
      <c r="BA108" s="547">
        <v>32770000000</v>
      </c>
      <c r="BB108" s="547">
        <v>32770000000</v>
      </c>
      <c r="BC108" s="547">
        <v>32770000000</v>
      </c>
      <c r="BD108" s="547">
        <v>32770000000</v>
      </c>
      <c r="BE108" s="547">
        <v>32770000000</v>
      </c>
      <c r="BF108" s="547">
        <v>32770000000</v>
      </c>
      <c r="BG108" s="547">
        <v>32770000000</v>
      </c>
      <c r="BH108" s="547">
        <v>32770000000</v>
      </c>
      <c r="BI108" s="547">
        <v>32770000000</v>
      </c>
      <c r="BJ108" s="547">
        <v>32770000000</v>
      </c>
      <c r="BK108" s="547">
        <v>32770000000</v>
      </c>
      <c r="BL108" s="547">
        <v>32770000000</v>
      </c>
      <c r="BM108" s="3">
        <v>32770000000</v>
      </c>
      <c r="BN108" s="3">
        <v>32770000000</v>
      </c>
      <c r="BO108" s="3">
        <v>32770000000</v>
      </c>
      <c r="BP108" s="3">
        <v>32770000000</v>
      </c>
      <c r="BQ108" s="3"/>
      <c r="BR108" s="3"/>
      <c r="BS108" s="3"/>
      <c r="BT108" s="3"/>
      <c r="BU108" s="3"/>
      <c r="BV108" s="3"/>
      <c r="BW108" s="3"/>
    </row>
    <row r="109" spans="1:75" ht="15" customHeight="1" x14ac:dyDescent="0.25">
      <c r="A109" s="95">
        <v>106</v>
      </c>
      <c r="B109" s="75" t="s">
        <v>132</v>
      </c>
      <c r="C109" s="95">
        <v>6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547"/>
      <c r="BA109" s="547"/>
      <c r="BB109" s="547"/>
      <c r="BC109" s="547"/>
      <c r="BD109" s="547"/>
      <c r="BE109" s="547"/>
      <c r="BF109" s="547"/>
      <c r="BG109" s="547"/>
      <c r="BH109" s="547"/>
      <c r="BI109" s="547"/>
      <c r="BJ109" s="547"/>
      <c r="BK109" s="547"/>
      <c r="BL109" s="547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25">
      <c r="A110" s="95">
        <v>107</v>
      </c>
      <c r="B110" s="75" t="s">
        <v>133</v>
      </c>
      <c r="C110" s="95">
        <v>6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547"/>
      <c r="BA110" s="547"/>
      <c r="BB110" s="547"/>
      <c r="BC110" s="547"/>
      <c r="BD110" s="547"/>
      <c r="BE110" s="547"/>
      <c r="BF110" s="547"/>
      <c r="BG110" s="547"/>
      <c r="BH110" s="547"/>
      <c r="BI110" s="547"/>
      <c r="BJ110" s="547"/>
      <c r="BK110" s="547"/>
      <c r="BL110" s="547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25">
      <c r="A111" s="95">
        <v>108</v>
      </c>
      <c r="B111" s="75" t="s">
        <v>134</v>
      </c>
      <c r="C111" s="95">
        <v>6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547"/>
      <c r="BA111" s="547"/>
      <c r="BB111" s="547"/>
      <c r="BC111" s="547"/>
      <c r="BD111" s="547"/>
      <c r="BE111" s="547"/>
      <c r="BF111" s="547"/>
      <c r="BG111" s="547"/>
      <c r="BH111" s="547"/>
      <c r="BI111" s="547"/>
      <c r="BJ111" s="547"/>
      <c r="BK111" s="547"/>
      <c r="BL111" s="547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25">
      <c r="A112" s="95">
        <v>109</v>
      </c>
      <c r="B112" s="75" t="s">
        <v>135</v>
      </c>
      <c r="C112" s="95">
        <v>6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547"/>
      <c r="BA112" s="547"/>
      <c r="BB112" s="547"/>
      <c r="BC112" s="547"/>
      <c r="BD112" s="547"/>
      <c r="BE112" s="547"/>
      <c r="BF112" s="547"/>
      <c r="BG112" s="547"/>
      <c r="BH112" s="547"/>
      <c r="BI112" s="547"/>
      <c r="BJ112" s="547"/>
      <c r="BK112" s="547"/>
      <c r="BL112" s="547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25">
      <c r="A113" s="95">
        <v>110</v>
      </c>
      <c r="B113" s="75" t="s">
        <v>136</v>
      </c>
      <c r="C113" s="95">
        <v>6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547"/>
      <c r="BA113" s="547"/>
      <c r="BB113" s="547"/>
      <c r="BC113" s="547"/>
      <c r="BD113" s="547"/>
      <c r="BE113" s="547"/>
      <c r="BF113" s="547"/>
      <c r="BG113" s="547"/>
      <c r="BH113" s="547"/>
      <c r="BI113" s="547"/>
      <c r="BJ113" s="547"/>
      <c r="BK113" s="547"/>
      <c r="BL113" s="547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25">
      <c r="A114" s="98">
        <v>111</v>
      </c>
      <c r="B114" s="60" t="s">
        <v>347</v>
      </c>
      <c r="C114" s="98">
        <v>6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>
        <v>2994784616</v>
      </c>
      <c r="P114" s="7">
        <v>2940594030</v>
      </c>
      <c r="Q114" s="7">
        <v>12859629481</v>
      </c>
      <c r="R114" s="7">
        <v>12738932547</v>
      </c>
      <c r="S114" s="7">
        <v>39427644161</v>
      </c>
      <c r="T114" s="7">
        <v>39031106679</v>
      </c>
      <c r="U114" s="7">
        <v>37393358390</v>
      </c>
      <c r="V114" s="7">
        <v>36629429063</v>
      </c>
      <c r="W114" s="7">
        <v>37246365813</v>
      </c>
      <c r="X114" s="7">
        <v>37046044135</v>
      </c>
      <c r="Y114" s="7">
        <v>36675622801</v>
      </c>
      <c r="Z114" s="7">
        <v>33952006974</v>
      </c>
      <c r="AA114" s="7">
        <v>29964392614</v>
      </c>
      <c r="AB114" s="7">
        <v>28517248713</v>
      </c>
      <c r="AC114" s="7">
        <v>26397602873</v>
      </c>
      <c r="AD114" s="7">
        <v>23159804376</v>
      </c>
      <c r="AE114" s="7">
        <v>20165812599</v>
      </c>
      <c r="AF114" s="7">
        <v>17875243792</v>
      </c>
      <c r="AG114" s="7">
        <v>15648427758</v>
      </c>
      <c r="AH114" s="7">
        <v>13520107430</v>
      </c>
      <c r="AI114" s="7">
        <v>11858553916</v>
      </c>
      <c r="AJ114" s="7">
        <v>10921715467</v>
      </c>
      <c r="AK114" s="7">
        <v>10177422749</v>
      </c>
      <c r="AL114" s="7">
        <v>7435626259</v>
      </c>
      <c r="AM114" s="7">
        <v>7332454243</v>
      </c>
      <c r="AN114" s="7">
        <v>4883337730</v>
      </c>
      <c r="AO114" s="7">
        <v>3702492870</v>
      </c>
      <c r="AP114" s="7">
        <v>3622511182</v>
      </c>
      <c r="AQ114" s="7">
        <v>3052455554</v>
      </c>
      <c r="AR114" s="7">
        <v>1835840844</v>
      </c>
      <c r="AS114" s="7">
        <v>215785639</v>
      </c>
      <c r="AT114" s="7">
        <v>-740904399</v>
      </c>
      <c r="AU114" s="7">
        <v>-1674855006</v>
      </c>
      <c r="AV114" s="7">
        <v>-2351073524</v>
      </c>
      <c r="AW114" s="7">
        <v>-2779313725</v>
      </c>
      <c r="AX114" s="7">
        <v>-3949681167</v>
      </c>
      <c r="AY114" s="8">
        <v>-5202845895</v>
      </c>
      <c r="AZ114" s="550">
        <v>-6723204967</v>
      </c>
      <c r="BA114" s="550">
        <v>-8132130395</v>
      </c>
      <c r="BB114" s="550">
        <v>-8699430255</v>
      </c>
      <c r="BC114" s="550">
        <v>-9580533131</v>
      </c>
      <c r="BD114" s="550">
        <v>-9386115095</v>
      </c>
      <c r="BE114" s="550">
        <v>-10410666909</v>
      </c>
      <c r="BF114" s="550">
        <v>-9897324468</v>
      </c>
      <c r="BG114" s="550">
        <v>-9551249307</v>
      </c>
      <c r="BH114" s="550">
        <v>-10231402160</v>
      </c>
      <c r="BI114" s="550">
        <v>-10448296949</v>
      </c>
      <c r="BJ114" s="550">
        <v>-11407772096</v>
      </c>
      <c r="BK114" s="550">
        <v>-11864289061</v>
      </c>
      <c r="BL114" s="554">
        <f t="shared" ref="BL114:BM114" si="34">SUM(BL115,BL118:BL126)</f>
        <v>-12409887492</v>
      </c>
      <c r="BM114" s="8">
        <f t="shared" si="34"/>
        <v>-13347777614</v>
      </c>
      <c r="BN114" s="8">
        <f>SUM(BN115,BN118:BN126)</f>
        <v>-13092778134</v>
      </c>
      <c r="BO114" s="8">
        <f>SUM(BO115,BO118:BO126)</f>
        <v>-13508982120</v>
      </c>
      <c r="BP114" s="8">
        <f>SUM(BP115,BP118:BP126)</f>
        <v>-13344745418</v>
      </c>
      <c r="BQ114" s="8"/>
      <c r="BR114" s="8"/>
      <c r="BS114" s="8"/>
      <c r="BT114" s="8"/>
      <c r="BU114" s="8"/>
      <c r="BV114" s="8"/>
      <c r="BW114" s="8"/>
    </row>
    <row r="115" spans="1:75" ht="15" customHeight="1" x14ac:dyDescent="0.25">
      <c r="A115" s="95">
        <v>112</v>
      </c>
      <c r="B115" s="75" t="s">
        <v>138</v>
      </c>
      <c r="C115" s="95">
        <v>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>
        <v>3000000000</v>
      </c>
      <c r="P115" s="3">
        <v>3000000000</v>
      </c>
      <c r="Q115" s="3">
        <v>13000000000</v>
      </c>
      <c r="R115" s="3">
        <v>13000000000</v>
      </c>
      <c r="S115" s="3">
        <v>40000000000</v>
      </c>
      <c r="T115" s="3">
        <v>40000000000</v>
      </c>
      <c r="U115" s="3">
        <v>40000000000</v>
      </c>
      <c r="V115" s="3">
        <v>40000000000</v>
      </c>
      <c r="W115" s="3">
        <v>40000000000</v>
      </c>
      <c r="X115" s="3">
        <v>40000000000</v>
      </c>
      <c r="Y115" s="3">
        <v>40000000000</v>
      </c>
      <c r="Z115" s="3">
        <v>40000000000</v>
      </c>
      <c r="AA115" s="3">
        <v>40000000000</v>
      </c>
      <c r="AB115" s="3">
        <v>40000000000</v>
      </c>
      <c r="AC115" s="3">
        <v>40000000000</v>
      </c>
      <c r="AD115" s="3">
        <v>40000000000</v>
      </c>
      <c r="AE115" s="3">
        <v>40000000000</v>
      </c>
      <c r="AF115" s="3">
        <v>40000000000</v>
      </c>
      <c r="AG115" s="3">
        <v>40000000000</v>
      </c>
      <c r="AH115" s="3">
        <v>40000000000</v>
      </c>
      <c r="AI115" s="3">
        <v>40000000000</v>
      </c>
      <c r="AJ115" s="3">
        <v>40000000000</v>
      </c>
      <c r="AK115" s="3">
        <v>40000000000</v>
      </c>
      <c r="AL115" s="3">
        <v>40000000000</v>
      </c>
      <c r="AM115" s="3">
        <v>40000000000</v>
      </c>
      <c r="AN115" s="3">
        <v>40000000000</v>
      </c>
      <c r="AO115" s="3">
        <v>40000000000</v>
      </c>
      <c r="AP115" s="3">
        <v>40000000000</v>
      </c>
      <c r="AQ115" s="3">
        <v>40000000000</v>
      </c>
      <c r="AR115" s="3">
        <v>40000000000</v>
      </c>
      <c r="AS115" s="3">
        <v>40000000000</v>
      </c>
      <c r="AT115" s="3">
        <v>40000000000</v>
      </c>
      <c r="AU115" s="3">
        <v>40000000000</v>
      </c>
      <c r="AV115" s="3">
        <v>40000000000</v>
      </c>
      <c r="AW115" s="3">
        <v>40000000000</v>
      </c>
      <c r="AX115" s="3">
        <v>40000000000</v>
      </c>
      <c r="AY115" s="3">
        <v>40000000000</v>
      </c>
      <c r="AZ115" s="547">
        <v>40000000000</v>
      </c>
      <c r="BA115" s="547">
        <v>40000000000</v>
      </c>
      <c r="BB115" s="547">
        <v>40000000000</v>
      </c>
      <c r="BC115" s="547">
        <v>40000000000</v>
      </c>
      <c r="BD115" s="547">
        <v>40000000000</v>
      </c>
      <c r="BE115" s="547">
        <v>40000000000</v>
      </c>
      <c r="BF115" s="547">
        <v>40000000000</v>
      </c>
      <c r="BG115" s="547">
        <v>40000000000</v>
      </c>
      <c r="BH115" s="547">
        <v>40000000000</v>
      </c>
      <c r="BI115" s="547">
        <v>40000000000</v>
      </c>
      <c r="BJ115" s="547">
        <v>40000000000</v>
      </c>
      <c r="BK115" s="547">
        <v>40000000000</v>
      </c>
      <c r="BL115" s="547">
        <v>40000000000</v>
      </c>
      <c r="BM115" s="3">
        <v>40000000000</v>
      </c>
      <c r="BN115" s="3">
        <v>40000000000</v>
      </c>
      <c r="BO115" s="3">
        <v>40000000000</v>
      </c>
      <c r="BP115" s="3">
        <v>40000000000</v>
      </c>
      <c r="BQ115" s="3"/>
      <c r="BR115" s="3"/>
      <c r="BS115" s="3"/>
      <c r="BT115" s="3"/>
      <c r="BU115" s="3"/>
      <c r="BV115" s="3"/>
      <c r="BW115" s="3"/>
    </row>
    <row r="116" spans="1:75" ht="15" customHeight="1" x14ac:dyDescent="0.25">
      <c r="A116" s="95">
        <v>113</v>
      </c>
      <c r="B116" s="75" t="s">
        <v>139</v>
      </c>
      <c r="C116" s="95">
        <v>6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>
        <v>3000000000</v>
      </c>
      <c r="P116" s="3">
        <v>3000000000</v>
      </c>
      <c r="Q116" s="3">
        <v>13000000000</v>
      </c>
      <c r="R116" s="3">
        <v>13000000000</v>
      </c>
      <c r="S116" s="3">
        <v>40000000000</v>
      </c>
      <c r="T116" s="3">
        <v>40000000000</v>
      </c>
      <c r="U116" s="3">
        <v>40000000000</v>
      </c>
      <c r="V116" s="3">
        <v>40000000000</v>
      </c>
      <c r="W116" s="3">
        <v>40000000000</v>
      </c>
      <c r="X116" s="3">
        <v>40000000000</v>
      </c>
      <c r="Y116" s="3">
        <v>40000000000</v>
      </c>
      <c r="Z116" s="3">
        <v>40000000000</v>
      </c>
      <c r="AA116" s="3">
        <v>40000000000</v>
      </c>
      <c r="AB116" s="3">
        <v>40000000000</v>
      </c>
      <c r="AC116" s="3">
        <v>40000000000</v>
      </c>
      <c r="AD116" s="3">
        <v>40000000000</v>
      </c>
      <c r="AE116" s="3">
        <v>40000000000</v>
      </c>
      <c r="AF116" s="3">
        <v>40000000000</v>
      </c>
      <c r="AG116" s="3">
        <v>40000000000</v>
      </c>
      <c r="AH116" s="3">
        <v>40000000000</v>
      </c>
      <c r="AI116" s="3">
        <v>40000000000</v>
      </c>
      <c r="AJ116" s="3">
        <v>40000000000</v>
      </c>
      <c r="AK116" s="3">
        <v>40000000000</v>
      </c>
      <c r="AL116" s="3">
        <v>40000000000</v>
      </c>
      <c r="AM116" s="3">
        <v>40000000000</v>
      </c>
      <c r="AN116" s="3">
        <v>40000000000</v>
      </c>
      <c r="AO116" s="3">
        <v>40000000000</v>
      </c>
      <c r="AP116" s="3">
        <v>40000000000</v>
      </c>
      <c r="AQ116" s="3">
        <v>40000000000</v>
      </c>
      <c r="AR116" s="3">
        <v>40000000000</v>
      </c>
      <c r="AS116" s="3">
        <v>40000000000</v>
      </c>
      <c r="AT116" s="3">
        <v>40000000000</v>
      </c>
      <c r="AU116" s="3">
        <v>40000000000</v>
      </c>
      <c r="AV116" s="3">
        <v>40000000000</v>
      </c>
      <c r="AW116" s="3">
        <v>40000000000</v>
      </c>
      <c r="AX116" s="3">
        <v>40000000000</v>
      </c>
      <c r="AY116" s="3">
        <v>40000000000</v>
      </c>
      <c r="AZ116" s="547">
        <v>40000000000</v>
      </c>
      <c r="BA116" s="547">
        <v>40000000000</v>
      </c>
      <c r="BB116" s="547">
        <v>40000000000</v>
      </c>
      <c r="BC116" s="547">
        <v>40000000000</v>
      </c>
      <c r="BD116" s="547">
        <v>40000000000</v>
      </c>
      <c r="BE116" s="547">
        <v>40000000000</v>
      </c>
      <c r="BF116" s="547">
        <v>40000000000</v>
      </c>
      <c r="BG116" s="547">
        <v>40000000000</v>
      </c>
      <c r="BH116" s="547">
        <v>40000000000</v>
      </c>
      <c r="BI116" s="547">
        <v>40000000000</v>
      </c>
      <c r="BJ116" s="547">
        <v>40000000000</v>
      </c>
      <c r="BK116" s="547">
        <v>40000000000</v>
      </c>
      <c r="BL116" s="547">
        <v>40000000000</v>
      </c>
      <c r="BM116" s="3">
        <v>40000000000</v>
      </c>
      <c r="BN116" s="3">
        <v>40000000000</v>
      </c>
      <c r="BO116" s="3">
        <v>40000000000</v>
      </c>
      <c r="BP116" s="3">
        <v>40000000000</v>
      </c>
      <c r="BQ116" s="3"/>
      <c r="BR116" s="3"/>
      <c r="BS116" s="3"/>
      <c r="BT116" s="3"/>
      <c r="BU116" s="3"/>
      <c r="BV116" s="3"/>
      <c r="BW116" s="3"/>
    </row>
    <row r="117" spans="1:75" ht="15" customHeight="1" x14ac:dyDescent="0.25">
      <c r="A117" s="95">
        <v>114</v>
      </c>
      <c r="B117" s="75" t="s">
        <v>140</v>
      </c>
      <c r="C117" s="95">
        <v>6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547"/>
      <c r="BA117" s="547"/>
      <c r="BB117" s="547"/>
      <c r="BC117" s="547"/>
      <c r="BD117" s="547"/>
      <c r="BE117" s="547"/>
      <c r="BF117" s="547"/>
      <c r="BG117" s="547"/>
      <c r="BH117" s="547"/>
      <c r="BI117" s="547"/>
      <c r="BJ117" s="547"/>
      <c r="BK117" s="547"/>
      <c r="BL117" s="547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25">
      <c r="A118" s="95">
        <v>115</v>
      </c>
      <c r="B118" s="75" t="s">
        <v>141</v>
      </c>
      <c r="C118" s="95">
        <v>6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547"/>
      <c r="BA118" s="547"/>
      <c r="BB118" s="547"/>
      <c r="BC118" s="547"/>
      <c r="BD118" s="547"/>
      <c r="BE118" s="547"/>
      <c r="BF118" s="547"/>
      <c r="BG118" s="547"/>
      <c r="BH118" s="547"/>
      <c r="BI118" s="547"/>
      <c r="BJ118" s="547"/>
      <c r="BK118" s="547"/>
      <c r="BL118" s="547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25">
      <c r="A119" s="95">
        <v>116</v>
      </c>
      <c r="B119" s="75" t="s">
        <v>142</v>
      </c>
      <c r="C119" s="95">
        <v>6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547"/>
      <c r="BA119" s="547"/>
      <c r="BB119" s="547"/>
      <c r="BC119" s="547"/>
      <c r="BD119" s="547"/>
      <c r="BE119" s="547"/>
      <c r="BF119" s="547"/>
      <c r="BG119" s="547"/>
      <c r="BH119" s="547"/>
      <c r="BI119" s="547"/>
      <c r="BJ119" s="547"/>
      <c r="BK119" s="547"/>
      <c r="BL119" s="547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25">
      <c r="A120" s="95">
        <v>117</v>
      </c>
      <c r="B120" s="75" t="s">
        <v>143</v>
      </c>
      <c r="C120" s="95">
        <v>6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547"/>
      <c r="BA120" s="547"/>
      <c r="BB120" s="547"/>
      <c r="BC120" s="547"/>
      <c r="BD120" s="547"/>
      <c r="BE120" s="547"/>
      <c r="BF120" s="547"/>
      <c r="BG120" s="547"/>
      <c r="BH120" s="547"/>
      <c r="BI120" s="547"/>
      <c r="BJ120" s="547"/>
      <c r="BK120" s="547"/>
      <c r="BL120" s="547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25">
      <c r="A121" s="95">
        <v>118</v>
      </c>
      <c r="B121" s="75" t="s">
        <v>144</v>
      </c>
      <c r="C121" s="95">
        <v>6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547"/>
      <c r="BA121" s="547"/>
      <c r="BB121" s="547"/>
      <c r="BC121" s="547"/>
      <c r="BD121" s="547"/>
      <c r="BE121" s="547"/>
      <c r="BF121" s="547"/>
      <c r="BG121" s="547"/>
      <c r="BH121" s="547"/>
      <c r="BI121" s="547"/>
      <c r="BJ121" s="547"/>
      <c r="BK121" s="547"/>
      <c r="BL121" s="547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25">
      <c r="A122" s="95">
        <v>119</v>
      </c>
      <c r="B122" s="75" t="s">
        <v>145</v>
      </c>
      <c r="C122" s="95">
        <v>6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547"/>
      <c r="BA122" s="547"/>
      <c r="BB122" s="547"/>
      <c r="BC122" s="547"/>
      <c r="BD122" s="547"/>
      <c r="BE122" s="547"/>
      <c r="BF122" s="547"/>
      <c r="BG122" s="547"/>
      <c r="BH122" s="547"/>
      <c r="BI122" s="547"/>
      <c r="BJ122" s="547"/>
      <c r="BK122" s="547"/>
      <c r="BL122" s="547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25">
      <c r="A123" s="95">
        <v>120</v>
      </c>
      <c r="B123" s="75" t="s">
        <v>146</v>
      </c>
      <c r="C123" s="95">
        <v>6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547"/>
      <c r="BA123" s="547"/>
      <c r="BB123" s="547"/>
      <c r="BC123" s="547"/>
      <c r="BD123" s="547"/>
      <c r="BE123" s="547"/>
      <c r="BF123" s="547"/>
      <c r="BG123" s="547"/>
      <c r="BH123" s="547"/>
      <c r="BI123" s="547"/>
      <c r="BJ123" s="547"/>
      <c r="BK123" s="547"/>
      <c r="BL123" s="547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25">
      <c r="A124" s="95">
        <v>121</v>
      </c>
      <c r="B124" s="75" t="s">
        <v>147</v>
      </c>
      <c r="C124" s="95">
        <v>6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547"/>
      <c r="BA124" s="547"/>
      <c r="BB124" s="547"/>
      <c r="BC124" s="547"/>
      <c r="BD124" s="547"/>
      <c r="BE124" s="547"/>
      <c r="BF124" s="547"/>
      <c r="BG124" s="547"/>
      <c r="BH124" s="547"/>
      <c r="BI124" s="547"/>
      <c r="BJ124" s="547"/>
      <c r="BK124" s="547"/>
      <c r="BL124" s="547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25">
      <c r="A125" s="95">
        <v>122</v>
      </c>
      <c r="B125" s="75" t="s">
        <v>148</v>
      </c>
      <c r="C125" s="95">
        <v>6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547"/>
      <c r="BA125" s="547"/>
      <c r="BB125" s="547"/>
      <c r="BC125" s="547"/>
      <c r="BD125" s="547"/>
      <c r="BE125" s="547"/>
      <c r="BF125" s="547"/>
      <c r="BG125" s="547"/>
      <c r="BH125" s="547"/>
      <c r="BI125" s="547"/>
      <c r="BJ125" s="547"/>
      <c r="BK125" s="547"/>
      <c r="BL125" s="547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s="80" customFormat="1" ht="15" customHeight="1" x14ac:dyDescent="0.25">
      <c r="A126" s="100">
        <v>123</v>
      </c>
      <c r="B126" s="77" t="s">
        <v>149</v>
      </c>
      <c r="C126" s="100">
        <v>6</v>
      </c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>
        <v>-5215384</v>
      </c>
      <c r="P126" s="12">
        <v>-59405970</v>
      </c>
      <c r="Q126" s="12">
        <v>-140370519</v>
      </c>
      <c r="R126" s="12">
        <v>-261067453</v>
      </c>
      <c r="S126" s="12">
        <v>-572355839</v>
      </c>
      <c r="T126" s="12">
        <v>-968893321</v>
      </c>
      <c r="U126" s="12">
        <v>-2606641610</v>
      </c>
      <c r="V126" s="12">
        <v>-3370570937</v>
      </c>
      <c r="W126" s="12">
        <v>-2753634187</v>
      </c>
      <c r="X126" s="12">
        <v>-2953955865</v>
      </c>
      <c r="Y126" s="12">
        <v>-3324377199</v>
      </c>
      <c r="Z126" s="12">
        <v>-6047993026</v>
      </c>
      <c r="AA126" s="12">
        <v>-10035607386</v>
      </c>
      <c r="AB126" s="12">
        <v>-11482751287</v>
      </c>
      <c r="AC126" s="12">
        <v>-13602397127</v>
      </c>
      <c r="AD126" s="12">
        <v>-16840195624</v>
      </c>
      <c r="AE126" s="12">
        <v>-19834187401</v>
      </c>
      <c r="AF126" s="12">
        <v>-22124756208</v>
      </c>
      <c r="AG126" s="12">
        <v>-24351572242</v>
      </c>
      <c r="AH126" s="12">
        <v>-26479892570</v>
      </c>
      <c r="AI126" s="12">
        <v>-28141446084</v>
      </c>
      <c r="AJ126" s="12">
        <v>-29078284533</v>
      </c>
      <c r="AK126" s="12">
        <v>-29822577251</v>
      </c>
      <c r="AL126" s="12">
        <v>-32564373741</v>
      </c>
      <c r="AM126" s="12">
        <v>-32667545757</v>
      </c>
      <c r="AN126" s="12">
        <v>-35116662270</v>
      </c>
      <c r="AO126" s="12">
        <v>-36297507130</v>
      </c>
      <c r="AP126" s="12">
        <v>-36377488818</v>
      </c>
      <c r="AQ126" s="12">
        <v>-36947544446</v>
      </c>
      <c r="AR126" s="12">
        <v>-38164159156</v>
      </c>
      <c r="AS126" s="12">
        <v>-39784214361</v>
      </c>
      <c r="AT126" s="12">
        <v>-40740904399</v>
      </c>
      <c r="AU126" s="12">
        <v>-41674855006</v>
      </c>
      <c r="AV126" s="12">
        <v>-42351073524</v>
      </c>
      <c r="AW126" s="12">
        <v>-42779313725</v>
      </c>
      <c r="AX126" s="12">
        <v>-43949681167</v>
      </c>
      <c r="AY126" s="12">
        <v>-45202845895</v>
      </c>
      <c r="AZ126" s="578">
        <v>-46723204967</v>
      </c>
      <c r="BA126" s="578">
        <v>-48132130395</v>
      </c>
      <c r="BB126" s="578">
        <v>-48699430255</v>
      </c>
      <c r="BC126" s="578">
        <v>-49580533131</v>
      </c>
      <c r="BD126" s="578">
        <v>-49386115095</v>
      </c>
      <c r="BE126" s="578">
        <v>-50410666909</v>
      </c>
      <c r="BF126" s="578">
        <v>-49897324468</v>
      </c>
      <c r="BG126" s="578">
        <v>-49551249307</v>
      </c>
      <c r="BH126" s="578">
        <v>-50231402160</v>
      </c>
      <c r="BI126" s="578">
        <v>-50448296949</v>
      </c>
      <c r="BJ126" s="578">
        <v>-51407772096</v>
      </c>
      <c r="BK126" s="578">
        <v>-51864289061</v>
      </c>
      <c r="BL126" s="555">
        <f>SUM(BL127:BL128)</f>
        <v>-52409887492</v>
      </c>
      <c r="BM126" s="12">
        <f t="shared" ref="BM126" si="35">SUM(BM127:BM128)</f>
        <v>-53347777614</v>
      </c>
      <c r="BN126" s="12">
        <f>SUM(BN127:BN128)</f>
        <v>-53092778134</v>
      </c>
      <c r="BO126" s="12">
        <f>SUM(BO127:BO128)</f>
        <v>-53508982120</v>
      </c>
      <c r="BP126" s="12">
        <f>SUM(BP127:BP128)</f>
        <v>-53344745418</v>
      </c>
      <c r="BQ126" s="12"/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95">
        <v>124</v>
      </c>
      <c r="B127" s="78" t="s">
        <v>150</v>
      </c>
      <c r="C127" s="95">
        <v>6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>
        <v>0</v>
      </c>
      <c r="P127" s="3">
        <v>-5215384</v>
      </c>
      <c r="Q127" s="3">
        <v>-59405970</v>
      </c>
      <c r="R127" s="3">
        <v>-140370519</v>
      </c>
      <c r="S127" s="3">
        <v>-261067453</v>
      </c>
      <c r="T127" s="3">
        <v>-572355839</v>
      </c>
      <c r="U127" s="3">
        <v>-968893321</v>
      </c>
      <c r="V127" s="3">
        <v>-2606641612</v>
      </c>
      <c r="W127" s="3">
        <v>-3370570937</v>
      </c>
      <c r="X127" s="3">
        <v>-2753337891</v>
      </c>
      <c r="Y127" s="3">
        <v>-2953955865</v>
      </c>
      <c r="Z127" s="3">
        <v>-3324377199</v>
      </c>
      <c r="AA127" s="3">
        <v>-6048289322</v>
      </c>
      <c r="AB127" s="3">
        <v>-9909603386</v>
      </c>
      <c r="AC127" s="3">
        <v>-11608755287</v>
      </c>
      <c r="AD127" s="3">
        <v>-13602397127</v>
      </c>
      <c r="AE127" s="3">
        <v>-16840195624</v>
      </c>
      <c r="AF127" s="3">
        <v>-19834187401</v>
      </c>
      <c r="AG127" s="3">
        <v>-22124756208</v>
      </c>
      <c r="AH127" s="3">
        <v>-24351572242</v>
      </c>
      <c r="AI127" s="3">
        <v>-26479892570</v>
      </c>
      <c r="AJ127" s="3">
        <v>-28141446084</v>
      </c>
      <c r="AK127" s="3">
        <v>-29078284533</v>
      </c>
      <c r="AL127" s="3">
        <v>-29822577251</v>
      </c>
      <c r="AM127" s="3">
        <v>-32564373741</v>
      </c>
      <c r="AN127" s="3">
        <v>-32667545757</v>
      </c>
      <c r="AO127" s="3">
        <v>-35116662270</v>
      </c>
      <c r="AP127" s="3">
        <v>-36297507130</v>
      </c>
      <c r="AQ127" s="3">
        <v>-36377488818</v>
      </c>
      <c r="AR127" s="3">
        <v>-36947544446</v>
      </c>
      <c r="AS127" s="3">
        <v>-38164159156</v>
      </c>
      <c r="AT127" s="3">
        <v>-39784214361</v>
      </c>
      <c r="AU127" s="3">
        <v>-40740904399</v>
      </c>
      <c r="AV127" s="3">
        <v>-41674855006</v>
      </c>
      <c r="AW127" s="3">
        <v>-42351073524</v>
      </c>
      <c r="AX127" s="3">
        <v>-42779313725</v>
      </c>
      <c r="AY127" s="3">
        <v>-43949681167</v>
      </c>
      <c r="AZ127" s="547">
        <v>-45210600095</v>
      </c>
      <c r="BA127" s="547">
        <v>-46723204967</v>
      </c>
      <c r="BB127" s="547">
        <v>-48132130395</v>
      </c>
      <c r="BC127" s="547">
        <v>-48699430255</v>
      </c>
      <c r="BD127" s="547">
        <v>-49580533131</v>
      </c>
      <c r="BE127" s="547">
        <v>-49386115095</v>
      </c>
      <c r="BF127" s="547">
        <v>-50410666909</v>
      </c>
      <c r="BG127" s="547">
        <v>-49897324468</v>
      </c>
      <c r="BH127" s="547">
        <v>-49551249307</v>
      </c>
      <c r="BI127" s="547">
        <v>-50231402160</v>
      </c>
      <c r="BJ127" s="547">
        <v>-50448296949</v>
      </c>
      <c r="BK127" s="547">
        <v>-51407772096</v>
      </c>
      <c r="BL127" s="551">
        <v>-51864289061</v>
      </c>
      <c r="BM127" s="3">
        <v>-52409887492</v>
      </c>
      <c r="BN127" s="3">
        <v>-53347777614</v>
      </c>
      <c r="BO127" s="3">
        <v>-53092778134</v>
      </c>
      <c r="BP127" s="3">
        <v>-53508982120</v>
      </c>
      <c r="BQ127" s="3"/>
      <c r="BR127" s="3"/>
      <c r="BS127" s="3"/>
      <c r="BT127" s="3"/>
      <c r="BU127" s="3"/>
      <c r="BV127" s="3"/>
      <c r="BW127" s="3"/>
    </row>
    <row r="128" spans="1:75" ht="15" customHeight="1" x14ac:dyDescent="0.25">
      <c r="A128" s="95">
        <v>125</v>
      </c>
      <c r="B128" s="78" t="s">
        <v>151</v>
      </c>
      <c r="C128" s="95">
        <v>6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>
        <v>-5215384</v>
      </c>
      <c r="P128" s="3">
        <v>-54190586</v>
      </c>
      <c r="Q128" s="3">
        <v>-80964549</v>
      </c>
      <c r="R128" s="3">
        <v>-120696934</v>
      </c>
      <c r="S128" s="3">
        <v>-311288386</v>
      </c>
      <c r="T128" s="3">
        <v>-396537482</v>
      </c>
      <c r="U128" s="3">
        <v>-1637748289</v>
      </c>
      <c r="V128" s="3">
        <v>-763929325</v>
      </c>
      <c r="W128" s="3">
        <v>616936750</v>
      </c>
      <c r="X128" s="3">
        <v>-200617974</v>
      </c>
      <c r="Y128" s="3">
        <v>-370421334</v>
      </c>
      <c r="Z128" s="3">
        <v>-2723615827</v>
      </c>
      <c r="AA128" s="3">
        <v>-3987318064</v>
      </c>
      <c r="AB128" s="3">
        <v>-1573147901</v>
      </c>
      <c r="AC128" s="3">
        <v>-1993641840</v>
      </c>
      <c r="AD128" s="3">
        <v>-3237798497</v>
      </c>
      <c r="AE128" s="3">
        <v>-2993991777</v>
      </c>
      <c r="AF128" s="3">
        <v>-2290568807</v>
      </c>
      <c r="AG128" s="3">
        <v>-2226816034</v>
      </c>
      <c r="AH128" s="3">
        <v>-2128320328</v>
      </c>
      <c r="AI128" s="3">
        <v>-1661553514</v>
      </c>
      <c r="AJ128" s="3">
        <v>-936838449</v>
      </c>
      <c r="AK128" s="3">
        <v>-744292718</v>
      </c>
      <c r="AL128" s="3">
        <v>-2741796490</v>
      </c>
      <c r="AM128" s="3">
        <v>-103172016</v>
      </c>
      <c r="AN128" s="3">
        <v>-2449116513</v>
      </c>
      <c r="AO128" s="3">
        <v>-1180844860</v>
      </c>
      <c r="AP128" s="3">
        <v>-79981688</v>
      </c>
      <c r="AQ128" s="3">
        <v>-570055628</v>
      </c>
      <c r="AR128" s="3">
        <v>-1216614710</v>
      </c>
      <c r="AS128" s="3">
        <v>-1620055205</v>
      </c>
      <c r="AT128" s="3">
        <v>-956690038</v>
      </c>
      <c r="AU128" s="3">
        <v>-933950607</v>
      </c>
      <c r="AV128" s="3">
        <v>-676218518</v>
      </c>
      <c r="AW128" s="3">
        <v>-428240201</v>
      </c>
      <c r="AX128" s="3">
        <v>-1170367442</v>
      </c>
      <c r="AY128" s="3">
        <v>-1253164728</v>
      </c>
      <c r="AZ128" s="547">
        <v>-1512604872</v>
      </c>
      <c r="BA128" s="547">
        <v>-1408925428</v>
      </c>
      <c r="BB128" s="547">
        <v>-567299860</v>
      </c>
      <c r="BC128" s="547">
        <v>-881102876</v>
      </c>
      <c r="BD128" s="547">
        <v>194418036</v>
      </c>
      <c r="BE128" s="547">
        <v>-1024551814</v>
      </c>
      <c r="BF128" s="547">
        <v>513342441</v>
      </c>
      <c r="BG128" s="547">
        <v>346075161</v>
      </c>
      <c r="BH128" s="547">
        <v>-680152853</v>
      </c>
      <c r="BI128" s="547">
        <v>-216894789</v>
      </c>
      <c r="BJ128" s="547">
        <v>-959475147</v>
      </c>
      <c r="BK128" s="547">
        <v>-456516965</v>
      </c>
      <c r="BL128" s="551">
        <v>-545598431</v>
      </c>
      <c r="BM128" s="3">
        <v>-937890122</v>
      </c>
      <c r="BN128" s="3">
        <v>254999480</v>
      </c>
      <c r="BO128" s="3">
        <v>-416203986</v>
      </c>
      <c r="BP128" s="3">
        <v>164236702</v>
      </c>
      <c r="BQ128" s="3"/>
      <c r="BR128" s="3"/>
      <c r="BS128" s="3"/>
      <c r="BT128" s="3"/>
      <c r="BU128" s="3"/>
      <c r="BV128" s="3"/>
      <c r="BW128" s="3"/>
    </row>
    <row r="129" spans="1:75" ht="15" customHeight="1" x14ac:dyDescent="0.25">
      <c r="A129" s="101">
        <v>126</v>
      </c>
      <c r="B129" s="79" t="s">
        <v>348</v>
      </c>
      <c r="C129" s="101">
        <v>6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>
        <v>3005092308</v>
      </c>
      <c r="P129" s="13">
        <v>3118845191</v>
      </c>
      <c r="Q129" s="13">
        <v>13190871944</v>
      </c>
      <c r="R129" s="13">
        <v>13700005392</v>
      </c>
      <c r="S129" s="13">
        <v>39774031942</v>
      </c>
      <c r="T129" s="13">
        <v>39726221743</v>
      </c>
      <c r="U129" s="13">
        <v>38099797681</v>
      </c>
      <c r="V129" s="13">
        <v>37891750205</v>
      </c>
      <c r="W129" s="13">
        <v>39658227746</v>
      </c>
      <c r="X129" s="13">
        <v>40892970569</v>
      </c>
      <c r="Y129" s="13">
        <v>46216622897</v>
      </c>
      <c r="Z129" s="13">
        <v>48135903913</v>
      </c>
      <c r="AA129" s="13">
        <v>67118265497</v>
      </c>
      <c r="AB129" s="13">
        <v>63653807246</v>
      </c>
      <c r="AC129" s="13">
        <v>63079385204</v>
      </c>
      <c r="AD129" s="13">
        <v>66862749097</v>
      </c>
      <c r="AE129" s="13">
        <v>45980579799</v>
      </c>
      <c r="AF129" s="13">
        <v>47025027244</v>
      </c>
      <c r="AG129" s="13">
        <v>45791188650</v>
      </c>
      <c r="AH129" s="13">
        <v>51920886836</v>
      </c>
      <c r="AI129" s="13">
        <v>47426643093</v>
      </c>
      <c r="AJ129" s="13">
        <v>54130432747</v>
      </c>
      <c r="AK129" s="13">
        <v>68469514948</v>
      </c>
      <c r="AL129" s="13">
        <v>66557876275</v>
      </c>
      <c r="AM129" s="13">
        <v>64725699701</v>
      </c>
      <c r="AN129" s="13">
        <v>63730957256</v>
      </c>
      <c r="AO129" s="13">
        <v>62014978803</v>
      </c>
      <c r="AP129" s="13">
        <v>52392417486</v>
      </c>
      <c r="AQ129" s="13">
        <v>52476456277</v>
      </c>
      <c r="AR129" s="13">
        <v>49950295088</v>
      </c>
      <c r="AS129" s="13">
        <v>46713473924</v>
      </c>
      <c r="AT129" s="13">
        <v>43677045941</v>
      </c>
      <c r="AU129" s="13">
        <v>43914856538</v>
      </c>
      <c r="AV129" s="13">
        <v>44738490704</v>
      </c>
      <c r="AW129" s="13">
        <v>45380812277</v>
      </c>
      <c r="AX129" s="13">
        <v>45622961818</v>
      </c>
      <c r="AY129" s="14">
        <v>38908743599</v>
      </c>
      <c r="AZ129" s="556">
        <v>41943313678</v>
      </c>
      <c r="BA129" s="556">
        <v>42457609995</v>
      </c>
      <c r="BB129" s="556">
        <v>39675680654</v>
      </c>
      <c r="BC129" s="556">
        <v>39603612118</v>
      </c>
      <c r="BD129" s="556">
        <v>40611660909</v>
      </c>
      <c r="BE129" s="556">
        <v>39440324531</v>
      </c>
      <c r="BF129" s="556">
        <v>47998921107</v>
      </c>
      <c r="BG129" s="556">
        <v>49401745656</v>
      </c>
      <c r="BH129" s="556">
        <v>45962663493</v>
      </c>
      <c r="BI129" s="556">
        <v>43608888702</v>
      </c>
      <c r="BJ129" s="556">
        <v>39770897732</v>
      </c>
      <c r="BK129" s="556">
        <v>37213708449</v>
      </c>
      <c r="BL129" s="556">
        <f>+BL114+BL82</f>
        <v>48011443510</v>
      </c>
      <c r="BM129" s="14">
        <f>+BM114+BM82</f>
        <v>47949137295</v>
      </c>
      <c r="BN129" s="14">
        <f>+BN114+BN82</f>
        <v>51254128524</v>
      </c>
      <c r="BO129" s="14">
        <f t="shared" ref="BO129:BP129" si="36">+BO114+BO82</f>
        <v>47709558686</v>
      </c>
      <c r="BP129" s="14">
        <f t="shared" si="36"/>
        <v>47617182958</v>
      </c>
      <c r="BQ129" s="14"/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102"/>
      <c r="B130" s="81"/>
      <c r="C130" s="10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3"/>
      <c r="AU130" s="83"/>
      <c r="AV130" s="83"/>
      <c r="AW130" s="83"/>
      <c r="AX130" s="83"/>
      <c r="AY130" s="83"/>
      <c r="AZ130" s="83"/>
      <c r="BA130" s="83"/>
      <c r="BB130" s="83"/>
      <c r="BC130" s="83"/>
      <c r="BD130" s="83"/>
      <c r="BE130" s="83"/>
      <c r="BF130" s="83"/>
      <c r="BG130" s="83"/>
      <c r="BH130" s="83"/>
      <c r="BI130" s="83"/>
      <c r="BJ130" s="83"/>
      <c r="BK130" s="83"/>
      <c r="BL130" s="83"/>
      <c r="BM130" s="83"/>
      <c r="BN130" s="83"/>
      <c r="BO130" s="83"/>
      <c r="BP130" s="83"/>
      <c r="BQ130" s="83"/>
      <c r="BR130" s="83"/>
      <c r="BS130" s="83"/>
      <c r="BT130" s="83"/>
      <c r="BU130" s="83"/>
      <c r="BV130" s="83"/>
      <c r="BW130" s="83"/>
    </row>
    <row r="151" spans="1:75" ht="14.25" x14ac:dyDescent="0.25">
      <c r="A151" s="104"/>
      <c r="B151" s="84"/>
      <c r="C151" s="104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6"/>
      <c r="AY151" s="86"/>
      <c r="AZ151" s="86"/>
      <c r="BA151" s="86"/>
      <c r="BB151" s="86"/>
      <c r="BC151" s="86"/>
      <c r="BD151" s="86"/>
      <c r="BE151" s="86"/>
      <c r="BF151" s="86"/>
      <c r="BG151" s="86"/>
      <c r="BH151" s="86"/>
      <c r="BI151" s="86"/>
      <c r="BJ151" s="86"/>
      <c r="BK151" s="86"/>
      <c r="BL151" s="86"/>
      <c r="BM151" s="86"/>
      <c r="BN151" s="86"/>
      <c r="BO151" s="86"/>
      <c r="BP151" s="86"/>
      <c r="BQ151" s="86"/>
      <c r="BR151" s="86"/>
      <c r="BS151" s="86"/>
      <c r="BT151" s="86"/>
      <c r="BU151" s="86"/>
      <c r="BV151" s="86"/>
      <c r="BW151" s="86"/>
    </row>
    <row r="155" spans="1:75" ht="14.25" x14ac:dyDescent="0.25"/>
    <row r="158" spans="1:75" ht="14.25" x14ac:dyDescent="0.25"/>
    <row r="167" ht="14.25" x14ac:dyDescent="0.25"/>
    <row r="168" ht="14.25" x14ac:dyDescent="0.25"/>
    <row r="169" ht="14.25" x14ac:dyDescent="0.25"/>
    <row r="170" ht="14.25" x14ac:dyDescent="0.25"/>
    <row r="176" ht="14.25" x14ac:dyDescent="0.25"/>
    <row r="177" ht="14.25" x14ac:dyDescent="0.25"/>
    <row r="194" spans="1:75" ht="15" customHeight="1" x14ac:dyDescent="0.25">
      <c r="A194" s="105"/>
      <c r="C194" s="105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  <c r="AN194" s="88"/>
      <c r="AO194" s="88"/>
      <c r="AP194" s="88"/>
      <c r="AQ194" s="88"/>
      <c r="AR194" s="88"/>
      <c r="AS194" s="88"/>
      <c r="AT194" s="88"/>
      <c r="AU194" s="88"/>
      <c r="AV194" s="88"/>
      <c r="AW194" s="88"/>
      <c r="AX194" s="88"/>
      <c r="AY194" s="88"/>
      <c r="AZ194" s="88"/>
      <c r="BA194" s="88"/>
      <c r="BB194" s="88"/>
      <c r="BC194" s="88"/>
      <c r="BD194" s="88"/>
      <c r="BE194" s="88"/>
      <c r="BF194" s="88"/>
      <c r="BG194" s="88"/>
      <c r="BH194" s="88"/>
      <c r="BI194" s="88"/>
      <c r="BJ194" s="88"/>
      <c r="BK194" s="88"/>
      <c r="BL194" s="88"/>
      <c r="BM194" s="88"/>
      <c r="BN194" s="88"/>
      <c r="BO194" s="88"/>
      <c r="BP194" s="88"/>
      <c r="BQ194" s="88"/>
      <c r="BR194" s="88"/>
      <c r="BS194" s="88"/>
      <c r="BT194" s="88"/>
      <c r="BU194" s="88"/>
      <c r="BV194" s="88"/>
      <c r="BW194" s="88"/>
    </row>
    <row r="250" spans="1:75" ht="15" customHeight="1" x14ac:dyDescent="0.25">
      <c r="A250" s="106"/>
      <c r="B250" s="89"/>
      <c r="C250" s="106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  <c r="AI250" s="90"/>
      <c r="AJ250" s="90"/>
      <c r="AK250" s="90"/>
      <c r="AL250" s="90"/>
      <c r="AM250" s="90"/>
      <c r="AN250" s="90"/>
      <c r="AO250" s="90"/>
      <c r="AP250" s="90"/>
      <c r="AQ250" s="90"/>
      <c r="AR250" s="90"/>
      <c r="AS250" s="90"/>
      <c r="AT250" s="90"/>
      <c r="AU250" s="90"/>
      <c r="AV250" s="90"/>
      <c r="AW250" s="90"/>
      <c r="AX250" s="90"/>
      <c r="AY250" s="90"/>
      <c r="AZ250" s="90"/>
      <c r="BA250" s="90"/>
      <c r="BB250" s="90"/>
      <c r="BC250" s="90"/>
      <c r="BD250" s="90"/>
      <c r="BE250" s="90"/>
      <c r="BF250" s="90"/>
      <c r="BG250" s="90"/>
      <c r="BH250" s="90"/>
      <c r="BI250" s="90"/>
      <c r="BJ250" s="90"/>
      <c r="BK250" s="90"/>
      <c r="BL250" s="90"/>
      <c r="BM250" s="90"/>
      <c r="BN250" s="90"/>
      <c r="BO250" s="90"/>
      <c r="BP250" s="90"/>
      <c r="BQ250" s="90"/>
      <c r="BR250" s="90"/>
      <c r="BS250" s="90"/>
      <c r="BT250" s="90"/>
      <c r="BU250" s="90"/>
      <c r="BV250" s="90"/>
      <c r="BW250" s="90"/>
    </row>
  </sheetData>
  <sheetProtection algorithmName="SHA-512" hashValue="vnQKWHFdAvBP64WiK9p51F8gtl9nI+Uban2ajHFrFOx3vYFbmHtxnZ0za765L8bR8jWBG7ola5wYknw69TVJnQ==" saltValue="5yglsWf+DbuKVvgM1RARpQ==" spinCount="100000" sheet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75028-AAB6-415B-92AE-4991A5299880}">
  <sheetPr>
    <tabColor theme="9" tint="0.59999389629810485"/>
  </sheetPr>
  <dimension ref="A1:BW23"/>
  <sheetViews>
    <sheetView showGridLines="0" zoomScale="80" zoomScaleNormal="80" workbookViewId="0">
      <pane xSplit="3" ySplit="3" topLeftCell="BN4" activePane="bottomRight" state="frozen"/>
      <selection pane="topRight" activeCell="AZ4" sqref="AZ4"/>
      <selection pane="bottomLeft" activeCell="AZ4" sqref="AZ4"/>
      <selection pane="bottomRight" activeCell="BR13" sqref="BR13"/>
    </sheetView>
  </sheetViews>
  <sheetFormatPr defaultRowHeight="15" x14ac:dyDescent="0.25"/>
  <cols>
    <col min="1" max="1" width="8.85546875" style="113" hidden="1" customWidth="1"/>
    <col min="2" max="2" width="56" bestFit="1" customWidth="1"/>
    <col min="3" max="3" width="15.140625" hidden="1" customWidth="1"/>
    <col min="4" max="75" width="17.5703125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07" t="s">
        <v>349</v>
      </c>
      <c r="B3" s="15" t="s">
        <v>350</v>
      </c>
      <c r="C3" s="222" t="s">
        <v>244</v>
      </c>
      <c r="D3" s="16" t="s">
        <v>245</v>
      </c>
      <c r="E3" s="16" t="s">
        <v>246</v>
      </c>
      <c r="F3" s="16" t="s">
        <v>247</v>
      </c>
      <c r="G3" s="16" t="s">
        <v>248</v>
      </c>
      <c r="H3" s="16" t="s">
        <v>249</v>
      </c>
      <c r="I3" s="16" t="s">
        <v>250</v>
      </c>
      <c r="J3" s="16" t="s">
        <v>251</v>
      </c>
      <c r="K3" s="16" t="s">
        <v>252</v>
      </c>
      <c r="L3" s="16" t="s">
        <v>253</v>
      </c>
      <c r="M3" s="16" t="s">
        <v>254</v>
      </c>
      <c r="N3" s="16" t="s">
        <v>255</v>
      </c>
      <c r="O3" s="16" t="s">
        <v>256</v>
      </c>
      <c r="P3" s="16" t="s">
        <v>257</v>
      </c>
      <c r="Q3" s="16" t="s">
        <v>258</v>
      </c>
      <c r="R3" s="16" t="s">
        <v>259</v>
      </c>
      <c r="S3" s="16" t="s">
        <v>260</v>
      </c>
      <c r="T3" s="16" t="s">
        <v>261</v>
      </c>
      <c r="U3" s="16" t="s">
        <v>262</v>
      </c>
      <c r="V3" s="16" t="s">
        <v>263</v>
      </c>
      <c r="W3" s="16" t="s">
        <v>264</v>
      </c>
      <c r="X3" s="16" t="s">
        <v>265</v>
      </c>
      <c r="Y3" s="16" t="s">
        <v>266</v>
      </c>
      <c r="Z3" s="16" t="s">
        <v>267</v>
      </c>
      <c r="AA3" s="16" t="s">
        <v>268</v>
      </c>
      <c r="AB3" s="16" t="s">
        <v>269</v>
      </c>
      <c r="AC3" s="16" t="s">
        <v>270</v>
      </c>
      <c r="AD3" s="16" t="s">
        <v>271</v>
      </c>
      <c r="AE3" s="16" t="s">
        <v>272</v>
      </c>
      <c r="AF3" s="16" t="s">
        <v>273</v>
      </c>
      <c r="AG3" s="16" t="s">
        <v>274</v>
      </c>
      <c r="AH3" s="16" t="s">
        <v>275</v>
      </c>
      <c r="AI3" s="16" t="s">
        <v>276</v>
      </c>
      <c r="AJ3" s="16" t="s">
        <v>277</v>
      </c>
      <c r="AK3" s="16" t="s">
        <v>278</v>
      </c>
      <c r="AL3" s="16" t="s">
        <v>279</v>
      </c>
      <c r="AM3" s="16" t="s">
        <v>280</v>
      </c>
      <c r="AN3" s="16" t="s">
        <v>281</v>
      </c>
      <c r="AO3" s="16" t="s">
        <v>282</v>
      </c>
      <c r="AP3" s="16" t="s">
        <v>283</v>
      </c>
      <c r="AQ3" s="16" t="s">
        <v>284</v>
      </c>
      <c r="AR3" s="16" t="s">
        <v>285</v>
      </c>
      <c r="AS3" s="16" t="s">
        <v>286</v>
      </c>
      <c r="AT3" s="16" t="s">
        <v>287</v>
      </c>
      <c r="AU3" s="16" t="s">
        <v>288</v>
      </c>
      <c r="AV3" s="16" t="s">
        <v>289</v>
      </c>
      <c r="AW3" s="16" t="s">
        <v>290</v>
      </c>
      <c r="AX3" s="16" t="s">
        <v>291</v>
      </c>
      <c r="AY3" s="16" t="s">
        <v>292</v>
      </c>
      <c r="AZ3" s="16" t="s">
        <v>293</v>
      </c>
      <c r="BA3" s="16" t="s">
        <v>294</v>
      </c>
      <c r="BB3" s="16" t="s">
        <v>295</v>
      </c>
      <c r="BC3" s="16" t="s">
        <v>296</v>
      </c>
      <c r="BD3" s="16" t="s">
        <v>297</v>
      </c>
      <c r="BE3" s="16" t="s">
        <v>298</v>
      </c>
      <c r="BF3" s="16" t="s">
        <v>299</v>
      </c>
      <c r="BG3" s="16" t="s">
        <v>300</v>
      </c>
      <c r="BH3" s="16" t="s">
        <v>301</v>
      </c>
      <c r="BI3" s="16" t="s">
        <v>302</v>
      </c>
      <c r="BJ3" s="16" t="s">
        <v>303</v>
      </c>
      <c r="BK3" s="16" t="s">
        <v>304</v>
      </c>
      <c r="BL3" s="16" t="s">
        <v>305</v>
      </c>
      <c r="BM3" s="16" t="s">
        <v>306</v>
      </c>
      <c r="BN3" s="16" t="s">
        <v>307</v>
      </c>
      <c r="BO3" s="16" t="s">
        <v>308</v>
      </c>
      <c r="BP3" s="16" t="s">
        <v>309</v>
      </c>
      <c r="BQ3" s="16" t="s">
        <v>310</v>
      </c>
      <c r="BR3" s="16" t="s">
        <v>311</v>
      </c>
      <c r="BS3" s="16" t="s">
        <v>312</v>
      </c>
      <c r="BT3" s="16" t="s">
        <v>313</v>
      </c>
      <c r="BU3" s="16" t="s">
        <v>314</v>
      </c>
      <c r="BV3" s="16" t="s">
        <v>315</v>
      </c>
      <c r="BW3" s="16" t="s">
        <v>316</v>
      </c>
    </row>
    <row r="4" spans="1:75" x14ac:dyDescent="0.25">
      <c r="A4" s="108">
        <v>1</v>
      </c>
      <c r="B4" s="17" t="s">
        <v>351</v>
      </c>
      <c r="C4" s="114">
        <v>6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>
        <v>54.835000000000001</v>
      </c>
      <c r="T4" s="128">
        <v>109.376</v>
      </c>
      <c r="U4" s="128">
        <v>98.263000000000005</v>
      </c>
      <c r="V4" s="128">
        <v>105.184</v>
      </c>
      <c r="W4" s="128">
        <v>213.47300000000001</v>
      </c>
      <c r="X4" s="128">
        <v>201.09700000000001</v>
      </c>
      <c r="Y4" s="128">
        <v>390.959</v>
      </c>
      <c r="Z4" s="128">
        <v>542.95100000000002</v>
      </c>
      <c r="AA4" s="128">
        <v>727.96600000000001</v>
      </c>
      <c r="AB4" s="128">
        <v>208.2345</v>
      </c>
      <c r="AC4" s="128">
        <v>392.92200000000003</v>
      </c>
      <c r="AD4" s="128">
        <v>716.88350000000003</v>
      </c>
      <c r="AE4" s="128">
        <v>473.315</v>
      </c>
      <c r="AF4" s="128">
        <v>316.38099999999997</v>
      </c>
      <c r="AG4" s="128">
        <v>414.83100000000002</v>
      </c>
      <c r="AH4" s="128">
        <v>288</v>
      </c>
      <c r="AI4" s="128">
        <v>282</v>
      </c>
      <c r="AJ4" s="128">
        <v>269.83</v>
      </c>
      <c r="AK4" s="128">
        <v>453.71600000000001</v>
      </c>
      <c r="AL4" s="128">
        <v>445.65550000000002</v>
      </c>
      <c r="AM4" s="128">
        <v>511.57850000000002</v>
      </c>
      <c r="AN4" s="129">
        <v>938</v>
      </c>
      <c r="AO4" s="128">
        <v>278</v>
      </c>
      <c r="AP4" s="128">
        <v>573</v>
      </c>
      <c r="AQ4" s="128">
        <v>500</v>
      </c>
      <c r="AR4" s="128">
        <v>507</v>
      </c>
      <c r="AS4" s="128">
        <v>799</v>
      </c>
      <c r="AT4" s="128">
        <v>509</v>
      </c>
      <c r="AU4" s="128">
        <v>498</v>
      </c>
      <c r="AV4" s="128">
        <v>551</v>
      </c>
      <c r="AW4" s="128">
        <v>716</v>
      </c>
      <c r="AX4" s="130">
        <v>538</v>
      </c>
      <c r="AY4" s="131">
        <v>381</v>
      </c>
      <c r="AZ4" s="129">
        <v>335.18099999999998</v>
      </c>
      <c r="BA4" s="128">
        <v>444.00400000000002</v>
      </c>
      <c r="BB4" s="128">
        <v>890.471</v>
      </c>
      <c r="BC4" s="128">
        <v>800.71199999999999</v>
      </c>
      <c r="BD4" s="128">
        <v>928.13599999999997</v>
      </c>
      <c r="BE4" s="128">
        <v>1154.8889999999999</v>
      </c>
      <c r="BF4" s="128">
        <v>1153.798</v>
      </c>
      <c r="BG4" s="128">
        <v>1107.847</v>
      </c>
      <c r="BH4" s="128">
        <v>1004.975</v>
      </c>
      <c r="BI4" s="128">
        <v>1004.9</v>
      </c>
      <c r="BJ4" s="128">
        <v>513.84</v>
      </c>
      <c r="BK4" s="128">
        <v>685.79300000000001</v>
      </c>
      <c r="BL4" s="128">
        <v>783.08199999999999</v>
      </c>
      <c r="BM4" s="128">
        <v>523.87300000000005</v>
      </c>
      <c r="BN4" s="128">
        <v>990.11400000000003</v>
      </c>
      <c r="BO4" s="128">
        <f t="shared" ref="BO4" si="0">915417/1000</f>
        <v>915.41700000000003</v>
      </c>
      <c r="BP4" s="128">
        <v>803.01199999999994</v>
      </c>
      <c r="BQ4" s="128"/>
      <c r="BR4" s="128"/>
      <c r="BS4" s="128"/>
      <c r="BT4" s="128"/>
      <c r="BU4" s="128"/>
      <c r="BV4" s="128"/>
      <c r="BW4" s="128"/>
    </row>
    <row r="5" spans="1:75" x14ac:dyDescent="0.25">
      <c r="A5" s="97">
        <v>2</v>
      </c>
      <c r="B5" s="18" t="s">
        <v>352</v>
      </c>
      <c r="C5" s="115">
        <v>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>
        <v>0</v>
      </c>
      <c r="P5" s="5">
        <v>0</v>
      </c>
      <c r="Q5" s="5">
        <v>0</v>
      </c>
      <c r="R5" s="5">
        <v>0</v>
      </c>
      <c r="S5" s="5">
        <v>867124500</v>
      </c>
      <c r="T5" s="5">
        <v>1806629000</v>
      </c>
      <c r="U5" s="5">
        <v>1808611000</v>
      </c>
      <c r="V5" s="5">
        <v>1898558000</v>
      </c>
      <c r="W5" s="5">
        <v>3939705500</v>
      </c>
      <c r="X5" s="5">
        <v>3396159500</v>
      </c>
      <c r="Y5" s="5">
        <v>7207694201</v>
      </c>
      <c r="Z5" s="5">
        <v>5938251216</v>
      </c>
      <c r="AA5" s="5">
        <v>8982822290</v>
      </c>
      <c r="AB5" s="5">
        <v>2253383204</v>
      </c>
      <c r="AC5" s="5">
        <v>4265090683</v>
      </c>
      <c r="AD5" s="5">
        <v>10639282713</v>
      </c>
      <c r="AE5" s="5">
        <v>6949558981</v>
      </c>
      <c r="AF5" s="5">
        <v>3324235725</v>
      </c>
      <c r="AG5" s="5">
        <v>5636906111</v>
      </c>
      <c r="AH5" s="5">
        <v>3501002041</v>
      </c>
      <c r="AI5" s="5">
        <v>4192925810</v>
      </c>
      <c r="AJ5" s="5">
        <v>4197374650</v>
      </c>
      <c r="AK5" s="5">
        <v>7583193100</v>
      </c>
      <c r="AL5" s="5">
        <v>7831508500</v>
      </c>
      <c r="AM5" s="5">
        <v>8405029580</v>
      </c>
      <c r="AN5" s="5">
        <v>18859106420</v>
      </c>
      <c r="AO5" s="5">
        <v>4569145960</v>
      </c>
      <c r="AP5" s="5">
        <v>9889167500</v>
      </c>
      <c r="AQ5" s="5">
        <v>8988544600</v>
      </c>
      <c r="AR5" s="5">
        <v>8396397250</v>
      </c>
      <c r="AS5" s="5">
        <v>13981977600</v>
      </c>
      <c r="AT5" s="5">
        <v>8695495766</v>
      </c>
      <c r="AU5" s="5">
        <v>9066018899</v>
      </c>
      <c r="AV5" s="5">
        <v>10085358702</v>
      </c>
      <c r="AW5" s="5">
        <v>12770520896</v>
      </c>
      <c r="AX5" s="5">
        <v>10341915406</v>
      </c>
      <c r="AY5" s="5">
        <v>9052536426</v>
      </c>
      <c r="AZ5" s="5">
        <v>5422948492</v>
      </c>
      <c r="BA5" s="5">
        <v>8810676928</v>
      </c>
      <c r="BB5" s="5">
        <v>16279256392</v>
      </c>
      <c r="BC5" s="5">
        <v>14772471605</v>
      </c>
      <c r="BD5" s="5">
        <v>17582066937</v>
      </c>
      <c r="BE5" s="5">
        <v>19496019197</v>
      </c>
      <c r="BF5" s="5">
        <v>21794142714</v>
      </c>
      <c r="BG5" s="5">
        <v>20947068360</v>
      </c>
      <c r="BH5" s="5">
        <v>16624308416</v>
      </c>
      <c r="BI5" s="5">
        <v>14529961948</v>
      </c>
      <c r="BJ5" s="5">
        <v>7374095784</v>
      </c>
      <c r="BK5" s="5">
        <v>10294667630</v>
      </c>
      <c r="BL5" s="5">
        <v>11775760050</v>
      </c>
      <c r="BM5" s="5">
        <v>8275817930</v>
      </c>
      <c r="BN5" s="5">
        <v>14654267870</v>
      </c>
      <c r="BO5" s="5">
        <v>14396490230</v>
      </c>
      <c r="BP5" s="5">
        <v>13143854160</v>
      </c>
      <c r="BQ5" s="5"/>
      <c r="BR5" s="5"/>
      <c r="BS5" s="5"/>
      <c r="BT5" s="5"/>
      <c r="BU5" s="5"/>
      <c r="BV5" s="5"/>
      <c r="BW5" s="5"/>
    </row>
    <row r="6" spans="1:75" x14ac:dyDescent="0.25">
      <c r="A6" s="95">
        <v>3</v>
      </c>
      <c r="B6" s="19" t="s">
        <v>353</v>
      </c>
      <c r="C6" s="116">
        <v>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/>
      <c r="BM6" s="21">
        <v>0</v>
      </c>
      <c r="BN6" s="21"/>
      <c r="BO6" s="21"/>
      <c r="BP6" s="21"/>
      <c r="BQ6" s="21"/>
      <c r="BR6" s="21"/>
      <c r="BS6" s="21"/>
      <c r="BT6" s="21"/>
      <c r="BU6" s="21"/>
      <c r="BV6" s="21"/>
      <c r="BW6" s="21"/>
    </row>
    <row r="7" spans="1:75" x14ac:dyDescent="0.25">
      <c r="A7" s="109">
        <v>4</v>
      </c>
      <c r="B7" s="18" t="s">
        <v>354</v>
      </c>
      <c r="C7" s="117">
        <v>6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>
        <v>0</v>
      </c>
      <c r="P7" s="22">
        <v>0</v>
      </c>
      <c r="Q7" s="22">
        <v>0</v>
      </c>
      <c r="R7" s="22">
        <v>0</v>
      </c>
      <c r="S7" s="22">
        <v>867124500</v>
      </c>
      <c r="T7" s="22">
        <v>1806629000</v>
      </c>
      <c r="U7" s="22">
        <v>1808611000</v>
      </c>
      <c r="V7" s="22">
        <v>1898558000</v>
      </c>
      <c r="W7" s="22">
        <v>3939705500</v>
      </c>
      <c r="X7" s="22">
        <v>3396159500</v>
      </c>
      <c r="Y7" s="22">
        <v>7207694201</v>
      </c>
      <c r="Z7" s="22">
        <v>5938251216</v>
      </c>
      <c r="AA7" s="22">
        <v>8982822290</v>
      </c>
      <c r="AB7" s="22">
        <v>2253383204</v>
      </c>
      <c r="AC7" s="22">
        <v>4265090683</v>
      </c>
      <c r="AD7" s="22">
        <v>10639282713</v>
      </c>
      <c r="AE7" s="22">
        <v>6949558981</v>
      </c>
      <c r="AF7" s="22">
        <v>3324235725</v>
      </c>
      <c r="AG7" s="22">
        <v>5636906111</v>
      </c>
      <c r="AH7" s="22">
        <v>3501002041</v>
      </c>
      <c r="AI7" s="22">
        <v>4192925810</v>
      </c>
      <c r="AJ7" s="22">
        <v>4197374650</v>
      </c>
      <c r="AK7" s="22">
        <v>7583193100</v>
      </c>
      <c r="AL7" s="22">
        <v>7831508500</v>
      </c>
      <c r="AM7" s="22">
        <v>8405029580</v>
      </c>
      <c r="AN7" s="22">
        <v>18859106420</v>
      </c>
      <c r="AO7" s="22">
        <v>4569145960</v>
      </c>
      <c r="AP7" s="22">
        <v>9889167500</v>
      </c>
      <c r="AQ7" s="22">
        <v>8988544600</v>
      </c>
      <c r="AR7" s="22">
        <v>8396397250</v>
      </c>
      <c r="AS7" s="22">
        <v>13981977600</v>
      </c>
      <c r="AT7" s="22">
        <v>8695495766</v>
      </c>
      <c r="AU7" s="22">
        <v>9066018899</v>
      </c>
      <c r="AV7" s="22">
        <v>10085358702</v>
      </c>
      <c r="AW7" s="22">
        <v>12770520896</v>
      </c>
      <c r="AX7" s="22">
        <v>10341915406</v>
      </c>
      <c r="AY7" s="23">
        <v>9052536426</v>
      </c>
      <c r="AZ7" s="23">
        <v>5422948492</v>
      </c>
      <c r="BA7" s="23">
        <v>8810676928</v>
      </c>
      <c r="BB7" s="23">
        <v>16279256392</v>
      </c>
      <c r="BC7" s="23">
        <v>14772471605</v>
      </c>
      <c r="BD7" s="23">
        <v>17582066937</v>
      </c>
      <c r="BE7" s="23">
        <v>19496019197</v>
      </c>
      <c r="BF7" s="23">
        <v>21794142714</v>
      </c>
      <c r="BG7" s="23">
        <v>20947068360</v>
      </c>
      <c r="BH7" s="23">
        <v>16624308416</v>
      </c>
      <c r="BI7" s="23">
        <v>14529961948</v>
      </c>
      <c r="BJ7" s="23">
        <v>7374095784</v>
      </c>
      <c r="BK7" s="23">
        <v>10294667630</v>
      </c>
      <c r="BL7" s="23">
        <v>11775760050</v>
      </c>
      <c r="BM7" s="23">
        <v>8275817930</v>
      </c>
      <c r="BN7" s="23">
        <v>14654267870</v>
      </c>
      <c r="BO7" s="23">
        <v>14396490230</v>
      </c>
      <c r="BP7" s="23">
        <v>13143854160</v>
      </c>
      <c r="BQ7" s="23"/>
      <c r="BR7" s="23"/>
      <c r="BS7" s="23"/>
      <c r="BT7" s="23"/>
      <c r="BU7" s="23"/>
      <c r="BV7" s="23"/>
      <c r="BW7" s="23"/>
    </row>
    <row r="8" spans="1:75" ht="15.75" x14ac:dyDescent="0.25">
      <c r="A8" s="95">
        <v>5</v>
      </c>
      <c r="B8" s="19" t="s">
        <v>355</v>
      </c>
      <c r="C8" s="118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>
        <v>0</v>
      </c>
      <c r="P8" s="3">
        <v>0</v>
      </c>
      <c r="Q8" s="3">
        <v>0</v>
      </c>
      <c r="R8" s="3">
        <v>0</v>
      </c>
      <c r="S8" s="3">
        <v>1043158263</v>
      </c>
      <c r="T8" s="3">
        <v>2018502531</v>
      </c>
      <c r="U8" s="3">
        <v>3246780250</v>
      </c>
      <c r="V8" s="3">
        <v>2460816541</v>
      </c>
      <c r="W8" s="3">
        <v>3098316370</v>
      </c>
      <c r="X8" s="3">
        <v>3349405980</v>
      </c>
      <c r="Y8" s="3">
        <v>7265678210</v>
      </c>
      <c r="Z8" s="3">
        <v>6705345773</v>
      </c>
      <c r="AA8" s="3">
        <v>8869129832</v>
      </c>
      <c r="AB8" s="3">
        <v>3240340811</v>
      </c>
      <c r="AC8" s="3">
        <v>5619697963</v>
      </c>
      <c r="AD8" s="3">
        <v>13421808004</v>
      </c>
      <c r="AE8" s="3">
        <v>9317382917</v>
      </c>
      <c r="AF8" s="3">
        <v>5227287464</v>
      </c>
      <c r="AG8" s="3">
        <v>7363604310</v>
      </c>
      <c r="AH8" s="3">
        <v>5177182851</v>
      </c>
      <c r="AI8" s="3">
        <v>5105270549</v>
      </c>
      <c r="AJ8" s="3">
        <v>4755249704</v>
      </c>
      <c r="AK8" s="3">
        <v>7896150860</v>
      </c>
      <c r="AL8" s="3">
        <v>9903541557</v>
      </c>
      <c r="AM8" s="3">
        <v>6361190828</v>
      </c>
      <c r="AN8" s="9">
        <v>19303813750</v>
      </c>
      <c r="AO8" s="3">
        <v>5445357498</v>
      </c>
      <c r="AP8" s="3">
        <v>9525099975</v>
      </c>
      <c r="AQ8" s="24">
        <v>9177542757</v>
      </c>
      <c r="AR8" s="24">
        <v>9252785278</v>
      </c>
      <c r="AS8" s="24">
        <v>15202791010</v>
      </c>
      <c r="AT8" s="24">
        <v>9266546963</v>
      </c>
      <c r="AU8" s="24">
        <v>9640445579</v>
      </c>
      <c r="AV8" s="24">
        <v>10348331156</v>
      </c>
      <c r="AW8" s="24">
        <v>12802871939</v>
      </c>
      <c r="AX8" s="25">
        <v>11067427637</v>
      </c>
      <c r="AY8" s="24">
        <v>9672389057</v>
      </c>
      <c r="AZ8" s="24">
        <v>6459461109</v>
      </c>
      <c r="BA8" s="24">
        <v>9788053505</v>
      </c>
      <c r="BB8" s="24">
        <v>16279720003</v>
      </c>
      <c r="BC8" s="24">
        <v>15135281409</v>
      </c>
      <c r="BD8" s="24">
        <v>16857467163</v>
      </c>
      <c r="BE8" s="24">
        <v>19925736275</v>
      </c>
      <c r="BF8" s="24">
        <v>20517811328</v>
      </c>
      <c r="BG8" s="24">
        <v>19931952590</v>
      </c>
      <c r="BH8" s="24">
        <v>16609887050</v>
      </c>
      <c r="BI8" s="24">
        <v>14135481149</v>
      </c>
      <c r="BJ8" s="24">
        <v>7795260584</v>
      </c>
      <c r="BK8" s="24">
        <v>10179013441</v>
      </c>
      <c r="BL8" s="24">
        <v>11302623439</v>
      </c>
      <c r="BM8" s="24">
        <v>8036742611</v>
      </c>
      <c r="BN8" s="24">
        <v>13652461082</v>
      </c>
      <c r="BO8" s="24">
        <v>13656864254</v>
      </c>
      <c r="BP8" s="24">
        <v>12246690616</v>
      </c>
      <c r="BQ8" s="24"/>
      <c r="BR8" s="24"/>
      <c r="BS8" s="24"/>
      <c r="BT8" s="24"/>
      <c r="BU8" s="24"/>
      <c r="BV8" s="24"/>
      <c r="BW8" s="24"/>
    </row>
    <row r="9" spans="1:75" x14ac:dyDescent="0.25">
      <c r="A9" s="110">
        <v>6</v>
      </c>
      <c r="B9" s="18" t="s">
        <v>356</v>
      </c>
      <c r="C9" s="119">
        <v>6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>
        <v>0</v>
      </c>
      <c r="P9" s="26">
        <v>0</v>
      </c>
      <c r="Q9" s="26">
        <v>0</v>
      </c>
      <c r="R9" s="26">
        <v>0</v>
      </c>
      <c r="S9" s="26">
        <v>-176033763</v>
      </c>
      <c r="T9" s="26">
        <v>-211873531</v>
      </c>
      <c r="U9" s="26">
        <v>-1438169250</v>
      </c>
      <c r="V9" s="26">
        <v>-562258541</v>
      </c>
      <c r="W9" s="26">
        <v>841389130</v>
      </c>
      <c r="X9" s="26">
        <v>46753520</v>
      </c>
      <c r="Y9" s="26">
        <v>-57984009</v>
      </c>
      <c r="Z9" s="26">
        <v>-767094557</v>
      </c>
      <c r="AA9" s="26">
        <v>113692458</v>
      </c>
      <c r="AB9" s="26">
        <v>-986957607</v>
      </c>
      <c r="AC9" s="26">
        <v>-1354607280</v>
      </c>
      <c r="AD9" s="26">
        <v>-2782525291</v>
      </c>
      <c r="AE9" s="26">
        <v>-2367823936</v>
      </c>
      <c r="AF9" s="26">
        <v>-1903051739</v>
      </c>
      <c r="AG9" s="26">
        <v>-1726698199</v>
      </c>
      <c r="AH9" s="26">
        <v>-1676180810</v>
      </c>
      <c r="AI9" s="26">
        <v>-912344739</v>
      </c>
      <c r="AJ9" s="26">
        <v>-557875054</v>
      </c>
      <c r="AK9" s="26">
        <v>-312957760</v>
      </c>
      <c r="AL9" s="26">
        <v>-2072033057</v>
      </c>
      <c r="AM9" s="26">
        <v>2043838752</v>
      </c>
      <c r="AN9" s="26">
        <v>-444707330</v>
      </c>
      <c r="AO9" s="26">
        <v>-876211538</v>
      </c>
      <c r="AP9" s="26">
        <v>364067525</v>
      </c>
      <c r="AQ9" s="26">
        <v>-188998157</v>
      </c>
      <c r="AR9" s="26">
        <v>-856388028</v>
      </c>
      <c r="AS9" s="26">
        <v>-1220813410</v>
      </c>
      <c r="AT9" s="26">
        <v>-571051197</v>
      </c>
      <c r="AU9" s="26">
        <v>-574426680</v>
      </c>
      <c r="AV9" s="26">
        <v>-262972454</v>
      </c>
      <c r="AW9" s="26">
        <v>-32351043</v>
      </c>
      <c r="AX9" s="26">
        <v>-725512231</v>
      </c>
      <c r="AY9" s="26">
        <v>-619852631</v>
      </c>
      <c r="AZ9" s="26">
        <v>-1036512617</v>
      </c>
      <c r="BA9" s="26">
        <v>-977376577</v>
      </c>
      <c r="BB9" s="26">
        <v>-463611</v>
      </c>
      <c r="BC9" s="26">
        <v>-362809804</v>
      </c>
      <c r="BD9" s="26">
        <v>724599774</v>
      </c>
      <c r="BE9" s="26">
        <v>-429717078</v>
      </c>
      <c r="BF9" s="26">
        <v>1276331386</v>
      </c>
      <c r="BG9" s="26">
        <v>1015115770</v>
      </c>
      <c r="BH9" s="26">
        <v>14421366</v>
      </c>
      <c r="BI9" s="26">
        <v>394480799</v>
      </c>
      <c r="BJ9" s="26">
        <v>-421164800</v>
      </c>
      <c r="BK9" s="26">
        <v>115654189</v>
      </c>
      <c r="BL9" s="26">
        <v>473136611</v>
      </c>
      <c r="BM9" s="26">
        <v>239075319</v>
      </c>
      <c r="BN9" s="26">
        <v>1001806788</v>
      </c>
      <c r="BO9" s="26">
        <v>739625976</v>
      </c>
      <c r="BP9" s="26">
        <v>897163544</v>
      </c>
      <c r="BQ9" s="26"/>
      <c r="BR9" s="26"/>
      <c r="BS9" s="26"/>
      <c r="BT9" s="26"/>
      <c r="BU9" s="26"/>
      <c r="BV9" s="26"/>
      <c r="BW9" s="26"/>
    </row>
    <row r="10" spans="1:75" x14ac:dyDescent="0.25">
      <c r="A10" s="110">
        <v>7</v>
      </c>
      <c r="B10" s="18" t="s">
        <v>357</v>
      </c>
      <c r="C10" s="119">
        <v>6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</row>
    <row r="11" spans="1:75" x14ac:dyDescent="0.25">
      <c r="A11" s="95">
        <v>8</v>
      </c>
      <c r="B11" s="19" t="s">
        <v>358</v>
      </c>
      <c r="C11" s="116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0</v>
      </c>
      <c r="P11" s="3">
        <v>193525</v>
      </c>
      <c r="Q11" s="3">
        <v>41776</v>
      </c>
      <c r="R11" s="3">
        <v>63253</v>
      </c>
      <c r="S11" s="3">
        <v>253599</v>
      </c>
      <c r="T11" s="3">
        <v>146252</v>
      </c>
      <c r="U11" s="3">
        <v>130471</v>
      </c>
      <c r="V11" s="3">
        <v>87564</v>
      </c>
      <c r="W11" s="3">
        <v>97977</v>
      </c>
      <c r="X11" s="3">
        <v>59406</v>
      </c>
      <c r="Y11" s="3">
        <v>19128</v>
      </c>
      <c r="Z11" s="3">
        <v>237530</v>
      </c>
      <c r="AA11" s="3">
        <v>855456</v>
      </c>
      <c r="AB11" s="3">
        <v>1538411</v>
      </c>
      <c r="AC11" s="3">
        <v>490186</v>
      </c>
      <c r="AD11" s="3">
        <v>416617</v>
      </c>
      <c r="AE11" s="3">
        <v>153598</v>
      </c>
      <c r="AF11" s="3">
        <v>175725</v>
      </c>
      <c r="AG11" s="3">
        <v>42514</v>
      </c>
      <c r="AH11" s="3">
        <v>78830</v>
      </c>
      <c r="AI11" s="3">
        <v>214369</v>
      </c>
      <c r="AJ11" s="3">
        <v>78036</v>
      </c>
      <c r="AK11" s="3">
        <v>43303</v>
      </c>
      <c r="AL11" s="3">
        <v>15370732</v>
      </c>
      <c r="AM11" s="3">
        <v>9385</v>
      </c>
      <c r="AN11" s="3">
        <v>12211</v>
      </c>
      <c r="AO11" s="3">
        <v>25165</v>
      </c>
      <c r="AP11" s="3">
        <v>19778</v>
      </c>
      <c r="AQ11" s="20">
        <v>32521</v>
      </c>
      <c r="AR11" s="20">
        <v>24020</v>
      </c>
      <c r="AS11" s="20">
        <v>16492</v>
      </c>
      <c r="AT11" s="20">
        <v>11977</v>
      </c>
      <c r="AU11" s="20">
        <v>14708</v>
      </c>
      <c r="AV11" s="20">
        <v>4723</v>
      </c>
      <c r="AW11" s="20">
        <v>16840</v>
      </c>
      <c r="AX11" s="20">
        <v>9746260</v>
      </c>
      <c r="AY11" s="21">
        <v>9087</v>
      </c>
      <c r="AZ11" s="21">
        <v>15622</v>
      </c>
      <c r="BA11" s="21">
        <v>11487</v>
      </c>
      <c r="BB11" s="21">
        <v>8067</v>
      </c>
      <c r="BC11" s="21">
        <v>20954</v>
      </c>
      <c r="BD11" s="21">
        <v>11723</v>
      </c>
      <c r="BE11" s="21">
        <v>8134</v>
      </c>
      <c r="BF11" s="21">
        <v>14534</v>
      </c>
      <c r="BG11" s="21">
        <v>10653</v>
      </c>
      <c r="BH11" s="21">
        <v>24933</v>
      </c>
      <c r="BI11" s="21">
        <v>46896</v>
      </c>
      <c r="BJ11" s="21">
        <v>22423098</v>
      </c>
      <c r="BK11" s="21">
        <v>7820152</v>
      </c>
      <c r="BL11" s="21">
        <v>10853</v>
      </c>
      <c r="BM11" s="21">
        <v>7889</v>
      </c>
      <c r="BN11" s="21">
        <v>4769</v>
      </c>
      <c r="BO11" s="21">
        <v>40928</v>
      </c>
      <c r="BP11" s="21">
        <v>32034</v>
      </c>
      <c r="BQ11" s="21"/>
      <c r="BR11" s="21"/>
      <c r="BS11" s="21"/>
      <c r="BT11" s="21"/>
      <c r="BU11" s="21"/>
      <c r="BV11" s="21"/>
      <c r="BW11" s="21"/>
    </row>
    <row r="12" spans="1:75" x14ac:dyDescent="0.25">
      <c r="A12" s="97">
        <v>9</v>
      </c>
      <c r="B12" s="18" t="s">
        <v>359</v>
      </c>
      <c r="C12" s="115">
        <v>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/>
      <c r="BM12" s="6">
        <v>9235200</v>
      </c>
      <c r="BN12" s="6"/>
      <c r="BO12" s="6">
        <v>419650</v>
      </c>
      <c r="BP12" s="6">
        <v>345313</v>
      </c>
      <c r="BQ12" s="6"/>
      <c r="BR12" s="6"/>
      <c r="BS12" s="6"/>
      <c r="BT12" s="6"/>
      <c r="BU12" s="6"/>
      <c r="BV12" s="6"/>
      <c r="BW12" s="6"/>
    </row>
    <row r="13" spans="1:75" x14ac:dyDescent="0.25">
      <c r="A13" s="95">
        <v>10</v>
      </c>
      <c r="B13" s="27" t="s">
        <v>360</v>
      </c>
      <c r="C13" s="116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</row>
    <row r="14" spans="1:75" x14ac:dyDescent="0.25">
      <c r="A14" s="95">
        <v>11</v>
      </c>
      <c r="B14" s="19" t="s">
        <v>361</v>
      </c>
      <c r="C14" s="116">
        <v>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55956000</v>
      </c>
      <c r="U14" s="3">
        <v>41117000</v>
      </c>
      <c r="V14" s="3">
        <v>57464000</v>
      </c>
      <c r="W14" s="3">
        <v>93500000</v>
      </c>
      <c r="X14" s="3">
        <v>95700000</v>
      </c>
      <c r="Y14" s="3">
        <v>176000000</v>
      </c>
      <c r="Z14" s="3">
        <v>138700000</v>
      </c>
      <c r="AA14" s="3">
        <v>187700000</v>
      </c>
      <c r="AB14" s="3">
        <v>75300000</v>
      </c>
      <c r="AC14" s="3">
        <v>126000000</v>
      </c>
      <c r="AD14" s="3">
        <v>157600000</v>
      </c>
      <c r="AE14" s="3">
        <v>240643000</v>
      </c>
      <c r="AF14" s="3">
        <v>89750000</v>
      </c>
      <c r="AG14" s="3">
        <v>145050000</v>
      </c>
      <c r="AH14" s="3">
        <v>84700000</v>
      </c>
      <c r="AI14" s="3">
        <v>66600000</v>
      </c>
      <c r="AJ14" s="3">
        <v>38300000</v>
      </c>
      <c r="AK14" s="3">
        <v>93600000</v>
      </c>
      <c r="AL14" s="3">
        <v>349438000</v>
      </c>
      <c r="AM14" s="3">
        <v>1790688600</v>
      </c>
      <c r="AN14" s="3">
        <v>1789900000</v>
      </c>
      <c r="AO14" s="3">
        <v>95542200</v>
      </c>
      <c r="AP14" s="3">
        <v>198747500</v>
      </c>
      <c r="AQ14" s="20">
        <v>149800000</v>
      </c>
      <c r="AR14" s="20">
        <v>136700000</v>
      </c>
      <c r="AS14" s="20">
        <v>187000000</v>
      </c>
      <c r="AT14" s="20">
        <v>154000000</v>
      </c>
      <c r="AU14" s="20">
        <v>132500000</v>
      </c>
      <c r="AV14" s="20">
        <v>185900000</v>
      </c>
      <c r="AW14" s="20">
        <v>180600000</v>
      </c>
      <c r="AX14" s="20">
        <v>156300000</v>
      </c>
      <c r="AY14" s="20">
        <v>141100000</v>
      </c>
      <c r="AZ14" s="20">
        <v>91100000</v>
      </c>
      <c r="BA14" s="20">
        <v>139700000</v>
      </c>
      <c r="BB14" s="20">
        <v>291900000</v>
      </c>
      <c r="BC14" s="20">
        <v>255100000</v>
      </c>
      <c r="BD14" s="20">
        <v>287700000</v>
      </c>
      <c r="BE14" s="20">
        <v>330500000</v>
      </c>
      <c r="BF14" s="20">
        <v>365500000</v>
      </c>
      <c r="BG14" s="20">
        <v>358900000</v>
      </c>
      <c r="BH14" s="20">
        <v>327900000</v>
      </c>
      <c r="BI14" s="20">
        <v>294000000</v>
      </c>
      <c r="BJ14" s="20">
        <v>171600000</v>
      </c>
      <c r="BK14" s="20">
        <v>214000000</v>
      </c>
      <c r="BL14" s="20">
        <v>252400000</v>
      </c>
      <c r="BM14" s="20">
        <v>167700000</v>
      </c>
      <c r="BN14" s="20">
        <v>349500000</v>
      </c>
      <c r="BO14" s="20">
        <v>338100000</v>
      </c>
      <c r="BP14" s="20">
        <v>296100000</v>
      </c>
      <c r="BQ14" s="20"/>
      <c r="BR14" s="20"/>
      <c r="BS14" s="20"/>
      <c r="BT14" s="20"/>
      <c r="BU14" s="20"/>
      <c r="BV14" s="20"/>
      <c r="BW14" s="20"/>
    </row>
    <row r="15" spans="1:75" x14ac:dyDescent="0.25">
      <c r="A15" s="95">
        <v>12</v>
      </c>
      <c r="B15" s="19" t="s">
        <v>362</v>
      </c>
      <c r="C15" s="116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>
        <v>5215385</v>
      </c>
      <c r="P15" s="3">
        <v>54384111</v>
      </c>
      <c r="Q15" s="3">
        <v>81006325</v>
      </c>
      <c r="R15" s="3">
        <v>120760187</v>
      </c>
      <c r="S15" s="3">
        <v>135508222</v>
      </c>
      <c r="T15" s="3">
        <v>128854203</v>
      </c>
      <c r="U15" s="3">
        <v>158782511</v>
      </c>
      <c r="V15" s="3">
        <v>144294348</v>
      </c>
      <c r="W15" s="3">
        <v>130754061</v>
      </c>
      <c r="X15" s="3">
        <v>151931954</v>
      </c>
      <c r="Y15" s="3">
        <v>136440059</v>
      </c>
      <c r="Z15" s="3">
        <v>1818058793</v>
      </c>
      <c r="AA15" s="3">
        <v>494011559</v>
      </c>
      <c r="AB15" s="3">
        <v>512428705</v>
      </c>
      <c r="AC15" s="3">
        <v>513524746</v>
      </c>
      <c r="AD15" s="3">
        <v>289805194</v>
      </c>
      <c r="AE15" s="3">
        <v>385726708</v>
      </c>
      <c r="AF15" s="3">
        <v>356542104</v>
      </c>
      <c r="AG15" s="3">
        <v>323320047</v>
      </c>
      <c r="AH15" s="3">
        <v>340009205</v>
      </c>
      <c r="AI15" s="3">
        <v>692274279</v>
      </c>
      <c r="AJ15" s="3">
        <v>332140369</v>
      </c>
      <c r="AK15" s="3">
        <v>324903258</v>
      </c>
      <c r="AL15" s="3">
        <v>323801165</v>
      </c>
      <c r="AM15" s="3">
        <v>331784935</v>
      </c>
      <c r="AN15" s="3">
        <v>189486394</v>
      </c>
      <c r="AO15" s="3">
        <v>225236410</v>
      </c>
      <c r="AP15" s="3">
        <v>229978521</v>
      </c>
      <c r="AQ15" s="20">
        <v>229889992</v>
      </c>
      <c r="AR15" s="20">
        <v>224134296</v>
      </c>
      <c r="AS15" s="20">
        <v>214897048</v>
      </c>
      <c r="AT15" s="20">
        <v>230047625</v>
      </c>
      <c r="AU15" s="20">
        <v>229954420</v>
      </c>
      <c r="AV15" s="20">
        <v>228488322</v>
      </c>
      <c r="AW15" s="20">
        <v>213155072</v>
      </c>
      <c r="AX15" s="20">
        <v>300846378</v>
      </c>
      <c r="AY15" s="20">
        <v>338620473</v>
      </c>
      <c r="AZ15" s="20">
        <v>390880567</v>
      </c>
      <c r="BA15" s="20">
        <v>288060338</v>
      </c>
      <c r="BB15" s="20">
        <v>278341956</v>
      </c>
      <c r="BC15" s="20">
        <v>277195306</v>
      </c>
      <c r="BD15" s="20">
        <v>257971197</v>
      </c>
      <c r="BE15" s="20">
        <v>282882950</v>
      </c>
      <c r="BF15" s="20">
        <v>303895747</v>
      </c>
      <c r="BG15" s="20">
        <v>325151310</v>
      </c>
      <c r="BH15" s="20">
        <v>377683972</v>
      </c>
      <c r="BI15" s="20">
        <v>341492876</v>
      </c>
      <c r="BJ15" s="20">
        <v>395204855</v>
      </c>
      <c r="BK15" s="20">
        <v>401983082</v>
      </c>
      <c r="BL15" s="20">
        <v>638193690</v>
      </c>
      <c r="BM15" s="20">
        <v>962454402</v>
      </c>
      <c r="BN15" s="20">
        <v>406416217</v>
      </c>
      <c r="BO15" s="20">
        <v>461512143</v>
      </c>
      <c r="BP15" s="20">
        <v>429966132</v>
      </c>
      <c r="BQ15" s="20"/>
      <c r="BR15" s="20"/>
      <c r="BS15" s="20"/>
      <c r="BT15" s="20"/>
      <c r="BU15" s="20"/>
      <c r="BV15" s="20"/>
      <c r="BW15" s="20"/>
    </row>
    <row r="16" spans="1:75" x14ac:dyDescent="0.25">
      <c r="A16" s="97">
        <v>13</v>
      </c>
      <c r="B16" s="18" t="s">
        <v>363</v>
      </c>
      <c r="C16" s="115">
        <v>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>
        <v>-5215385</v>
      </c>
      <c r="P16" s="5">
        <v>-54190586</v>
      </c>
      <c r="Q16" s="5">
        <v>-80964549</v>
      </c>
      <c r="R16" s="5">
        <v>-120696934</v>
      </c>
      <c r="S16" s="5">
        <v>-311288386</v>
      </c>
      <c r="T16" s="5">
        <v>-396537482</v>
      </c>
      <c r="U16" s="5">
        <v>-1637938290</v>
      </c>
      <c r="V16" s="5">
        <v>-763929325</v>
      </c>
      <c r="W16" s="5">
        <v>617233046</v>
      </c>
      <c r="X16" s="5">
        <v>-200819028</v>
      </c>
      <c r="Y16" s="5">
        <v>-370404940</v>
      </c>
      <c r="Z16" s="5">
        <v>-2723615820</v>
      </c>
      <c r="AA16" s="5">
        <v>-567163645</v>
      </c>
      <c r="AB16" s="5">
        <v>-1573147901</v>
      </c>
      <c r="AC16" s="5">
        <v>-1993641840</v>
      </c>
      <c r="AD16" s="5">
        <v>-3229513868</v>
      </c>
      <c r="AE16" s="5">
        <v>-2994040046</v>
      </c>
      <c r="AF16" s="5">
        <v>-2349168118</v>
      </c>
      <c r="AG16" s="5">
        <v>-2195025732</v>
      </c>
      <c r="AH16" s="5">
        <v>-2100811185</v>
      </c>
      <c r="AI16" s="5">
        <v>-1671004649</v>
      </c>
      <c r="AJ16" s="5">
        <v>-928237387</v>
      </c>
      <c r="AK16" s="5">
        <v>-731417715</v>
      </c>
      <c r="AL16" s="5">
        <v>-2729901490</v>
      </c>
      <c r="AM16" s="5">
        <v>-78625398</v>
      </c>
      <c r="AN16" s="5">
        <v>-2424081513</v>
      </c>
      <c r="AO16" s="5">
        <v>-1196964983</v>
      </c>
      <c r="AP16" s="5">
        <v>-64638718</v>
      </c>
      <c r="AQ16" s="5">
        <v>-568655628</v>
      </c>
      <c r="AR16" s="5">
        <v>-1217198304</v>
      </c>
      <c r="AS16" s="5">
        <v>-1622693966</v>
      </c>
      <c r="AT16" s="5">
        <v>-955086845</v>
      </c>
      <c r="AU16" s="5">
        <v>-936866392</v>
      </c>
      <c r="AV16" s="5">
        <v>-677356053</v>
      </c>
      <c r="AW16" s="5">
        <v>-426089275</v>
      </c>
      <c r="AX16" s="5">
        <v>-1172912349</v>
      </c>
      <c r="AY16" s="6">
        <v>-1099564017</v>
      </c>
      <c r="AZ16" s="6">
        <v>-1518477562</v>
      </c>
      <c r="BA16" s="6">
        <v>-1405125428</v>
      </c>
      <c r="BB16" s="6">
        <v>-570697500</v>
      </c>
      <c r="BC16" s="6">
        <v>-895084156</v>
      </c>
      <c r="BD16" s="6">
        <v>178940300</v>
      </c>
      <c r="BE16" s="6">
        <v>-1043091894</v>
      </c>
      <c r="BF16" s="6">
        <v>606950173</v>
      </c>
      <c r="BG16" s="6">
        <v>331075113</v>
      </c>
      <c r="BH16" s="6">
        <v>-691137673</v>
      </c>
      <c r="BI16" s="6">
        <v>-240965181</v>
      </c>
      <c r="BJ16" s="6">
        <v>-965546557</v>
      </c>
      <c r="BK16" s="6">
        <v>-492508741</v>
      </c>
      <c r="BL16" s="6">
        <v>-417446226</v>
      </c>
      <c r="BM16" s="6">
        <v>-900306394</v>
      </c>
      <c r="BN16" s="6">
        <v>245895340</v>
      </c>
      <c r="BO16" s="6">
        <v>-60364889</v>
      </c>
      <c r="BP16" s="6">
        <v>170784133</v>
      </c>
      <c r="BQ16" s="6"/>
      <c r="BR16" s="6"/>
      <c r="BS16" s="6"/>
      <c r="BT16" s="6"/>
      <c r="BU16" s="6"/>
      <c r="BV16" s="6"/>
      <c r="BW16" s="6"/>
    </row>
    <row r="17" spans="1:75" x14ac:dyDescent="0.25">
      <c r="A17" s="95">
        <v>14</v>
      </c>
      <c r="B17" s="19" t="s">
        <v>364</v>
      </c>
      <c r="C17" s="116">
        <v>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190000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109815</v>
      </c>
      <c r="AF17" s="3">
        <v>58651962</v>
      </c>
      <c r="AG17" s="3">
        <v>310961198</v>
      </c>
      <c r="AH17" s="3">
        <v>7456238</v>
      </c>
      <c r="AI17" s="3">
        <v>12453000</v>
      </c>
      <c r="AJ17" s="3">
        <v>0</v>
      </c>
      <c r="AK17" s="3">
        <v>0</v>
      </c>
      <c r="AL17" s="3">
        <v>0</v>
      </c>
      <c r="AM17" s="3">
        <v>22310931</v>
      </c>
      <c r="AN17" s="3">
        <v>0</v>
      </c>
      <c r="AO17" s="3">
        <v>0</v>
      </c>
      <c r="AP17" s="3">
        <v>0</v>
      </c>
      <c r="AQ17" s="20">
        <v>0</v>
      </c>
      <c r="AR17" s="20">
        <v>4695924</v>
      </c>
      <c r="AS17" s="20">
        <v>6427650</v>
      </c>
      <c r="AT17" s="20"/>
      <c r="AU17" s="20">
        <v>6515785</v>
      </c>
      <c r="AV17" s="20">
        <v>5868055</v>
      </c>
      <c r="AW17" s="20">
        <v>2949074</v>
      </c>
      <c r="AX17" s="20">
        <v>4844907</v>
      </c>
      <c r="AY17" s="21">
        <v>6020663</v>
      </c>
      <c r="AZ17" s="21">
        <v>6872690</v>
      </c>
      <c r="BA17" s="21">
        <v>0</v>
      </c>
      <c r="BB17" s="21">
        <v>5897640</v>
      </c>
      <c r="BC17" s="21">
        <v>14981280</v>
      </c>
      <c r="BD17" s="21">
        <v>21977736</v>
      </c>
      <c r="BE17" s="21">
        <v>20040080</v>
      </c>
      <c r="BF17" s="21">
        <v>35343900</v>
      </c>
      <c r="BG17" s="21">
        <v>28282224</v>
      </c>
      <c r="BH17" s="21">
        <v>14984820</v>
      </c>
      <c r="BI17" s="21">
        <v>24570392</v>
      </c>
      <c r="BJ17" s="21">
        <v>8366410</v>
      </c>
      <c r="BK17" s="21">
        <v>42001388</v>
      </c>
      <c r="BL17" s="21">
        <v>8748278</v>
      </c>
      <c r="BM17" s="21">
        <v>10969252</v>
      </c>
      <c r="BN17" s="21">
        <v>13764543</v>
      </c>
      <c r="BO17" s="21">
        <v>116383300</v>
      </c>
      <c r="BP17" s="21">
        <v>10317895</v>
      </c>
      <c r="BQ17" s="21"/>
      <c r="BR17" s="21"/>
      <c r="BS17" s="21"/>
      <c r="BT17" s="21"/>
      <c r="BU17" s="21"/>
      <c r="BV17" s="21"/>
      <c r="BW17" s="21"/>
    </row>
    <row r="18" spans="1:75" x14ac:dyDescent="0.25">
      <c r="A18" s="95">
        <v>15</v>
      </c>
      <c r="B18" s="19" t="s">
        <v>365</v>
      </c>
      <c r="C18" s="116">
        <v>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296296</v>
      </c>
      <c r="X18" s="3">
        <v>0</v>
      </c>
      <c r="Y18" s="3">
        <v>16391</v>
      </c>
      <c r="Z18" s="3">
        <v>0</v>
      </c>
      <c r="AA18" s="3">
        <v>3419953375</v>
      </c>
      <c r="AB18" s="3">
        <v>0</v>
      </c>
      <c r="AC18" s="3">
        <v>0</v>
      </c>
      <c r="AD18" s="3">
        <v>8284629</v>
      </c>
      <c r="AE18" s="3">
        <v>61546</v>
      </c>
      <c r="AF18" s="3">
        <v>52651</v>
      </c>
      <c r="AG18" s="3">
        <v>342751500</v>
      </c>
      <c r="AH18" s="3">
        <v>34965381</v>
      </c>
      <c r="AI18" s="3">
        <v>3001865</v>
      </c>
      <c r="AJ18" s="3">
        <v>8601062</v>
      </c>
      <c r="AK18" s="3">
        <v>12875003</v>
      </c>
      <c r="AL18" s="3">
        <v>11895000</v>
      </c>
      <c r="AM18" s="3">
        <v>46857549</v>
      </c>
      <c r="AN18" s="3">
        <v>25035000</v>
      </c>
      <c r="AO18" s="3">
        <v>4500869</v>
      </c>
      <c r="AP18" s="3">
        <v>15342970</v>
      </c>
      <c r="AQ18" s="20">
        <v>1400000</v>
      </c>
      <c r="AR18" s="20">
        <v>4112330</v>
      </c>
      <c r="AS18" s="20">
        <v>3788889</v>
      </c>
      <c r="AT18" s="20">
        <v>1603193</v>
      </c>
      <c r="AU18" s="20">
        <v>3600000</v>
      </c>
      <c r="AV18" s="20">
        <v>4730520</v>
      </c>
      <c r="AW18" s="20">
        <v>5100000</v>
      </c>
      <c r="AX18" s="20">
        <v>2300000</v>
      </c>
      <c r="AY18" s="21">
        <v>159621374</v>
      </c>
      <c r="AZ18" s="21">
        <v>1000000</v>
      </c>
      <c r="BA18" s="21">
        <v>3800000</v>
      </c>
      <c r="BB18" s="21">
        <v>2500000</v>
      </c>
      <c r="BC18" s="21">
        <v>1000000</v>
      </c>
      <c r="BD18" s="21">
        <v>6500000</v>
      </c>
      <c r="BE18" s="21">
        <v>1500000</v>
      </c>
      <c r="BF18" s="21">
        <v>128951632</v>
      </c>
      <c r="BG18" s="21">
        <v>13282176</v>
      </c>
      <c r="BH18" s="21">
        <v>4000000</v>
      </c>
      <c r="BI18" s="21">
        <v>500000</v>
      </c>
      <c r="BJ18" s="21">
        <v>2295000</v>
      </c>
      <c r="BK18" s="21">
        <v>6009612</v>
      </c>
      <c r="BL18" s="21">
        <v>136900483</v>
      </c>
      <c r="BM18" s="21">
        <v>48552980</v>
      </c>
      <c r="BN18" s="21">
        <v>4660403</v>
      </c>
      <c r="BO18" s="21">
        <v>472222397</v>
      </c>
      <c r="BP18" s="21">
        <v>16865326</v>
      </c>
      <c r="BQ18" s="21"/>
      <c r="BR18" s="21"/>
      <c r="BS18" s="21"/>
      <c r="BT18" s="21"/>
      <c r="BU18" s="21"/>
      <c r="BV18" s="21"/>
      <c r="BW18" s="21"/>
    </row>
    <row r="19" spans="1:75" x14ac:dyDescent="0.25">
      <c r="A19" s="97">
        <v>16</v>
      </c>
      <c r="B19" s="18" t="s">
        <v>366</v>
      </c>
      <c r="C19" s="115">
        <v>6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190000</v>
      </c>
      <c r="V19" s="5">
        <v>0</v>
      </c>
      <c r="W19" s="5">
        <v>-296296</v>
      </c>
      <c r="X19" s="5">
        <v>0</v>
      </c>
      <c r="Y19" s="5">
        <v>-16391</v>
      </c>
      <c r="Z19" s="5">
        <v>0</v>
      </c>
      <c r="AA19" s="5">
        <v>-3419953375</v>
      </c>
      <c r="AB19" s="5">
        <v>0</v>
      </c>
      <c r="AC19" s="5">
        <v>0</v>
      </c>
      <c r="AD19" s="5">
        <v>-8284629</v>
      </c>
      <c r="AE19" s="5">
        <v>48269</v>
      </c>
      <c r="AF19" s="5">
        <v>58599311</v>
      </c>
      <c r="AG19" s="5">
        <v>-31790302</v>
      </c>
      <c r="AH19" s="5">
        <v>-27509143</v>
      </c>
      <c r="AI19" s="5">
        <v>9451135</v>
      </c>
      <c r="AJ19" s="5">
        <v>-8601062</v>
      </c>
      <c r="AK19" s="5">
        <v>-12875003</v>
      </c>
      <c r="AL19" s="5">
        <v>-11895000</v>
      </c>
      <c r="AM19" s="5">
        <v>-24546618</v>
      </c>
      <c r="AN19" s="5">
        <v>-25035000</v>
      </c>
      <c r="AO19" s="5">
        <v>-4500869</v>
      </c>
      <c r="AP19" s="5">
        <v>-15342970</v>
      </c>
      <c r="AQ19" s="5">
        <v>-1400000</v>
      </c>
      <c r="AR19" s="5">
        <v>583594</v>
      </c>
      <c r="AS19" s="5">
        <v>2638761</v>
      </c>
      <c r="AT19" s="5">
        <v>-1603193</v>
      </c>
      <c r="AU19" s="5">
        <v>2915785</v>
      </c>
      <c r="AV19" s="5">
        <v>1137535</v>
      </c>
      <c r="AW19" s="5">
        <v>-2150926</v>
      </c>
      <c r="AX19" s="5">
        <v>2544907</v>
      </c>
      <c r="AY19" s="6">
        <v>-153600711</v>
      </c>
      <c r="AZ19" s="6">
        <v>5872690</v>
      </c>
      <c r="BA19" s="6">
        <v>-3800000</v>
      </c>
      <c r="BB19" s="6">
        <v>3397640</v>
      </c>
      <c r="BC19" s="6">
        <v>13981280</v>
      </c>
      <c r="BD19" s="6">
        <v>15477736</v>
      </c>
      <c r="BE19" s="6">
        <v>18540080</v>
      </c>
      <c r="BF19" s="6">
        <v>-93607732</v>
      </c>
      <c r="BG19" s="6">
        <v>15000048</v>
      </c>
      <c r="BH19" s="6">
        <v>10984820</v>
      </c>
      <c r="BI19" s="6">
        <v>24070392</v>
      </c>
      <c r="BJ19" s="6">
        <v>6071410</v>
      </c>
      <c r="BK19" s="6">
        <v>35991776</v>
      </c>
      <c r="BL19" s="6">
        <v>-128152205</v>
      </c>
      <c r="BM19" s="6">
        <v>-37583728</v>
      </c>
      <c r="BN19" s="6">
        <v>9104140</v>
      </c>
      <c r="BO19" s="6">
        <v>-355839097</v>
      </c>
      <c r="BP19" s="6">
        <v>-6547431</v>
      </c>
      <c r="BQ19" s="6"/>
      <c r="BR19" s="6"/>
      <c r="BS19" s="6"/>
      <c r="BT19" s="6"/>
      <c r="BU19" s="6"/>
      <c r="BV19" s="6"/>
      <c r="BW19" s="6"/>
    </row>
    <row r="20" spans="1:75" x14ac:dyDescent="0.25">
      <c r="A20" s="109">
        <v>17</v>
      </c>
      <c r="B20" s="18" t="s">
        <v>367</v>
      </c>
      <c r="C20" s="117">
        <v>6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>
        <v>-5215385</v>
      </c>
      <c r="P20" s="22">
        <v>-54190586</v>
      </c>
      <c r="Q20" s="22">
        <v>-80964549</v>
      </c>
      <c r="R20" s="22">
        <v>-120696934</v>
      </c>
      <c r="S20" s="22">
        <v>-311288386</v>
      </c>
      <c r="T20" s="22">
        <v>-396537482</v>
      </c>
      <c r="U20" s="22">
        <v>-1637748290</v>
      </c>
      <c r="V20" s="22">
        <v>-763929325</v>
      </c>
      <c r="W20" s="22">
        <v>616936750</v>
      </c>
      <c r="X20" s="22">
        <v>-200819028</v>
      </c>
      <c r="Y20" s="22">
        <v>-370421331</v>
      </c>
      <c r="Z20" s="22">
        <v>-2723615820</v>
      </c>
      <c r="AA20" s="22">
        <v>-3987117020</v>
      </c>
      <c r="AB20" s="22">
        <v>-1573147901</v>
      </c>
      <c r="AC20" s="22">
        <v>-1993641840</v>
      </c>
      <c r="AD20" s="22">
        <v>-3237798497</v>
      </c>
      <c r="AE20" s="22">
        <v>-2993991777</v>
      </c>
      <c r="AF20" s="22">
        <v>-2290568807</v>
      </c>
      <c r="AG20" s="22">
        <v>-2226816034</v>
      </c>
      <c r="AH20" s="22">
        <v>-2128320328</v>
      </c>
      <c r="AI20" s="22">
        <v>-1661553514</v>
      </c>
      <c r="AJ20" s="22">
        <v>-936838449</v>
      </c>
      <c r="AK20" s="22">
        <v>-744292718</v>
      </c>
      <c r="AL20" s="22">
        <v>-2741796490</v>
      </c>
      <c r="AM20" s="22">
        <v>-103172016</v>
      </c>
      <c r="AN20" s="22">
        <v>-2449116513</v>
      </c>
      <c r="AO20" s="22">
        <v>-1201465852</v>
      </c>
      <c r="AP20" s="22">
        <v>-79981688</v>
      </c>
      <c r="AQ20" s="22">
        <v>-570055628</v>
      </c>
      <c r="AR20" s="22">
        <v>-1216614710</v>
      </c>
      <c r="AS20" s="22">
        <v>-1620055205</v>
      </c>
      <c r="AT20" s="22">
        <v>-956690038</v>
      </c>
      <c r="AU20" s="22">
        <v>-933950607</v>
      </c>
      <c r="AV20" s="22">
        <v>-676218518</v>
      </c>
      <c r="AW20" s="22">
        <v>-428240201</v>
      </c>
      <c r="AX20" s="22">
        <v>-1170367442</v>
      </c>
      <c r="AY20" s="23">
        <v>-1253164728</v>
      </c>
      <c r="AZ20" s="23">
        <v>-1512604872</v>
      </c>
      <c r="BA20" s="23">
        <v>-1408925428</v>
      </c>
      <c r="BB20" s="23">
        <v>-567299860</v>
      </c>
      <c r="BC20" s="23">
        <v>-881102876</v>
      </c>
      <c r="BD20" s="23">
        <v>194418036</v>
      </c>
      <c r="BE20" s="23">
        <v>-1024551814</v>
      </c>
      <c r="BF20" s="23">
        <v>513342441</v>
      </c>
      <c r="BG20" s="23">
        <v>346075161</v>
      </c>
      <c r="BH20" s="23">
        <v>-680152853</v>
      </c>
      <c r="BI20" s="23">
        <v>-216894789</v>
      </c>
      <c r="BJ20" s="23">
        <v>-959475147</v>
      </c>
      <c r="BK20" s="23">
        <v>-456516965</v>
      </c>
      <c r="BL20" s="23">
        <v>-545598431</v>
      </c>
      <c r="BM20" s="23">
        <v>-937890122</v>
      </c>
      <c r="BN20" s="23">
        <v>254999480</v>
      </c>
      <c r="BO20" s="23">
        <v>-416203986</v>
      </c>
      <c r="BP20" s="23">
        <v>164236702</v>
      </c>
      <c r="BQ20" s="23"/>
      <c r="BR20" s="23"/>
      <c r="BS20" s="23"/>
      <c r="BT20" s="23"/>
      <c r="BU20" s="23"/>
      <c r="BV20" s="23"/>
      <c r="BW20" s="23"/>
    </row>
    <row r="21" spans="1:75" x14ac:dyDescent="0.25">
      <c r="A21" s="111">
        <v>18</v>
      </c>
      <c r="B21" s="28" t="s">
        <v>368</v>
      </c>
      <c r="C21" s="116">
        <v>6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>
        <v>0</v>
      </c>
      <c r="P21" s="29">
        <v>0</v>
      </c>
      <c r="Q21" s="29">
        <v>0</v>
      </c>
      <c r="R21" s="29">
        <v>0</v>
      </c>
      <c r="S21" s="29">
        <v>0</v>
      </c>
      <c r="T21" s="29">
        <v>0</v>
      </c>
      <c r="U21" s="29">
        <v>0</v>
      </c>
      <c r="V21" s="29">
        <v>0</v>
      </c>
      <c r="W21" s="29">
        <v>0</v>
      </c>
      <c r="X21" s="29">
        <v>0</v>
      </c>
      <c r="Y21" s="29">
        <v>0</v>
      </c>
      <c r="Z21" s="29">
        <v>0</v>
      </c>
      <c r="AA21" s="29">
        <v>0</v>
      </c>
      <c r="AB21" s="29">
        <v>0</v>
      </c>
      <c r="AC21" s="29">
        <v>0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0</v>
      </c>
      <c r="AJ21" s="29">
        <v>0</v>
      </c>
      <c r="AK21" s="29">
        <v>0</v>
      </c>
      <c r="AL21" s="29">
        <v>0</v>
      </c>
      <c r="AM21" s="29">
        <v>0</v>
      </c>
      <c r="AN21" s="3">
        <v>0</v>
      </c>
      <c r="AO21" s="29">
        <v>0</v>
      </c>
      <c r="AP21" s="29">
        <v>0</v>
      </c>
      <c r="AQ21" s="29">
        <v>0</v>
      </c>
      <c r="AR21" s="29">
        <v>0</v>
      </c>
      <c r="AS21" s="29">
        <v>0</v>
      </c>
      <c r="AT21" s="29">
        <v>0</v>
      </c>
      <c r="AU21" s="29">
        <v>0</v>
      </c>
      <c r="AV21" s="29">
        <v>0</v>
      </c>
      <c r="AW21" s="29">
        <v>0</v>
      </c>
      <c r="AX21" s="29">
        <v>0</v>
      </c>
      <c r="AY21" s="30">
        <v>0</v>
      </c>
      <c r="AZ21" s="30">
        <v>0</v>
      </c>
      <c r="BA21" s="30">
        <v>0</v>
      </c>
      <c r="BB21" s="30">
        <v>0</v>
      </c>
      <c r="BC21" s="30">
        <v>0</v>
      </c>
      <c r="BD21" s="30">
        <v>0</v>
      </c>
      <c r="BE21" s="30">
        <v>0</v>
      </c>
      <c r="BF21" s="30">
        <v>0</v>
      </c>
      <c r="BG21" s="30">
        <v>0</v>
      </c>
      <c r="BH21" s="30">
        <v>0</v>
      </c>
      <c r="BI21" s="30">
        <v>0</v>
      </c>
      <c r="BJ21" s="30">
        <v>0</v>
      </c>
      <c r="BK21" s="30"/>
      <c r="BL21" s="30"/>
      <c r="BM21" s="30">
        <v>0</v>
      </c>
      <c r="BN21" s="30"/>
      <c r="BO21" s="30"/>
      <c r="BP21" s="30"/>
      <c r="BQ21" s="30"/>
      <c r="BR21" s="30"/>
      <c r="BS21" s="30"/>
      <c r="BT21" s="30"/>
      <c r="BU21" s="30"/>
      <c r="BV21" s="30"/>
      <c r="BW21" s="30"/>
    </row>
    <row r="22" spans="1:75" x14ac:dyDescent="0.25">
      <c r="A22" s="112">
        <v>19</v>
      </c>
      <c r="B22" s="19" t="s">
        <v>369</v>
      </c>
      <c r="C22" s="116">
        <v>6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3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1">
        <v>0</v>
      </c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>
        <v>0</v>
      </c>
      <c r="BN22" s="21"/>
      <c r="BO22" s="21"/>
      <c r="BP22" s="21"/>
      <c r="BQ22" s="21"/>
      <c r="BR22" s="21"/>
      <c r="BS22" s="21"/>
      <c r="BT22" s="21"/>
      <c r="BU22" s="21"/>
      <c r="BV22" s="21"/>
      <c r="BW22" s="21"/>
    </row>
    <row r="23" spans="1:75" x14ac:dyDescent="0.25">
      <c r="A23" s="110">
        <v>20</v>
      </c>
      <c r="B23" s="18" t="s">
        <v>370</v>
      </c>
      <c r="C23" s="119">
        <v>6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>
        <v>-5215385</v>
      </c>
      <c r="P23" s="26">
        <v>-54190586</v>
      </c>
      <c r="Q23" s="26">
        <v>-80964549</v>
      </c>
      <c r="R23" s="26">
        <v>-120696934</v>
      </c>
      <c r="S23" s="26">
        <v>-311288386</v>
      </c>
      <c r="T23" s="26">
        <v>-396537482</v>
      </c>
      <c r="U23" s="26">
        <v>-1637748290</v>
      </c>
      <c r="V23" s="26">
        <v>-763929325</v>
      </c>
      <c r="W23" s="26">
        <v>616936750</v>
      </c>
      <c r="X23" s="26">
        <v>-200819028</v>
      </c>
      <c r="Y23" s="26">
        <v>-370421331</v>
      </c>
      <c r="Z23" s="26">
        <v>-2723615820</v>
      </c>
      <c r="AA23" s="26">
        <v>-3987117020</v>
      </c>
      <c r="AB23" s="26">
        <v>-1573147901</v>
      </c>
      <c r="AC23" s="26">
        <v>-1993641840</v>
      </c>
      <c r="AD23" s="26">
        <v>-3237798497</v>
      </c>
      <c r="AE23" s="26">
        <v>-2993991777</v>
      </c>
      <c r="AF23" s="26">
        <v>-2290568807</v>
      </c>
      <c r="AG23" s="26">
        <v>-2226816034</v>
      </c>
      <c r="AH23" s="26">
        <v>-2128320328</v>
      </c>
      <c r="AI23" s="26">
        <v>-1661553514</v>
      </c>
      <c r="AJ23" s="26">
        <v>-936838449</v>
      </c>
      <c r="AK23" s="26">
        <v>-744292718</v>
      </c>
      <c r="AL23" s="26">
        <v>-2741796490</v>
      </c>
      <c r="AM23" s="26">
        <v>-103172016</v>
      </c>
      <c r="AN23" s="26">
        <v>-2449116513</v>
      </c>
      <c r="AO23" s="26">
        <v>-1201465852</v>
      </c>
      <c r="AP23" s="26">
        <v>-79981688</v>
      </c>
      <c r="AQ23" s="26">
        <v>-570055628</v>
      </c>
      <c r="AR23" s="26">
        <v>-1216614710</v>
      </c>
      <c r="AS23" s="26">
        <v>-1620055205</v>
      </c>
      <c r="AT23" s="26">
        <v>-956690038</v>
      </c>
      <c r="AU23" s="26">
        <v>-933950607</v>
      </c>
      <c r="AV23" s="26">
        <v>-676218518</v>
      </c>
      <c r="AW23" s="26">
        <v>-428240201</v>
      </c>
      <c r="AX23" s="26">
        <v>-1170367442</v>
      </c>
      <c r="AY23" s="26">
        <v>-1253164728</v>
      </c>
      <c r="AZ23" s="26">
        <v>-1512604872</v>
      </c>
      <c r="BA23" s="26">
        <v>-1408925428</v>
      </c>
      <c r="BB23" s="26">
        <v>-567299860</v>
      </c>
      <c r="BC23" s="26">
        <v>-881102876</v>
      </c>
      <c r="BD23" s="26">
        <v>194418036</v>
      </c>
      <c r="BE23" s="26">
        <v>-1024551814</v>
      </c>
      <c r="BF23" s="26">
        <v>513342441</v>
      </c>
      <c r="BG23" s="26">
        <v>346075161</v>
      </c>
      <c r="BH23" s="26">
        <v>-680152853</v>
      </c>
      <c r="BI23" s="26">
        <v>-216894789</v>
      </c>
      <c r="BJ23" s="26">
        <v>-959475147</v>
      </c>
      <c r="BK23" s="26">
        <v>-456516965</v>
      </c>
      <c r="BL23" s="26">
        <v>-545598431</v>
      </c>
      <c r="BM23" s="26">
        <v>-937890122</v>
      </c>
      <c r="BN23" s="26">
        <v>254999480</v>
      </c>
      <c r="BO23" s="26">
        <v>-416203986</v>
      </c>
      <c r="BP23" s="26">
        <v>164236702</v>
      </c>
      <c r="BQ23" s="26"/>
      <c r="BR23" s="26"/>
      <c r="BS23" s="26"/>
      <c r="BT23" s="26"/>
      <c r="BU23" s="26"/>
      <c r="BV23" s="26"/>
      <c r="BW23" s="26"/>
    </row>
  </sheetData>
  <sheetProtection algorithmName="SHA-512" hashValue="aJgRFCpiPEjPWEfnA/HiR0akz0+7Jhln3HtBEPh/zsQLc6uwNt9se4egW5Xo/5DqpJA6BFxCwyJll+Itx3KA8Q==" saltValue="O9UaJPQMtybiA2sGTSuEgg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4FEA4-251C-4E21-A723-1A3B259A8884}">
  <sheetPr>
    <tabColor theme="9" tint="0.59999389629810485"/>
  </sheetPr>
  <dimension ref="A1:BW44"/>
  <sheetViews>
    <sheetView showGridLines="0" zoomScale="80" zoomScaleNormal="80" workbookViewId="0">
      <pane xSplit="3" ySplit="3" topLeftCell="BK4" activePane="bottomRight" state="frozen"/>
      <selection pane="topRight" activeCell="AZ4" sqref="AZ4"/>
      <selection pane="bottomLeft" activeCell="AZ4" sqref="AZ4"/>
      <selection pane="bottomRight" activeCell="BQ43" sqref="BQ43"/>
    </sheetView>
  </sheetViews>
  <sheetFormatPr defaultRowHeight="15" x14ac:dyDescent="0.25"/>
  <cols>
    <col min="1" max="1" width="8.42578125" hidden="1" customWidth="1"/>
    <col min="2" max="2" width="61.85546875" customWidth="1"/>
    <col min="3" max="3" width="15" hidden="1" customWidth="1"/>
    <col min="4" max="4" width="14.28515625" customWidth="1"/>
    <col min="5" max="14" width="15.28515625" customWidth="1"/>
    <col min="15" max="16" width="16.42578125" customWidth="1"/>
    <col min="17" max="19" width="17.7109375" customWidth="1"/>
    <col min="20" max="20" width="17" customWidth="1"/>
    <col min="21" max="21" width="16.42578125" customWidth="1"/>
    <col min="22" max="22" width="17.7109375" customWidth="1"/>
    <col min="23" max="23" width="18.140625" customWidth="1"/>
    <col min="24" max="26" width="17.7109375" customWidth="1"/>
    <col min="27" max="27" width="19.140625" customWidth="1"/>
    <col min="28" max="28" width="17.7109375" customWidth="1"/>
    <col min="29" max="29" width="17" customWidth="1"/>
    <col min="30" max="30" width="17.7109375" customWidth="1"/>
    <col min="31" max="31" width="19.140625" customWidth="1"/>
    <col min="32" max="36" width="17.7109375" customWidth="1"/>
    <col min="37" max="37" width="19.140625" customWidth="1"/>
    <col min="38" max="39" width="17.140625" customWidth="1"/>
    <col min="40" max="41" width="17.7109375" customWidth="1"/>
    <col min="42" max="42" width="18.140625" customWidth="1"/>
    <col min="43" max="43" width="15.85546875" customWidth="1"/>
    <col min="44" max="48" width="17.7109375" customWidth="1"/>
    <col min="49" max="49" width="17" customWidth="1"/>
    <col min="50" max="51" width="17.7109375" customWidth="1"/>
    <col min="52" max="54" width="17.7109375" bestFit="1" customWidth="1"/>
    <col min="55" max="55" width="17.140625" bestFit="1" customWidth="1"/>
    <col min="56" max="75" width="17.7109375" bestFit="1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32" t="s">
        <v>371</v>
      </c>
      <c r="B3" s="56" t="s">
        <v>372</v>
      </c>
      <c r="C3" s="58" t="s">
        <v>244</v>
      </c>
      <c r="D3" s="57" t="s">
        <v>245</v>
      </c>
      <c r="E3" s="57" t="s">
        <v>246</v>
      </c>
      <c r="F3" s="57" t="s">
        <v>247</v>
      </c>
      <c r="G3" s="57" t="s">
        <v>248</v>
      </c>
      <c r="H3" s="57" t="s">
        <v>249</v>
      </c>
      <c r="I3" s="57" t="s">
        <v>250</v>
      </c>
      <c r="J3" s="57" t="s">
        <v>251</v>
      </c>
      <c r="K3" s="57" t="s">
        <v>252</v>
      </c>
      <c r="L3" s="57" t="s">
        <v>253</v>
      </c>
      <c r="M3" s="57" t="s">
        <v>254</v>
      </c>
      <c r="N3" s="57" t="s">
        <v>255</v>
      </c>
      <c r="O3" s="57" t="s">
        <v>256</v>
      </c>
      <c r="P3" s="57" t="s">
        <v>257</v>
      </c>
      <c r="Q3" s="57" t="s">
        <v>258</v>
      </c>
      <c r="R3" s="57" t="s">
        <v>259</v>
      </c>
      <c r="S3" s="57" t="s">
        <v>260</v>
      </c>
      <c r="T3" s="57" t="s">
        <v>261</v>
      </c>
      <c r="U3" s="57" t="s">
        <v>262</v>
      </c>
      <c r="V3" s="57" t="s">
        <v>263</v>
      </c>
      <c r="W3" s="57" t="s">
        <v>264</v>
      </c>
      <c r="X3" s="57" t="s">
        <v>265</v>
      </c>
      <c r="Y3" s="57" t="s">
        <v>266</v>
      </c>
      <c r="Z3" s="57" t="s">
        <v>267</v>
      </c>
      <c r="AA3" s="57" t="s">
        <v>268</v>
      </c>
      <c r="AB3" s="57" t="s">
        <v>269</v>
      </c>
      <c r="AC3" s="57" t="s">
        <v>270</v>
      </c>
      <c r="AD3" s="57" t="s">
        <v>271</v>
      </c>
      <c r="AE3" s="57" t="s">
        <v>272</v>
      </c>
      <c r="AF3" s="57" t="s">
        <v>273</v>
      </c>
      <c r="AG3" s="57" t="s">
        <v>274</v>
      </c>
      <c r="AH3" s="57" t="s">
        <v>275</v>
      </c>
      <c r="AI3" s="57" t="s">
        <v>276</v>
      </c>
      <c r="AJ3" s="57" t="s">
        <v>277</v>
      </c>
      <c r="AK3" s="57" t="s">
        <v>278</v>
      </c>
      <c r="AL3" s="57" t="s">
        <v>279</v>
      </c>
      <c r="AM3" s="57" t="s">
        <v>280</v>
      </c>
      <c r="AN3" s="58" t="s">
        <v>281</v>
      </c>
      <c r="AO3" s="57" t="s">
        <v>282</v>
      </c>
      <c r="AP3" s="57" t="s">
        <v>283</v>
      </c>
      <c r="AQ3" s="58" t="s">
        <v>284</v>
      </c>
      <c r="AR3" s="58" t="s">
        <v>285</v>
      </c>
      <c r="AS3" s="58" t="s">
        <v>286</v>
      </c>
      <c r="AT3" s="58" t="s">
        <v>287</v>
      </c>
      <c r="AU3" s="57" t="s">
        <v>288</v>
      </c>
      <c r="AV3" s="57" t="s">
        <v>289</v>
      </c>
      <c r="AW3" s="57" t="s">
        <v>290</v>
      </c>
      <c r="AX3" s="57" t="s">
        <v>291</v>
      </c>
      <c r="AY3" s="58" t="s">
        <v>292</v>
      </c>
      <c r="AZ3" s="58" t="s">
        <v>293</v>
      </c>
      <c r="BA3" s="57" t="s">
        <v>294</v>
      </c>
      <c r="BB3" s="57" t="s">
        <v>295</v>
      </c>
      <c r="BC3" s="58" t="s">
        <v>296</v>
      </c>
      <c r="BD3" s="58" t="s">
        <v>297</v>
      </c>
      <c r="BE3" s="58" t="s">
        <v>298</v>
      </c>
      <c r="BF3" s="58" t="s">
        <v>299</v>
      </c>
      <c r="BG3" s="57" t="s">
        <v>300</v>
      </c>
      <c r="BH3" s="57" t="s">
        <v>301</v>
      </c>
      <c r="BI3" s="57" t="s">
        <v>302</v>
      </c>
      <c r="BJ3" s="57" t="s">
        <v>303</v>
      </c>
      <c r="BK3" s="57" t="s">
        <v>304</v>
      </c>
      <c r="BL3" s="57" t="s">
        <v>305</v>
      </c>
      <c r="BM3" s="57" t="s">
        <v>306</v>
      </c>
      <c r="BN3" s="57" t="s">
        <v>307</v>
      </c>
      <c r="BO3" s="57" t="s">
        <v>308</v>
      </c>
      <c r="BP3" s="57" t="s">
        <v>309</v>
      </c>
      <c r="BQ3" s="57" t="s">
        <v>310</v>
      </c>
      <c r="BR3" s="57" t="s">
        <v>311</v>
      </c>
      <c r="BS3" s="57" t="s">
        <v>312</v>
      </c>
      <c r="BT3" s="57" t="s">
        <v>313</v>
      </c>
      <c r="BU3" s="57" t="s">
        <v>314</v>
      </c>
      <c r="BV3" s="57" t="s">
        <v>315</v>
      </c>
      <c r="BW3" s="57" t="s">
        <v>316</v>
      </c>
    </row>
    <row r="4" spans="1:75" x14ac:dyDescent="0.25">
      <c r="A4" s="133">
        <v>1</v>
      </c>
      <c r="B4" s="134" t="s">
        <v>199</v>
      </c>
      <c r="C4" s="135">
        <v>6</v>
      </c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3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3"/>
      <c r="AZ4" s="163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>
        <f>'[1]Ket qua kinh doanh'!BP22</f>
        <v>0</v>
      </c>
      <c r="BQ4" s="162"/>
      <c r="BR4" s="162"/>
      <c r="BS4" s="162"/>
      <c r="BT4" s="162"/>
      <c r="BU4" s="162"/>
      <c r="BV4" s="162"/>
      <c r="BW4" s="162"/>
    </row>
    <row r="5" spans="1:75" x14ac:dyDescent="0.25">
      <c r="A5" s="133">
        <v>2</v>
      </c>
      <c r="B5" s="134" t="s">
        <v>373</v>
      </c>
      <c r="C5" s="97">
        <v>6</v>
      </c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>
        <v>-5215384</v>
      </c>
      <c r="P5" s="31">
        <v>-54190586</v>
      </c>
      <c r="Q5" s="31">
        <v>-80964549</v>
      </c>
      <c r="R5" s="31">
        <v>-120696934</v>
      </c>
      <c r="S5" s="31">
        <v>-311288386</v>
      </c>
      <c r="T5" s="31">
        <v>-396537482</v>
      </c>
      <c r="U5" s="31">
        <v>-1637748290</v>
      </c>
      <c r="V5" s="31">
        <v>-763929325</v>
      </c>
      <c r="W5" s="31">
        <v>616936750</v>
      </c>
      <c r="X5" s="31">
        <v>-200819028</v>
      </c>
      <c r="Y5" s="31">
        <v>-370421331</v>
      </c>
      <c r="Z5" s="31">
        <v>-2723615820</v>
      </c>
      <c r="AA5" s="31">
        <v>-3987117020</v>
      </c>
      <c r="AB5" s="31">
        <v>-1573147901</v>
      </c>
      <c r="AC5" s="31">
        <v>-1993641840</v>
      </c>
      <c r="AD5" s="31">
        <v>-3237798497</v>
      </c>
      <c r="AE5" s="31">
        <v>-2993991777</v>
      </c>
      <c r="AF5" s="31">
        <v>-2290568807</v>
      </c>
      <c r="AG5" s="31">
        <v>-2226816034</v>
      </c>
      <c r="AH5" s="31">
        <v>-2128320328</v>
      </c>
      <c r="AI5" s="31">
        <v>-1661553514</v>
      </c>
      <c r="AJ5" s="31">
        <v>-936838449</v>
      </c>
      <c r="AK5" s="31">
        <v>-744292718</v>
      </c>
      <c r="AL5" s="31">
        <v>-2741796490</v>
      </c>
      <c r="AM5" s="31">
        <v>-103172016</v>
      </c>
      <c r="AN5" s="31">
        <v>-2449116513</v>
      </c>
      <c r="AO5" s="31">
        <v>-1201465852</v>
      </c>
      <c r="AP5" s="31">
        <v>-79981688</v>
      </c>
      <c r="AQ5" s="31">
        <v>-570055628</v>
      </c>
      <c r="AR5" s="31">
        <v>-1216614710</v>
      </c>
      <c r="AS5" s="31">
        <v>-1620055205</v>
      </c>
      <c r="AT5" s="31">
        <v>-956690038</v>
      </c>
      <c r="AU5" s="31">
        <v>-933950607</v>
      </c>
      <c r="AV5" s="31">
        <v>-676218518</v>
      </c>
      <c r="AW5" s="31">
        <v>-428240201</v>
      </c>
      <c r="AX5" s="31">
        <v>-1170367442</v>
      </c>
      <c r="AY5" s="32">
        <v>-1253164728</v>
      </c>
      <c r="AZ5" s="32">
        <v>-1512604872</v>
      </c>
      <c r="BA5" s="32">
        <v>-1408925428</v>
      </c>
      <c r="BB5" s="32">
        <v>-567299860</v>
      </c>
      <c r="BC5" s="32">
        <v>-881102876</v>
      </c>
      <c r="BD5" s="32">
        <v>194418036</v>
      </c>
      <c r="BE5" s="32">
        <v>-1024551814</v>
      </c>
      <c r="BF5" s="32">
        <v>513342441</v>
      </c>
      <c r="BG5" s="32">
        <v>346075161</v>
      </c>
      <c r="BH5" s="32">
        <v>-680152853</v>
      </c>
      <c r="BI5" s="32">
        <v>-216894789</v>
      </c>
      <c r="BJ5" s="32">
        <v>-959475147</v>
      </c>
      <c r="BK5" s="32">
        <v>-456516965</v>
      </c>
      <c r="BL5" s="32">
        <v>-545598431</v>
      </c>
      <c r="BM5" s="32">
        <v>-937890122</v>
      </c>
      <c r="BN5" s="32">
        <v>254999480</v>
      </c>
      <c r="BO5" s="32">
        <v>-416203986</v>
      </c>
      <c r="BP5" s="32">
        <v>164236702</v>
      </c>
      <c r="BQ5" s="32"/>
      <c r="BR5" s="32"/>
      <c r="BS5" s="32"/>
      <c r="BT5" s="32"/>
      <c r="BU5" s="32"/>
      <c r="BV5" s="32"/>
      <c r="BW5" s="32"/>
    </row>
    <row r="6" spans="1:75" x14ac:dyDescent="0.25">
      <c r="A6" s="136">
        <v>3</v>
      </c>
      <c r="B6" s="137" t="s">
        <v>374</v>
      </c>
      <c r="C6" s="120">
        <v>6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>
        <v>0</v>
      </c>
      <c r="P6" s="33">
        <v>0</v>
      </c>
      <c r="Q6" s="33">
        <v>0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</row>
    <row r="7" spans="1:75" x14ac:dyDescent="0.25">
      <c r="A7" s="138">
        <v>4</v>
      </c>
      <c r="B7" s="139" t="s">
        <v>375</v>
      </c>
      <c r="C7" s="140">
        <v>6</v>
      </c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>
        <v>0</v>
      </c>
      <c r="P7" s="164">
        <v>0</v>
      </c>
      <c r="Q7" s="164">
        <v>0</v>
      </c>
      <c r="R7" s="164">
        <v>0</v>
      </c>
      <c r="S7" s="164">
        <v>0</v>
      </c>
      <c r="T7" s="164">
        <v>0</v>
      </c>
      <c r="U7" s="164">
        <v>0</v>
      </c>
      <c r="V7" s="164">
        <v>0</v>
      </c>
      <c r="W7" s="164">
        <v>0</v>
      </c>
      <c r="X7" s="164">
        <v>52155300</v>
      </c>
      <c r="Y7" s="164">
        <v>58080422</v>
      </c>
      <c r="Z7" s="164">
        <v>60580422</v>
      </c>
      <c r="AA7" s="164">
        <v>101673006</v>
      </c>
      <c r="AB7" s="164">
        <v>177925251</v>
      </c>
      <c r="AC7" s="164">
        <v>196515261</v>
      </c>
      <c r="AD7" s="164">
        <v>218567156</v>
      </c>
      <c r="AE7" s="164">
        <v>259329342</v>
      </c>
      <c r="AF7" s="164">
        <v>277925914</v>
      </c>
      <c r="AG7" s="164">
        <v>262664806</v>
      </c>
      <c r="AH7" s="164">
        <v>267248139</v>
      </c>
      <c r="AI7" s="164">
        <v>370979154</v>
      </c>
      <c r="AJ7" s="164">
        <v>382153962</v>
      </c>
      <c r="AK7" s="164">
        <v>377069973</v>
      </c>
      <c r="AL7" s="164">
        <v>375978304</v>
      </c>
      <c r="AM7" s="164">
        <v>375978306</v>
      </c>
      <c r="AN7" s="164">
        <v>493689862</v>
      </c>
      <c r="AO7" s="164">
        <v>498644279</v>
      </c>
      <c r="AP7" s="164">
        <v>498644280</v>
      </c>
      <c r="AQ7" s="164">
        <v>547375102</v>
      </c>
      <c r="AR7" s="164">
        <v>558122765</v>
      </c>
      <c r="AS7" s="165">
        <v>558122768</v>
      </c>
      <c r="AT7" s="165">
        <v>558914014</v>
      </c>
      <c r="AU7" s="165">
        <v>565589015</v>
      </c>
      <c r="AV7" s="165">
        <v>565589018</v>
      </c>
      <c r="AW7" s="165">
        <v>573530481</v>
      </c>
      <c r="AX7" s="165">
        <v>573530482</v>
      </c>
      <c r="AY7" s="165">
        <v>573530481</v>
      </c>
      <c r="AZ7" s="165">
        <v>588095967</v>
      </c>
      <c r="BA7" s="165">
        <v>586238192</v>
      </c>
      <c r="BB7" s="165">
        <v>586238189</v>
      </c>
      <c r="BC7" s="165">
        <v>594363189</v>
      </c>
      <c r="BD7" s="165">
        <v>594363193</v>
      </c>
      <c r="BE7" s="165">
        <v>582677982</v>
      </c>
      <c r="BF7" s="165">
        <v>582677977</v>
      </c>
      <c r="BG7" s="165">
        <v>624238785</v>
      </c>
      <c r="BH7" s="165">
        <v>624238779</v>
      </c>
      <c r="BI7" s="165">
        <v>624238784</v>
      </c>
      <c r="BJ7" s="165">
        <v>624238778</v>
      </c>
      <c r="BK7" s="165">
        <v>624238782</v>
      </c>
      <c r="BL7" s="165">
        <v>-134124012</v>
      </c>
      <c r="BM7" s="165">
        <v>361625637</v>
      </c>
      <c r="BN7" s="165">
        <v>359061994</v>
      </c>
      <c r="BO7" s="165">
        <v>362582828</v>
      </c>
      <c r="BP7" s="165">
        <v>362582836</v>
      </c>
      <c r="BQ7" s="165"/>
      <c r="BR7" s="165"/>
      <c r="BS7" s="165"/>
      <c r="BT7" s="165"/>
      <c r="BU7" s="165"/>
      <c r="BV7" s="165"/>
      <c r="BW7" s="165"/>
    </row>
    <row r="8" spans="1:75" x14ac:dyDescent="0.25">
      <c r="A8" s="138">
        <v>5</v>
      </c>
      <c r="B8" s="139" t="s">
        <v>376</v>
      </c>
      <c r="C8" s="140">
        <v>6</v>
      </c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>
        <v>0</v>
      </c>
      <c r="P8" s="164">
        <v>0</v>
      </c>
      <c r="Q8" s="164">
        <v>0</v>
      </c>
      <c r="R8" s="164">
        <v>0</v>
      </c>
      <c r="S8" s="164">
        <v>0</v>
      </c>
      <c r="T8" s="164">
        <v>0</v>
      </c>
      <c r="U8" s="164">
        <v>0</v>
      </c>
      <c r="V8" s="164">
        <v>0</v>
      </c>
      <c r="W8" s="164">
        <v>0</v>
      </c>
      <c r="X8" s="164"/>
      <c r="Y8" s="164"/>
      <c r="Z8" s="164"/>
      <c r="AA8" s="164"/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4"/>
      <c r="AS8" s="164"/>
      <c r="AT8" s="164"/>
      <c r="AU8" s="164"/>
      <c r="AV8" s="164"/>
      <c r="AW8" s="164"/>
      <c r="AX8" s="16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</row>
    <row r="9" spans="1:75" x14ac:dyDescent="0.25">
      <c r="A9" s="141">
        <v>6</v>
      </c>
      <c r="B9" s="142" t="s">
        <v>377</v>
      </c>
      <c r="C9" s="143">
        <v>6</v>
      </c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>
        <v>0</v>
      </c>
      <c r="P9" s="166">
        <v>0</v>
      </c>
      <c r="Q9" s="166">
        <v>0</v>
      </c>
      <c r="R9" s="166">
        <v>0</v>
      </c>
      <c r="S9" s="166">
        <v>0</v>
      </c>
      <c r="T9" s="166">
        <v>0</v>
      </c>
      <c r="U9" s="166">
        <v>0</v>
      </c>
      <c r="V9" s="166">
        <v>0</v>
      </c>
      <c r="W9" s="166">
        <v>0</v>
      </c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6"/>
      <c r="AT9" s="166"/>
      <c r="AU9" s="166"/>
      <c r="AV9" s="166"/>
      <c r="AW9" s="166"/>
      <c r="AX9" s="166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</row>
    <row r="10" spans="1:75" x14ac:dyDescent="0.25">
      <c r="A10" s="138">
        <v>7</v>
      </c>
      <c r="B10" s="139" t="s">
        <v>378</v>
      </c>
      <c r="C10" s="140">
        <v>6</v>
      </c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>
        <v>0</v>
      </c>
      <c r="P10" s="164">
        <v>-193525</v>
      </c>
      <c r="Q10" s="164">
        <v>-41776</v>
      </c>
      <c r="R10" s="164">
        <v>-63253</v>
      </c>
      <c r="S10" s="164">
        <v>-253599</v>
      </c>
      <c r="T10" s="164">
        <v>-146252</v>
      </c>
      <c r="U10" s="164">
        <v>-130471</v>
      </c>
      <c r="V10" s="164">
        <v>-87564</v>
      </c>
      <c r="W10" s="164">
        <v>-97977</v>
      </c>
      <c r="X10" s="164">
        <v>-59406</v>
      </c>
      <c r="Y10" s="164">
        <v>-19128</v>
      </c>
      <c r="Z10" s="164">
        <v>-237530</v>
      </c>
      <c r="AA10" s="164">
        <v>-855456</v>
      </c>
      <c r="AB10" s="164">
        <v>-1538411</v>
      </c>
      <c r="AC10" s="164">
        <v>-490186</v>
      </c>
      <c r="AD10" s="164">
        <v>-416617</v>
      </c>
      <c r="AE10" s="164">
        <v>-153598</v>
      </c>
      <c r="AF10" s="164">
        <v>-175725</v>
      </c>
      <c r="AG10" s="164">
        <v>-42514</v>
      </c>
      <c r="AH10" s="164">
        <v>-78830</v>
      </c>
      <c r="AI10" s="164">
        <v>-214369</v>
      </c>
      <c r="AJ10" s="164">
        <v>-78036</v>
      </c>
      <c r="AK10" s="164">
        <v>-43303</v>
      </c>
      <c r="AL10" s="164">
        <v>-15370732</v>
      </c>
      <c r="AM10" s="164">
        <v>-9385</v>
      </c>
      <c r="AN10" s="164">
        <v>-12211</v>
      </c>
      <c r="AO10" s="164">
        <v>-25165</v>
      </c>
      <c r="AP10" s="164">
        <v>-19778</v>
      </c>
      <c r="AQ10" s="164">
        <v>-32521</v>
      </c>
      <c r="AR10" s="164">
        <v>-24020</v>
      </c>
      <c r="AS10" s="164">
        <v>-16492</v>
      </c>
      <c r="AT10" s="165">
        <v>-11977</v>
      </c>
      <c r="AU10" s="165">
        <v>-14708</v>
      </c>
      <c r="AV10" s="165">
        <v>-4723</v>
      </c>
      <c r="AW10" s="164">
        <v>-16840</v>
      </c>
      <c r="AX10" s="164">
        <v>-9746260</v>
      </c>
      <c r="AY10" s="164">
        <v>-9087</v>
      </c>
      <c r="AZ10" s="164">
        <v>-15622</v>
      </c>
      <c r="BA10" s="164">
        <v>-11487</v>
      </c>
      <c r="BB10" s="164">
        <v>-8067</v>
      </c>
      <c r="BC10" s="164">
        <v>-20954</v>
      </c>
      <c r="BD10" s="164">
        <v>-11723</v>
      </c>
      <c r="BE10" s="164">
        <v>-8134</v>
      </c>
      <c r="BF10" s="164">
        <v>-14534</v>
      </c>
      <c r="BG10" s="164">
        <v>-10653</v>
      </c>
      <c r="BH10" s="164">
        <v>-24933</v>
      </c>
      <c r="BI10" s="164">
        <v>-46896</v>
      </c>
      <c r="BJ10" s="164">
        <v>-22423098</v>
      </c>
      <c r="BK10" s="164">
        <v>-7820152</v>
      </c>
      <c r="BL10" s="164">
        <v>-10853</v>
      </c>
      <c r="BM10" s="164">
        <v>-7889</v>
      </c>
      <c r="BN10" s="164">
        <v>-4769</v>
      </c>
      <c r="BO10" s="164">
        <v>-40928</v>
      </c>
      <c r="BP10" s="164">
        <v>-32034</v>
      </c>
      <c r="BQ10" s="164"/>
      <c r="BR10" s="164"/>
      <c r="BS10" s="164"/>
      <c r="BT10" s="164"/>
      <c r="BU10" s="164"/>
      <c r="BV10" s="164"/>
      <c r="BW10" s="164"/>
    </row>
    <row r="11" spans="1:75" x14ac:dyDescent="0.25">
      <c r="A11" s="138">
        <v>8</v>
      </c>
      <c r="B11" s="139" t="s">
        <v>379</v>
      </c>
      <c r="C11" s="140">
        <v>6</v>
      </c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>
        <v>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67">
        <v>0</v>
      </c>
      <c r="AC11" s="167">
        <v>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  <c r="AM11" s="167">
        <v>0</v>
      </c>
      <c r="AN11" s="167">
        <v>0</v>
      </c>
      <c r="AO11" s="167">
        <v>0</v>
      </c>
      <c r="AP11" s="168">
        <v>0</v>
      </c>
      <c r="AQ11" s="167">
        <v>0</v>
      </c>
      <c r="AR11" s="167">
        <v>0</v>
      </c>
      <c r="AS11" s="167">
        <v>0</v>
      </c>
      <c r="AT11" s="167">
        <v>0</v>
      </c>
      <c r="AU11" s="167">
        <v>0</v>
      </c>
      <c r="AV11" s="167">
        <v>0</v>
      </c>
      <c r="AW11" s="167">
        <v>0</v>
      </c>
      <c r="AX11" s="167">
        <v>0</v>
      </c>
      <c r="AY11" s="167">
        <v>0</v>
      </c>
      <c r="AZ11" s="167">
        <v>0</v>
      </c>
      <c r="BA11" s="167">
        <v>0</v>
      </c>
      <c r="BB11" s="167">
        <v>0</v>
      </c>
      <c r="BC11" s="167">
        <v>0</v>
      </c>
      <c r="BD11" s="167">
        <v>0</v>
      </c>
      <c r="BE11" s="167">
        <v>0</v>
      </c>
      <c r="BF11" s="167">
        <v>0</v>
      </c>
      <c r="BG11" s="167">
        <v>0</v>
      </c>
      <c r="BH11" s="167">
        <v>0</v>
      </c>
      <c r="BI11" s="167">
        <v>0</v>
      </c>
      <c r="BJ11" s="167">
        <v>0</v>
      </c>
      <c r="BK11" s="167">
        <v>0</v>
      </c>
      <c r="BL11" s="167">
        <v>0</v>
      </c>
      <c r="BM11" s="167"/>
      <c r="BN11" s="167"/>
      <c r="BO11" s="167"/>
      <c r="BP11" s="167">
        <v>0</v>
      </c>
      <c r="BQ11" s="167"/>
      <c r="BR11" s="167"/>
      <c r="BS11" s="167"/>
      <c r="BT11" s="167"/>
      <c r="BU11" s="167"/>
      <c r="BV11" s="167"/>
      <c r="BW11" s="167"/>
    </row>
    <row r="12" spans="1:75" x14ac:dyDescent="0.25">
      <c r="A12" s="138">
        <v>9</v>
      </c>
      <c r="B12" s="139" t="s">
        <v>380</v>
      </c>
      <c r="C12" s="121">
        <v>6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-16391</v>
      </c>
      <c r="Z12" s="36">
        <v>0</v>
      </c>
      <c r="AA12" s="36">
        <v>-3419953375</v>
      </c>
      <c r="AB12" s="36">
        <v>0</v>
      </c>
      <c r="AC12" s="36">
        <v>0</v>
      </c>
      <c r="AD12" s="36">
        <v>-8284629</v>
      </c>
      <c r="AE12" s="36">
        <v>48269</v>
      </c>
      <c r="AF12" s="36">
        <v>58599311</v>
      </c>
      <c r="AG12" s="36">
        <v>-31790302</v>
      </c>
      <c r="AH12" s="36">
        <v>-27509143</v>
      </c>
      <c r="AI12" s="36">
        <v>9451135</v>
      </c>
      <c r="AJ12" s="36">
        <v>-8601062</v>
      </c>
      <c r="AK12" s="36">
        <v>-12875003</v>
      </c>
      <c r="AL12" s="36">
        <v>-11895000</v>
      </c>
      <c r="AM12" s="36">
        <v>-24546618</v>
      </c>
      <c r="AN12" s="36">
        <v>-25035000</v>
      </c>
      <c r="AO12" s="36">
        <v>-4500869</v>
      </c>
      <c r="AP12" s="36">
        <v>-15342970</v>
      </c>
      <c r="AQ12" s="36">
        <v>-1400000</v>
      </c>
      <c r="AR12" s="36">
        <v>583594</v>
      </c>
      <c r="AS12" s="36">
        <v>2638761</v>
      </c>
      <c r="AT12" s="36">
        <v>-1603193</v>
      </c>
      <c r="AU12" s="36">
        <v>2915785</v>
      </c>
      <c r="AV12" s="36">
        <v>1137535</v>
      </c>
      <c r="AW12" s="36">
        <v>-2150926</v>
      </c>
      <c r="AX12" s="36">
        <v>2544907</v>
      </c>
      <c r="AY12" s="34">
        <v>-153600711</v>
      </c>
      <c r="AZ12" s="34">
        <v>5872690</v>
      </c>
      <c r="BA12" s="34">
        <v>-3800000</v>
      </c>
      <c r="BB12" s="34">
        <v>3397640</v>
      </c>
      <c r="BC12" s="34">
        <v>13981280</v>
      </c>
      <c r="BD12" s="34">
        <v>15477736</v>
      </c>
      <c r="BE12" s="34">
        <v>18540080</v>
      </c>
      <c r="BF12" s="34">
        <v>-93607732</v>
      </c>
      <c r="BG12" s="34">
        <v>15000048</v>
      </c>
      <c r="BH12" s="34">
        <v>10984820</v>
      </c>
      <c r="BI12" s="34">
        <v>24070392</v>
      </c>
      <c r="BJ12" s="34">
        <v>6071410</v>
      </c>
      <c r="BK12" s="34">
        <v>35991776</v>
      </c>
      <c r="BL12" s="34">
        <v>-128152205</v>
      </c>
      <c r="BM12" s="34">
        <v>-37583728</v>
      </c>
      <c r="BN12" s="34">
        <v>9104140</v>
      </c>
      <c r="BO12" s="34">
        <v>-355839097</v>
      </c>
      <c r="BP12" s="34">
        <v>-6547431</v>
      </c>
      <c r="BQ12" s="34"/>
      <c r="BR12" s="34"/>
      <c r="BS12" s="34"/>
      <c r="BT12" s="34"/>
      <c r="BU12" s="34"/>
      <c r="BV12" s="34"/>
      <c r="BW12" s="34"/>
    </row>
    <row r="13" spans="1:75" x14ac:dyDescent="0.25">
      <c r="A13" s="144">
        <v>10</v>
      </c>
      <c r="B13" s="145" t="s">
        <v>381</v>
      </c>
      <c r="C13" s="122">
        <v>6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>
        <v>-5215384</v>
      </c>
      <c r="P13" s="37">
        <v>-54384111</v>
      </c>
      <c r="Q13" s="37">
        <v>-81006325</v>
      </c>
      <c r="R13" s="37">
        <v>-120760187</v>
      </c>
      <c r="S13" s="37">
        <v>-311541985</v>
      </c>
      <c r="T13" s="37">
        <v>-396683734</v>
      </c>
      <c r="U13" s="37">
        <v>-1637878761</v>
      </c>
      <c r="V13" s="37">
        <v>-764016889</v>
      </c>
      <c r="W13" s="37">
        <v>616838773</v>
      </c>
      <c r="X13" s="37">
        <v>-148723134</v>
      </c>
      <c r="Y13" s="37">
        <v>-312376428</v>
      </c>
      <c r="Z13" s="37">
        <v>-2663272928</v>
      </c>
      <c r="AA13" s="37">
        <v>-7306252845</v>
      </c>
      <c r="AB13" s="37">
        <v>-1396761061</v>
      </c>
      <c r="AC13" s="37">
        <v>-1797616765</v>
      </c>
      <c r="AD13" s="37">
        <v>-3027932587</v>
      </c>
      <c r="AE13" s="37">
        <v>-2734767764</v>
      </c>
      <c r="AF13" s="37">
        <v>-1954219307</v>
      </c>
      <c r="AG13" s="37">
        <v>-1995984044</v>
      </c>
      <c r="AH13" s="37">
        <v>-1888660162</v>
      </c>
      <c r="AI13" s="37">
        <v>-1281337594</v>
      </c>
      <c r="AJ13" s="37">
        <v>-563363585</v>
      </c>
      <c r="AK13" s="37">
        <v>-380141051</v>
      </c>
      <c r="AL13" s="37">
        <v>-2393083918</v>
      </c>
      <c r="AM13" s="37">
        <v>248250287</v>
      </c>
      <c r="AN13" s="37">
        <v>-1980473862</v>
      </c>
      <c r="AO13" s="37">
        <v>-707347607</v>
      </c>
      <c r="AP13" s="37">
        <v>403299844</v>
      </c>
      <c r="AQ13" s="37">
        <v>-24113047</v>
      </c>
      <c r="AR13" s="37">
        <v>-657932371</v>
      </c>
      <c r="AS13" s="37">
        <v>-1059310168</v>
      </c>
      <c r="AT13" s="37">
        <v>-399391194</v>
      </c>
      <c r="AU13" s="37">
        <v>-365460515</v>
      </c>
      <c r="AV13" s="37">
        <v>-109496688</v>
      </c>
      <c r="AW13" s="37">
        <v>143122514</v>
      </c>
      <c r="AX13" s="37">
        <v>-604038313</v>
      </c>
      <c r="AY13" s="37">
        <v>-833244045</v>
      </c>
      <c r="AZ13" s="37">
        <v>-918651837</v>
      </c>
      <c r="BA13" s="37">
        <v>-826498723</v>
      </c>
      <c r="BB13" s="37">
        <v>22327902</v>
      </c>
      <c r="BC13" s="37">
        <v>-272779361</v>
      </c>
      <c r="BD13" s="37">
        <v>804247242</v>
      </c>
      <c r="BE13" s="37">
        <v>-423341886</v>
      </c>
      <c r="BF13" s="37">
        <v>1002398152</v>
      </c>
      <c r="BG13" s="37">
        <v>985303341</v>
      </c>
      <c r="BH13" s="37">
        <v>-44954187</v>
      </c>
      <c r="BI13" s="37">
        <v>431367491</v>
      </c>
      <c r="BJ13" s="37">
        <v>-351588057</v>
      </c>
      <c r="BK13" s="37">
        <v>195893441</v>
      </c>
      <c r="BL13" s="37">
        <v>-807885501</v>
      </c>
      <c r="BM13" s="37">
        <f>SUM(BM5:BM12)</f>
        <v>-613856102</v>
      </c>
      <c r="BN13" s="37">
        <f>SUM(BN5:BN12)</f>
        <v>623160845</v>
      </c>
      <c r="BO13" s="37">
        <f>SUM(BO5:BO12)</f>
        <v>-409501183</v>
      </c>
      <c r="BP13" s="37">
        <v>520240073</v>
      </c>
      <c r="BQ13" s="37"/>
      <c r="BR13" s="37"/>
      <c r="BS13" s="37"/>
      <c r="BT13" s="37"/>
      <c r="BU13" s="37"/>
      <c r="BV13" s="37"/>
      <c r="BW13" s="37"/>
    </row>
    <row r="14" spans="1:75" x14ac:dyDescent="0.25">
      <c r="A14" s="146">
        <v>11</v>
      </c>
      <c r="B14" s="147" t="s">
        <v>382</v>
      </c>
      <c r="C14" s="140">
        <v>6</v>
      </c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>
        <v>0</v>
      </c>
      <c r="P14" s="164">
        <v>0</v>
      </c>
      <c r="Q14" s="164">
        <v>0</v>
      </c>
      <c r="R14" s="164">
        <v>0</v>
      </c>
      <c r="S14" s="164">
        <v>-936494460</v>
      </c>
      <c r="T14" s="164">
        <v>-216832140</v>
      </c>
      <c r="U14" s="164">
        <v>-876879000</v>
      </c>
      <c r="V14" s="164">
        <v>-1447157340</v>
      </c>
      <c r="W14" s="164">
        <v>-186409080</v>
      </c>
      <c r="X14" s="164">
        <v>154670040</v>
      </c>
      <c r="Y14" s="164">
        <v>547404157</v>
      </c>
      <c r="Z14" s="164">
        <v>-2023931286</v>
      </c>
      <c r="AA14" s="164">
        <v>-716640978</v>
      </c>
      <c r="AB14" s="164">
        <v>34714584</v>
      </c>
      <c r="AC14" s="164">
        <v>-137422997</v>
      </c>
      <c r="AD14" s="164">
        <v>891608886</v>
      </c>
      <c r="AE14" s="164">
        <v>-1562095546</v>
      </c>
      <c r="AF14" s="164">
        <v>-45596440</v>
      </c>
      <c r="AG14" s="164">
        <v>1157121100</v>
      </c>
      <c r="AH14" s="164">
        <v>-709658370</v>
      </c>
      <c r="AI14" s="164">
        <v>284379020</v>
      </c>
      <c r="AJ14" s="164">
        <v>-74874240</v>
      </c>
      <c r="AK14" s="164">
        <v>2045952340</v>
      </c>
      <c r="AL14" s="164">
        <v>2756301640</v>
      </c>
      <c r="AM14" s="164">
        <v>997786570</v>
      </c>
      <c r="AN14" s="164">
        <v>-7151282644</v>
      </c>
      <c r="AO14" s="164">
        <v>1221688602</v>
      </c>
      <c r="AP14" s="164">
        <v>10005464002</v>
      </c>
      <c r="AQ14" s="164">
        <v>-853120010</v>
      </c>
      <c r="AR14" s="164">
        <v>849530360</v>
      </c>
      <c r="AS14" s="164">
        <v>-2659005090</v>
      </c>
      <c r="AT14" s="164">
        <v>2913052573</v>
      </c>
      <c r="AU14" s="164">
        <v>-1810837511</v>
      </c>
      <c r="AV14" s="164">
        <v>-1901721240</v>
      </c>
      <c r="AW14" s="164">
        <v>1724728584</v>
      </c>
      <c r="AX14" s="164">
        <v>-1210643649</v>
      </c>
      <c r="AY14" s="164">
        <v>2278736302</v>
      </c>
      <c r="AZ14" s="164">
        <v>1232357781</v>
      </c>
      <c r="BA14" s="164">
        <v>-2573125668</v>
      </c>
      <c r="BB14" s="164">
        <v>1245433091</v>
      </c>
      <c r="BC14" s="164">
        <v>1409287658</v>
      </c>
      <c r="BD14" s="164">
        <v>-1790253649</v>
      </c>
      <c r="BE14" s="164">
        <v>696694701</v>
      </c>
      <c r="BF14" s="164">
        <v>1750256634</v>
      </c>
      <c r="BG14" s="164">
        <v>-1500611483</v>
      </c>
      <c r="BH14" s="164">
        <v>643845457</v>
      </c>
      <c r="BI14" s="164">
        <v>-849114562</v>
      </c>
      <c r="BJ14" s="164">
        <v>-404564957</v>
      </c>
      <c r="BK14" s="164">
        <v>2697224098</v>
      </c>
      <c r="BL14" s="164">
        <v>-4227410642</v>
      </c>
      <c r="BM14" s="164">
        <v>789668932</v>
      </c>
      <c r="BN14" s="164">
        <v>251341484</v>
      </c>
      <c r="BO14" s="164">
        <v>-582549684</v>
      </c>
      <c r="BP14" s="164">
        <v>-328634264</v>
      </c>
      <c r="BQ14" s="164"/>
      <c r="BR14" s="164"/>
      <c r="BS14" s="164"/>
      <c r="BT14" s="164"/>
      <c r="BU14" s="164"/>
      <c r="BV14" s="164"/>
      <c r="BW14" s="164"/>
    </row>
    <row r="15" spans="1:75" x14ac:dyDescent="0.25">
      <c r="A15" s="148">
        <v>12</v>
      </c>
      <c r="B15" s="149" t="s">
        <v>383</v>
      </c>
      <c r="C15" s="140">
        <v>6</v>
      </c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>
        <v>-5192308</v>
      </c>
      <c r="P15" s="164">
        <v>-255335077</v>
      </c>
      <c r="Q15" s="164">
        <v>-1337670042</v>
      </c>
      <c r="R15" s="164">
        <v>-1322397352</v>
      </c>
      <c r="S15" s="164">
        <v>-102899146</v>
      </c>
      <c r="T15" s="164">
        <v>-314088879</v>
      </c>
      <c r="U15" s="164">
        <v>-438803712</v>
      </c>
      <c r="V15" s="164">
        <v>-1683154342</v>
      </c>
      <c r="W15" s="164">
        <v>-2388135856</v>
      </c>
      <c r="X15" s="164">
        <v>-2426926236</v>
      </c>
      <c r="Y15" s="164">
        <v>-977626319</v>
      </c>
      <c r="Z15" s="164">
        <v>-2488958000</v>
      </c>
      <c r="AA15" s="164">
        <v>-310491920</v>
      </c>
      <c r="AB15" s="164">
        <v>758820564</v>
      </c>
      <c r="AC15" s="164">
        <v>149319866</v>
      </c>
      <c r="AD15" s="164">
        <v>-1888297057</v>
      </c>
      <c r="AE15" s="164">
        <v>2249854861</v>
      </c>
      <c r="AF15" s="164">
        <v>-1376359739</v>
      </c>
      <c r="AG15" s="164">
        <v>3336388398</v>
      </c>
      <c r="AH15" s="164">
        <v>-1134412821</v>
      </c>
      <c r="AI15" s="164">
        <v>-600634634</v>
      </c>
      <c r="AJ15" s="164">
        <v>-6892657210</v>
      </c>
      <c r="AK15" s="164">
        <v>-11935662513</v>
      </c>
      <c r="AL15" s="164">
        <v>4160325452</v>
      </c>
      <c r="AM15" s="164">
        <v>2640337282</v>
      </c>
      <c r="AN15" s="164">
        <v>9292318022</v>
      </c>
      <c r="AO15" s="164">
        <v>-1132446392</v>
      </c>
      <c r="AP15" s="164">
        <v>1050247452</v>
      </c>
      <c r="AQ15" s="164">
        <v>-494733292</v>
      </c>
      <c r="AR15" s="164">
        <v>1689323547</v>
      </c>
      <c r="AS15" s="164">
        <v>2219684273</v>
      </c>
      <c r="AT15" s="164">
        <v>1552321986</v>
      </c>
      <c r="AU15" s="164">
        <v>-1118873801</v>
      </c>
      <c r="AV15" s="164">
        <v>60202391</v>
      </c>
      <c r="AW15" s="164">
        <v>1084505924</v>
      </c>
      <c r="AX15" s="164">
        <v>-291621187</v>
      </c>
      <c r="AY15" s="164">
        <v>2722044826</v>
      </c>
      <c r="AZ15" s="164">
        <v>-2271717672</v>
      </c>
      <c r="BA15" s="164">
        <v>-5094570</v>
      </c>
      <c r="BB15" s="164">
        <v>2622797493</v>
      </c>
      <c r="BC15" s="164">
        <v>60560892</v>
      </c>
      <c r="BD15" s="164">
        <v>-747760377</v>
      </c>
      <c r="BE15" s="164">
        <v>-1118496503</v>
      </c>
      <c r="BF15" s="164">
        <v>-7062968809</v>
      </c>
      <c r="BG15" s="164">
        <v>-520425049</v>
      </c>
      <c r="BH15" s="164">
        <v>7058959391</v>
      </c>
      <c r="BI15" s="164">
        <v>5312279470</v>
      </c>
      <c r="BJ15" s="164">
        <v>-1484949278</v>
      </c>
      <c r="BK15" s="164">
        <v>108496255</v>
      </c>
      <c r="BL15" s="164">
        <v>-4862380206</v>
      </c>
      <c r="BM15" s="164">
        <v>-1253185675</v>
      </c>
      <c r="BN15" s="164">
        <v>1181517987</v>
      </c>
      <c r="BO15" s="164">
        <v>4008311174</v>
      </c>
      <c r="BP15" s="164">
        <v>129068656</v>
      </c>
      <c r="BQ15" s="164"/>
      <c r="BR15" s="164"/>
      <c r="BS15" s="164"/>
      <c r="BT15" s="164"/>
      <c r="BU15" s="164"/>
      <c r="BV15" s="164"/>
      <c r="BW15" s="164"/>
    </row>
    <row r="16" spans="1:75" x14ac:dyDescent="0.25">
      <c r="A16" s="150">
        <v>13</v>
      </c>
      <c r="B16" s="151" t="s">
        <v>384</v>
      </c>
      <c r="C16" s="143">
        <v>6</v>
      </c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>
        <v>-189692308</v>
      </c>
      <c r="P16" s="169">
        <v>-852550648</v>
      </c>
      <c r="Q16" s="169">
        <v>-177159597</v>
      </c>
      <c r="R16" s="169">
        <v>-7234842219</v>
      </c>
      <c r="S16" s="169">
        <v>-1329614140</v>
      </c>
      <c r="T16" s="169">
        <v>1102310118</v>
      </c>
      <c r="U16" s="169">
        <v>244634878</v>
      </c>
      <c r="V16" s="169">
        <v>-983456751</v>
      </c>
      <c r="W16" s="169">
        <v>4429072355</v>
      </c>
      <c r="X16" s="169">
        <v>635002847</v>
      </c>
      <c r="Y16" s="169">
        <v>818759130</v>
      </c>
      <c r="Z16" s="169">
        <v>4072498768</v>
      </c>
      <c r="AA16" s="169">
        <v>9021698118</v>
      </c>
      <c r="AB16" s="169">
        <v>-2156450769</v>
      </c>
      <c r="AC16" s="169">
        <v>1818218142</v>
      </c>
      <c r="AD16" s="169">
        <v>6150811446</v>
      </c>
      <c r="AE16" s="169">
        <v>-18993458870</v>
      </c>
      <c r="AF16" s="169">
        <v>-1435158969</v>
      </c>
      <c r="AG16" s="169">
        <v>-1023569433</v>
      </c>
      <c r="AH16" s="169">
        <v>561343147</v>
      </c>
      <c r="AI16" s="169">
        <v>-612116681</v>
      </c>
      <c r="AJ16" s="169">
        <v>7239778782</v>
      </c>
      <c r="AK16" s="169">
        <v>12962085303</v>
      </c>
      <c r="AL16" s="169">
        <v>148067782</v>
      </c>
      <c r="AM16" s="169">
        <v>1478724925</v>
      </c>
      <c r="AN16" s="169">
        <v>1794619593</v>
      </c>
      <c r="AO16" s="169">
        <v>-194732694</v>
      </c>
      <c r="AP16" s="169">
        <v>-9902365735</v>
      </c>
      <c r="AQ16" s="169">
        <v>600027631</v>
      </c>
      <c r="AR16" s="169">
        <v>-1399225225</v>
      </c>
      <c r="AS16" s="169">
        <v>-1943853179</v>
      </c>
      <c r="AT16" s="169">
        <v>-1637045373</v>
      </c>
      <c r="AU16" s="169">
        <v>1361772801</v>
      </c>
      <c r="AV16" s="169">
        <v>2367880752</v>
      </c>
      <c r="AW16" s="169">
        <v>129302976</v>
      </c>
      <c r="AX16" s="169">
        <v>599171125</v>
      </c>
      <c r="AY16" s="169">
        <v>-4254781449</v>
      </c>
      <c r="AZ16" s="169">
        <v>5020580788</v>
      </c>
      <c r="BA16" s="169">
        <v>661851131</v>
      </c>
      <c r="BB16" s="169">
        <v>-2591779387</v>
      </c>
      <c r="BC16" s="169">
        <v>1105610728</v>
      </c>
      <c r="BD16" s="169">
        <v>-609589815</v>
      </c>
      <c r="BE16" s="169">
        <v>323565984</v>
      </c>
      <c r="BF16" s="169">
        <v>8877000774</v>
      </c>
      <c r="BG16" s="169">
        <v>728710146</v>
      </c>
      <c r="BH16" s="169">
        <v>-2213785321</v>
      </c>
      <c r="BI16" s="169">
        <v>-2126569852</v>
      </c>
      <c r="BJ16" s="169">
        <v>-2408998678</v>
      </c>
      <c r="BK16" s="169">
        <v>-1527004451</v>
      </c>
      <c r="BL16" s="169">
        <v>10468873438</v>
      </c>
      <c r="BM16" s="169">
        <v>1529582286</v>
      </c>
      <c r="BN16" s="169">
        <v>2822293697</v>
      </c>
      <c r="BO16" s="169">
        <v>-2385598091</v>
      </c>
      <c r="BP16" s="169">
        <v>-1222075414</v>
      </c>
      <c r="BQ16" s="169"/>
      <c r="BR16" s="169"/>
      <c r="BS16" s="169"/>
      <c r="BT16" s="169"/>
      <c r="BU16" s="169"/>
      <c r="BV16" s="169"/>
      <c r="BW16" s="169"/>
    </row>
    <row r="17" spans="1:75" x14ac:dyDescent="0.25">
      <c r="A17" s="146">
        <v>14</v>
      </c>
      <c r="B17" s="147" t="s">
        <v>385</v>
      </c>
      <c r="C17" s="140">
        <v>6</v>
      </c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>
        <v>0</v>
      </c>
      <c r="P17" s="164">
        <v>-151010000</v>
      </c>
      <c r="Q17" s="164">
        <v>-61376163</v>
      </c>
      <c r="R17" s="164">
        <v>-55149490</v>
      </c>
      <c r="S17" s="164">
        <v>-182439484</v>
      </c>
      <c r="T17" s="164">
        <v>-4076018</v>
      </c>
      <c r="U17" s="164">
        <v>-37542294</v>
      </c>
      <c r="V17" s="164">
        <v>-60137918</v>
      </c>
      <c r="W17" s="164">
        <v>-254803665</v>
      </c>
      <c r="X17" s="164">
        <v>-463312429</v>
      </c>
      <c r="Y17" s="164">
        <v>29965688</v>
      </c>
      <c r="Z17" s="164">
        <v>713294697</v>
      </c>
      <c r="AA17" s="164">
        <v>-110380821</v>
      </c>
      <c r="AB17" s="164">
        <v>-147723011</v>
      </c>
      <c r="AC17" s="164">
        <v>48974235</v>
      </c>
      <c r="AD17" s="164">
        <v>-80929457</v>
      </c>
      <c r="AE17" s="164">
        <v>258527742</v>
      </c>
      <c r="AF17" s="164">
        <v>34000485</v>
      </c>
      <c r="AG17" s="164">
        <v>-63691190</v>
      </c>
      <c r="AH17" s="164">
        <v>-74804573</v>
      </c>
      <c r="AI17" s="164">
        <v>52479581</v>
      </c>
      <c r="AJ17" s="164">
        <v>15246716</v>
      </c>
      <c r="AK17" s="164">
        <v>42326175</v>
      </c>
      <c r="AL17" s="164">
        <v>-406225446</v>
      </c>
      <c r="AM17" s="164">
        <v>-95326303</v>
      </c>
      <c r="AN17" s="164">
        <v>-131028934</v>
      </c>
      <c r="AO17" s="164">
        <v>30462161</v>
      </c>
      <c r="AP17" s="164">
        <v>55346839</v>
      </c>
      <c r="AQ17" s="164">
        <v>65924052</v>
      </c>
      <c r="AR17" s="164">
        <v>51867551</v>
      </c>
      <c r="AS17" s="164">
        <v>51668800</v>
      </c>
      <c r="AT17" s="164">
        <v>50303190</v>
      </c>
      <c r="AU17" s="164">
        <v>35223454</v>
      </c>
      <c r="AV17" s="165">
        <v>37413030</v>
      </c>
      <c r="AW17" s="170">
        <v>6516318</v>
      </c>
      <c r="AX17" s="170">
        <v>-184909359</v>
      </c>
      <c r="AY17" s="170">
        <v>-83808421</v>
      </c>
      <c r="AZ17" s="170">
        <v>-570709372</v>
      </c>
      <c r="BA17" s="170">
        <v>57076762</v>
      </c>
      <c r="BB17" s="170">
        <v>48475453</v>
      </c>
      <c r="BC17" s="170">
        <v>108125563</v>
      </c>
      <c r="BD17" s="170">
        <v>-513991939</v>
      </c>
      <c r="BE17" s="170">
        <v>-433704683</v>
      </c>
      <c r="BF17" s="170">
        <v>-253525762</v>
      </c>
      <c r="BG17" s="170">
        <v>-432504539</v>
      </c>
      <c r="BH17" s="170">
        <v>-186249089</v>
      </c>
      <c r="BI17" s="170">
        <v>129571387</v>
      </c>
      <c r="BJ17" s="170">
        <v>233574405</v>
      </c>
      <c r="BK17" s="170">
        <v>6389985</v>
      </c>
      <c r="BL17" s="170">
        <v>47225781</v>
      </c>
      <c r="BM17" s="170">
        <v>263830526</v>
      </c>
      <c r="BN17" s="170">
        <v>-75671126</v>
      </c>
      <c r="BO17" s="170">
        <v>-73359727</v>
      </c>
      <c r="BP17" s="170">
        <v>-239503777</v>
      </c>
      <c r="BQ17" s="170"/>
      <c r="BR17" s="170"/>
      <c r="BS17" s="170"/>
      <c r="BT17" s="170"/>
      <c r="BU17" s="170"/>
      <c r="BV17" s="170"/>
      <c r="BW17" s="170"/>
    </row>
    <row r="18" spans="1:75" x14ac:dyDescent="0.25">
      <c r="A18" s="146">
        <v>15</v>
      </c>
      <c r="B18" s="147" t="s">
        <v>386</v>
      </c>
      <c r="C18" s="140">
        <v>6</v>
      </c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>
        <v>0</v>
      </c>
      <c r="P18" s="167">
        <v>0</v>
      </c>
      <c r="Q18" s="167">
        <v>0</v>
      </c>
      <c r="R18" s="167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/>
      <c r="Y18" s="167"/>
      <c r="Z18" s="167"/>
      <c r="AA18" s="167"/>
      <c r="AB18" s="167"/>
      <c r="AC18" s="167"/>
      <c r="AD18" s="167"/>
      <c r="AE18" s="167"/>
      <c r="AF18" s="167"/>
      <c r="AG18" s="167"/>
      <c r="AH18" s="167"/>
      <c r="AI18" s="167"/>
      <c r="AJ18" s="167"/>
      <c r="AK18" s="167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7"/>
      <c r="AX18" s="167"/>
      <c r="AY18" s="167"/>
      <c r="AZ18" s="167"/>
      <c r="BA18" s="167"/>
      <c r="BB18" s="167"/>
      <c r="BC18" s="167"/>
      <c r="BD18" s="167"/>
      <c r="BE18" s="167"/>
      <c r="BF18" s="167"/>
      <c r="BG18" s="167"/>
      <c r="BH18" s="167"/>
      <c r="BI18" s="167"/>
      <c r="BJ18" s="167"/>
      <c r="BK18" s="167"/>
      <c r="BL18" s="167"/>
      <c r="BM18" s="167"/>
      <c r="BN18" s="167"/>
      <c r="BO18" s="167"/>
      <c r="BP18" s="167"/>
      <c r="BQ18" s="167"/>
      <c r="BR18" s="167"/>
      <c r="BS18" s="167"/>
      <c r="BT18" s="167"/>
      <c r="BU18" s="167"/>
      <c r="BV18" s="167"/>
      <c r="BW18" s="167"/>
    </row>
    <row r="19" spans="1:75" x14ac:dyDescent="0.25">
      <c r="A19" s="146">
        <v>16</v>
      </c>
      <c r="B19" s="147" t="s">
        <v>387</v>
      </c>
      <c r="C19" s="140">
        <v>6</v>
      </c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>
        <v>0</v>
      </c>
      <c r="P19" s="164">
        <v>0</v>
      </c>
      <c r="Q19" s="164">
        <v>0</v>
      </c>
      <c r="R19" s="164">
        <v>0</v>
      </c>
      <c r="S19" s="164">
        <v>0</v>
      </c>
      <c r="T19" s="164">
        <v>0</v>
      </c>
      <c r="U19" s="164">
        <v>0</v>
      </c>
      <c r="V19" s="164">
        <v>0</v>
      </c>
      <c r="W19" s="164">
        <v>0</v>
      </c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71"/>
      <c r="AX19" s="171"/>
      <c r="AY19" s="171"/>
      <c r="AZ19" s="171"/>
      <c r="BA19" s="171"/>
      <c r="BB19" s="171"/>
      <c r="BC19" s="171"/>
      <c r="BD19" s="171"/>
      <c r="BE19" s="171"/>
      <c r="BF19" s="171"/>
      <c r="BG19" s="171"/>
      <c r="BH19" s="171"/>
      <c r="BI19" s="171"/>
      <c r="BJ19" s="171"/>
      <c r="BK19" s="171"/>
      <c r="BL19" s="171"/>
      <c r="BM19" s="171"/>
      <c r="BN19" s="171"/>
      <c r="BO19" s="171"/>
      <c r="BP19" s="171"/>
      <c r="BQ19" s="171"/>
      <c r="BR19" s="171"/>
      <c r="BS19" s="171"/>
      <c r="BT19" s="171"/>
      <c r="BU19" s="171"/>
      <c r="BV19" s="171"/>
      <c r="BW19" s="171"/>
    </row>
    <row r="20" spans="1:75" x14ac:dyDescent="0.25">
      <c r="A20" s="146">
        <v>17</v>
      </c>
      <c r="B20" s="147" t="s">
        <v>388</v>
      </c>
      <c r="C20" s="140">
        <v>6</v>
      </c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>
        <v>0</v>
      </c>
      <c r="P20" s="164">
        <v>0</v>
      </c>
      <c r="Q20" s="164">
        <v>0</v>
      </c>
      <c r="R20" s="164">
        <v>0</v>
      </c>
      <c r="S20" s="164">
        <v>0</v>
      </c>
      <c r="T20" s="164">
        <v>0</v>
      </c>
      <c r="U20" s="164">
        <v>0</v>
      </c>
      <c r="V20" s="164">
        <v>0</v>
      </c>
      <c r="W20" s="164">
        <v>0</v>
      </c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  <c r="BF20" s="164"/>
      <c r="BG20" s="164"/>
      <c r="BH20" s="164"/>
      <c r="BI20" s="164"/>
      <c r="BJ20" s="164"/>
      <c r="BK20" s="164"/>
      <c r="BL20" s="164"/>
      <c r="BM20" s="164"/>
      <c r="BN20" s="164"/>
      <c r="BO20" s="164"/>
      <c r="BP20" s="164"/>
      <c r="BQ20" s="164"/>
      <c r="BR20" s="164"/>
      <c r="BS20" s="164"/>
      <c r="BT20" s="164"/>
      <c r="BU20" s="164"/>
      <c r="BV20" s="164"/>
      <c r="BW20" s="164"/>
    </row>
    <row r="21" spans="1:75" x14ac:dyDescent="0.25">
      <c r="A21" s="146">
        <v>18</v>
      </c>
      <c r="B21" s="147" t="s">
        <v>389</v>
      </c>
      <c r="C21" s="152">
        <v>6</v>
      </c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>
        <v>0</v>
      </c>
      <c r="P21" s="172">
        <v>0</v>
      </c>
      <c r="Q21" s="172">
        <v>0</v>
      </c>
      <c r="R21" s="172">
        <v>0</v>
      </c>
      <c r="S21" s="172">
        <v>0</v>
      </c>
      <c r="T21" s="172">
        <v>0</v>
      </c>
      <c r="U21" s="172">
        <v>0</v>
      </c>
      <c r="V21" s="172">
        <v>0</v>
      </c>
      <c r="W21" s="172">
        <v>0</v>
      </c>
      <c r="X21" s="172"/>
      <c r="Y21" s="172"/>
      <c r="Z21" s="172">
        <v>2238725935</v>
      </c>
      <c r="AA21" s="172">
        <v>8400342810</v>
      </c>
      <c r="AB21" s="172"/>
      <c r="AC21" s="172">
        <v>91685224</v>
      </c>
      <c r="AD21" s="172"/>
      <c r="AE21" s="172">
        <v>21313096912</v>
      </c>
      <c r="AF21" s="172"/>
      <c r="AG21" s="172"/>
      <c r="AH21" s="172">
        <v>4051094987</v>
      </c>
      <c r="AI21" s="172"/>
      <c r="AJ21" s="172"/>
      <c r="AK21" s="172"/>
      <c r="AL21" s="172"/>
      <c r="AM21" s="172"/>
      <c r="AN21" s="172"/>
      <c r="AO21" s="172">
        <v>581261898</v>
      </c>
      <c r="AP21" s="172">
        <v>295846464</v>
      </c>
      <c r="AQ21" s="172">
        <v>44827458</v>
      </c>
      <c r="AR21" s="172"/>
      <c r="AS21" s="172">
        <v>183077251</v>
      </c>
      <c r="AT21" s="172"/>
      <c r="AU21" s="172"/>
      <c r="AV21" s="172"/>
      <c r="AW21" s="172"/>
      <c r="AX21" s="172">
        <v>44753129</v>
      </c>
      <c r="AY21" s="172">
        <v>100064303</v>
      </c>
      <c r="AZ21" s="172"/>
      <c r="BA21" s="172">
        <v>310813567</v>
      </c>
      <c r="BB21" s="172"/>
      <c r="BC21" s="172"/>
      <c r="BD21" s="172">
        <v>1602926131</v>
      </c>
      <c r="BE21" s="172">
        <v>1730001720</v>
      </c>
      <c r="BF21" s="172"/>
      <c r="BG21" s="172">
        <v>1684422467</v>
      </c>
      <c r="BH21" s="172"/>
      <c r="BI21" s="172"/>
      <c r="BJ21" s="172"/>
      <c r="BK21" s="172"/>
      <c r="BL21" s="172"/>
      <c r="BM21" s="172"/>
      <c r="BN21" s="172"/>
      <c r="BO21" s="172">
        <v>157635856</v>
      </c>
      <c r="BP21" s="172"/>
      <c r="BQ21" s="172"/>
      <c r="BR21" s="172"/>
      <c r="BS21" s="172"/>
      <c r="BT21" s="172"/>
      <c r="BU21" s="172"/>
      <c r="BV21" s="172"/>
      <c r="BW21" s="172"/>
    </row>
    <row r="22" spans="1:75" x14ac:dyDescent="0.25">
      <c r="A22" s="146">
        <v>19</v>
      </c>
      <c r="B22" s="147" t="s">
        <v>390</v>
      </c>
      <c r="C22" s="121">
        <v>6</v>
      </c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>
        <v>0</v>
      </c>
      <c r="P22" s="36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-10999702301</v>
      </c>
      <c r="X22" s="36">
        <v>-902476870</v>
      </c>
      <c r="Y22" s="36">
        <v>-5075391138</v>
      </c>
      <c r="Z22" s="36"/>
      <c r="AA22" s="36"/>
      <c r="AB22" s="36">
        <v>-12238868</v>
      </c>
      <c r="AC22" s="36"/>
      <c r="AD22" s="36">
        <v>-163352436</v>
      </c>
      <c r="AE22" s="36"/>
      <c r="AF22" s="36">
        <v>-981876651</v>
      </c>
      <c r="AG22" s="36">
        <v>-2244039527</v>
      </c>
      <c r="AH22" s="36"/>
      <c r="AI22" s="36">
        <v>-2341503954</v>
      </c>
      <c r="AJ22" s="36">
        <v>-63454117</v>
      </c>
      <c r="AK22" s="36">
        <v>-4819790911</v>
      </c>
      <c r="AL22" s="36">
        <v>-3145692407</v>
      </c>
      <c r="AM22" s="36">
        <v>-4195622704</v>
      </c>
      <c r="AN22" s="36">
        <v>-396985123</v>
      </c>
      <c r="AO22" s="36"/>
      <c r="AP22" s="36"/>
      <c r="AQ22" s="36"/>
      <c r="AR22" s="36">
        <v>-231157127</v>
      </c>
      <c r="AS22" s="36"/>
      <c r="AT22" s="36">
        <v>-578897702</v>
      </c>
      <c r="AU22" s="36">
        <v>-843147474</v>
      </c>
      <c r="AV22" s="36">
        <v>-778536028</v>
      </c>
      <c r="AW22" s="36">
        <v>-88004798</v>
      </c>
      <c r="AX22" s="36"/>
      <c r="AY22" s="36"/>
      <c r="AZ22" s="36">
        <v>-2457877506</v>
      </c>
      <c r="BA22" s="36"/>
      <c r="BB22" s="36">
        <v>-46111316</v>
      </c>
      <c r="BC22" s="36">
        <v>-2524601239</v>
      </c>
      <c r="BD22" s="36"/>
      <c r="BE22" s="36"/>
      <c r="BF22" s="36">
        <v>-5614800575</v>
      </c>
      <c r="BG22" s="36"/>
      <c r="BH22" s="36">
        <v>-1710474573</v>
      </c>
      <c r="BI22" s="36">
        <v>-325905289</v>
      </c>
      <c r="BJ22" s="36">
        <v>-569293452</v>
      </c>
      <c r="BK22" s="36">
        <v>-1260571042</v>
      </c>
      <c r="BL22" s="36">
        <v>-7566677474</v>
      </c>
      <c r="BM22" s="36">
        <v>-2359246078</v>
      </c>
      <c r="BN22" s="36">
        <v>-3215980617</v>
      </c>
      <c r="BO22" s="36"/>
      <c r="BP22" s="36">
        <v>-270608817</v>
      </c>
      <c r="BQ22" s="36"/>
      <c r="BR22" s="36"/>
      <c r="BS22" s="36"/>
      <c r="BT22" s="36"/>
      <c r="BU22" s="36"/>
      <c r="BV22" s="36"/>
      <c r="BW22" s="36"/>
    </row>
    <row r="23" spans="1:75" x14ac:dyDescent="0.25">
      <c r="A23" s="133">
        <v>20</v>
      </c>
      <c r="B23" s="153" t="s">
        <v>218</v>
      </c>
      <c r="C23" s="123">
        <v>6</v>
      </c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>
        <v>-200100000</v>
      </c>
      <c r="P23" s="38">
        <v>-1313279836</v>
      </c>
      <c r="Q23" s="38">
        <v>-1657212127</v>
      </c>
      <c r="R23" s="38">
        <v>-8733149248</v>
      </c>
      <c r="S23" s="38">
        <v>-2862989215</v>
      </c>
      <c r="T23" s="38">
        <v>170629347</v>
      </c>
      <c r="U23" s="38">
        <v>-2746468889</v>
      </c>
      <c r="V23" s="38">
        <v>-4937923240</v>
      </c>
      <c r="W23" s="38">
        <v>-8783139774</v>
      </c>
      <c r="X23" s="38">
        <v>-3151765782</v>
      </c>
      <c r="Y23" s="38">
        <v>-4969264910</v>
      </c>
      <c r="Z23" s="38">
        <v>-151642814</v>
      </c>
      <c r="AA23" s="38">
        <v>8978274364</v>
      </c>
      <c r="AB23" s="38">
        <v>-2919638561</v>
      </c>
      <c r="AC23" s="38">
        <v>173157705</v>
      </c>
      <c r="AD23" s="38">
        <v>1881908795</v>
      </c>
      <c r="AE23" s="38">
        <v>531157335</v>
      </c>
      <c r="AF23" s="38">
        <v>-5759210621</v>
      </c>
      <c r="AG23" s="38">
        <v>-833774696</v>
      </c>
      <c r="AH23" s="38">
        <v>804902208</v>
      </c>
      <c r="AI23" s="38">
        <v>-4498734262</v>
      </c>
      <c r="AJ23" s="38">
        <v>-339323654</v>
      </c>
      <c r="AK23" s="38">
        <v>-2085230657</v>
      </c>
      <c r="AL23" s="38">
        <v>1119693103</v>
      </c>
      <c r="AM23" s="38">
        <v>1074150057</v>
      </c>
      <c r="AN23" s="38">
        <v>1427167052</v>
      </c>
      <c r="AO23" s="38">
        <v>-201114032</v>
      </c>
      <c r="AP23" s="38">
        <v>1907838866</v>
      </c>
      <c r="AQ23" s="38">
        <v>-661187208</v>
      </c>
      <c r="AR23" s="38">
        <v>302406735</v>
      </c>
      <c r="AS23" s="38">
        <v>-3207738113</v>
      </c>
      <c r="AT23" s="38">
        <v>1900343480</v>
      </c>
      <c r="AU23" s="38">
        <v>-2741323046</v>
      </c>
      <c r="AV23" s="38">
        <v>-324257783</v>
      </c>
      <c r="AW23" s="38">
        <v>3000171518</v>
      </c>
      <c r="AX23" s="38">
        <v>-1647288254</v>
      </c>
      <c r="AY23" s="39">
        <v>-70988484</v>
      </c>
      <c r="AZ23" s="39">
        <v>33982182</v>
      </c>
      <c r="BA23" s="39">
        <v>-2374977501</v>
      </c>
      <c r="BB23" s="39">
        <v>1301143236</v>
      </c>
      <c r="BC23" s="39">
        <v>-113795759</v>
      </c>
      <c r="BD23" s="39">
        <v>-1254422407</v>
      </c>
      <c r="BE23" s="39">
        <v>774719333</v>
      </c>
      <c r="BF23" s="39">
        <v>-1301639586</v>
      </c>
      <c r="BG23" s="39">
        <v>944894883</v>
      </c>
      <c r="BH23" s="39">
        <v>3547341678</v>
      </c>
      <c r="BI23" s="39">
        <v>2571628645</v>
      </c>
      <c r="BJ23" s="39">
        <v>-4985820017</v>
      </c>
      <c r="BK23" s="39">
        <v>220428286</v>
      </c>
      <c r="BL23" s="39">
        <v>-6948254604</v>
      </c>
      <c r="BM23" s="39">
        <f>SUM(BM13:BM22)</f>
        <v>-1643206111</v>
      </c>
      <c r="BN23" s="39">
        <f>SUM(BN13:BN22)</f>
        <v>1586662270</v>
      </c>
      <c r="BO23" s="39">
        <f>SUM(BO13:BO22)</f>
        <v>714938345</v>
      </c>
      <c r="BP23" s="39">
        <v>-1411513543</v>
      </c>
      <c r="BQ23" s="39"/>
      <c r="BR23" s="39"/>
      <c r="BS23" s="39"/>
      <c r="BT23" s="39"/>
      <c r="BU23" s="39"/>
      <c r="BV23" s="39"/>
      <c r="BW23" s="39"/>
    </row>
    <row r="24" spans="1:75" x14ac:dyDescent="0.25">
      <c r="A24" s="133">
        <v>21</v>
      </c>
      <c r="B24" s="134" t="s">
        <v>219</v>
      </c>
      <c r="C24" s="124">
        <v>6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>
        <v>0</v>
      </c>
      <c r="P24" s="40">
        <v>0</v>
      </c>
      <c r="Q24" s="40">
        <v>0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</row>
    <row r="25" spans="1:75" x14ac:dyDescent="0.25">
      <c r="A25" s="154">
        <v>22</v>
      </c>
      <c r="B25" s="155" t="s">
        <v>391</v>
      </c>
      <c r="C25" s="143">
        <v>6</v>
      </c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>
        <v>0</v>
      </c>
      <c r="P25" s="169">
        <v>0</v>
      </c>
      <c r="Q25" s="169">
        <v>0</v>
      </c>
      <c r="R25" s="169">
        <v>0</v>
      </c>
      <c r="S25" s="169">
        <v>0</v>
      </c>
      <c r="T25" s="169">
        <v>0</v>
      </c>
      <c r="U25" s="169">
        <v>0</v>
      </c>
      <c r="V25" s="169">
        <v>0</v>
      </c>
      <c r="W25" s="169">
        <v>0</v>
      </c>
      <c r="X25" s="169">
        <v>-83851127</v>
      </c>
      <c r="Y25" s="169">
        <v>-1828833839</v>
      </c>
      <c r="Z25" s="169">
        <v>-1935828288</v>
      </c>
      <c r="AA25" s="169">
        <v>-19689862650</v>
      </c>
      <c r="AB25" s="169">
        <v>0</v>
      </c>
      <c r="AC25" s="169">
        <v>-360756593</v>
      </c>
      <c r="AD25" s="169">
        <v>-2574294967</v>
      </c>
      <c r="AE25" s="169">
        <v>-40665000</v>
      </c>
      <c r="AF25" s="169">
        <v>0</v>
      </c>
      <c r="AG25" s="169">
        <v>-23000000</v>
      </c>
      <c r="AH25" s="169">
        <v>-26029200</v>
      </c>
      <c r="AI25" s="169">
        <v>-2155094884</v>
      </c>
      <c r="AJ25" s="169">
        <v>-95118456</v>
      </c>
      <c r="AK25" s="169">
        <v>-95770552</v>
      </c>
      <c r="AL25" s="169">
        <v>-929413231</v>
      </c>
      <c r="AM25" s="169">
        <v>-532886407</v>
      </c>
      <c r="AN25" s="169">
        <v>329428992</v>
      </c>
      <c r="AO25" s="169">
        <v>-479963188</v>
      </c>
      <c r="AP25" s="169">
        <v>46019520</v>
      </c>
      <c r="AQ25" s="169">
        <v>0</v>
      </c>
      <c r="AR25" s="169">
        <v>81700000</v>
      </c>
      <c r="AS25" s="169">
        <v>37980000</v>
      </c>
      <c r="AT25" s="169">
        <v>133000000</v>
      </c>
      <c r="AU25" s="169">
        <v>267500000</v>
      </c>
      <c r="AV25" s="169">
        <v>0</v>
      </c>
      <c r="AW25" s="169">
        <v>389131825</v>
      </c>
      <c r="AX25" s="169">
        <v>0</v>
      </c>
      <c r="AY25" s="169">
        <v>41000000</v>
      </c>
      <c r="AZ25" s="169">
        <v>737425497</v>
      </c>
      <c r="BA25" s="169">
        <v>69417500</v>
      </c>
      <c r="BB25" s="169">
        <v>479119547</v>
      </c>
      <c r="BC25" s="169">
        <v>911653012</v>
      </c>
      <c r="BD25" s="169">
        <v>-441352000</v>
      </c>
      <c r="BE25" s="169">
        <v>-1391294800</v>
      </c>
      <c r="BF25" s="169">
        <v>2485000000</v>
      </c>
      <c r="BG25" s="169">
        <v>0</v>
      </c>
      <c r="BH25" s="169">
        <v>0</v>
      </c>
      <c r="BI25" s="169">
        <v>0</v>
      </c>
      <c r="BJ25" s="169">
        <v>8789250</v>
      </c>
      <c r="BK25" s="169">
        <v>296714800</v>
      </c>
      <c r="BL25" s="169">
        <v>4117024604</v>
      </c>
      <c r="BM25" s="169">
        <v>867778358</v>
      </c>
      <c r="BN25" s="169">
        <v>1717289649</v>
      </c>
      <c r="BO25" s="169">
        <v>226600857</v>
      </c>
      <c r="BP25" s="169">
        <v>120963659</v>
      </c>
      <c r="BQ25" s="169"/>
      <c r="BR25" s="169"/>
      <c r="BS25" s="169"/>
      <c r="BT25" s="169"/>
      <c r="BU25" s="169"/>
      <c r="BV25" s="169"/>
      <c r="BW25" s="169"/>
    </row>
    <row r="26" spans="1:75" x14ac:dyDescent="0.25">
      <c r="A26" s="154">
        <v>23</v>
      </c>
      <c r="B26" s="155" t="s">
        <v>392</v>
      </c>
      <c r="C26" s="152">
        <v>6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>
        <v>0</v>
      </c>
      <c r="P26" s="173">
        <v>0</v>
      </c>
      <c r="Q26" s="173">
        <v>0</v>
      </c>
      <c r="R26" s="173">
        <v>0</v>
      </c>
      <c r="S26" s="173">
        <v>0</v>
      </c>
      <c r="T26" s="173">
        <v>0</v>
      </c>
      <c r="U26" s="173">
        <v>0</v>
      </c>
      <c r="V26" s="173">
        <v>0</v>
      </c>
      <c r="W26" s="173">
        <v>0</v>
      </c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  <c r="AI26" s="173"/>
      <c r="AJ26" s="173"/>
      <c r="AK26" s="173"/>
      <c r="AL26" s="173"/>
      <c r="AM26" s="173"/>
      <c r="AN26" s="173"/>
      <c r="AO26" s="173"/>
      <c r="AP26" s="173"/>
      <c r="AQ26" s="173"/>
      <c r="AR26" s="173"/>
      <c r="AS26" s="173"/>
      <c r="AT26" s="173"/>
      <c r="AU26" s="173"/>
      <c r="AV26" s="173"/>
      <c r="AW26" s="173"/>
      <c r="AX26" s="173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</row>
    <row r="27" spans="1:75" x14ac:dyDescent="0.25">
      <c r="A27" s="154">
        <v>24</v>
      </c>
      <c r="B27" s="155" t="s">
        <v>393</v>
      </c>
      <c r="C27" s="152">
        <v>6</v>
      </c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>
        <v>0</v>
      </c>
      <c r="P27" s="174">
        <v>0</v>
      </c>
      <c r="Q27" s="174">
        <v>0</v>
      </c>
      <c r="R27" s="174">
        <v>0</v>
      </c>
      <c r="S27" s="174">
        <v>0</v>
      </c>
      <c r="T27" s="174">
        <v>0</v>
      </c>
      <c r="U27" s="174">
        <v>0</v>
      </c>
      <c r="V27" s="174">
        <v>0</v>
      </c>
      <c r="W27" s="174">
        <v>0</v>
      </c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  <c r="AL27" s="174"/>
      <c r="AM27" s="174"/>
      <c r="AN27" s="174"/>
      <c r="AO27" s="174"/>
      <c r="AP27" s="174"/>
      <c r="AQ27" s="174"/>
      <c r="AR27" s="174"/>
      <c r="AS27" s="174"/>
      <c r="AT27" s="174"/>
      <c r="AU27" s="174"/>
      <c r="AV27" s="174"/>
      <c r="AW27" s="174"/>
      <c r="AX27" s="174"/>
      <c r="AY27" s="174"/>
      <c r="AZ27" s="174"/>
      <c r="BA27" s="174"/>
      <c r="BB27" s="174"/>
      <c r="BC27" s="174"/>
      <c r="BD27" s="174"/>
      <c r="BE27" s="174"/>
      <c r="BF27" s="174"/>
      <c r="BG27" s="174"/>
      <c r="BH27" s="174"/>
      <c r="BI27" s="174"/>
      <c r="BJ27" s="174"/>
      <c r="BK27" s="174"/>
      <c r="BL27" s="174"/>
      <c r="BM27" s="174"/>
      <c r="BN27" s="174"/>
      <c r="BO27" s="174"/>
      <c r="BP27" s="174"/>
      <c r="BQ27" s="174"/>
      <c r="BR27" s="174"/>
      <c r="BS27" s="174"/>
      <c r="BT27" s="174"/>
      <c r="BU27" s="174"/>
      <c r="BV27" s="174"/>
      <c r="BW27" s="174"/>
    </row>
    <row r="28" spans="1:75" x14ac:dyDescent="0.25">
      <c r="A28" s="154">
        <v>25</v>
      </c>
      <c r="B28" s="155" t="s">
        <v>394</v>
      </c>
      <c r="C28" s="152">
        <v>6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>
        <v>0</v>
      </c>
      <c r="P28" s="173">
        <v>0</v>
      </c>
      <c r="Q28" s="173">
        <v>0</v>
      </c>
      <c r="R28" s="173">
        <v>0</v>
      </c>
      <c r="S28" s="173">
        <v>0</v>
      </c>
      <c r="T28" s="173">
        <v>0</v>
      </c>
      <c r="U28" s="173">
        <v>0</v>
      </c>
      <c r="V28" s="173">
        <v>0</v>
      </c>
      <c r="W28" s="173">
        <v>0</v>
      </c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</row>
    <row r="29" spans="1:75" x14ac:dyDescent="0.25">
      <c r="A29" s="154">
        <v>26</v>
      </c>
      <c r="B29" s="155" t="s">
        <v>395</v>
      </c>
      <c r="C29" s="140">
        <v>6</v>
      </c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>
        <v>0</v>
      </c>
      <c r="P29" s="164">
        <v>0</v>
      </c>
      <c r="Q29" s="164">
        <v>0</v>
      </c>
      <c r="R29" s="164">
        <v>0</v>
      </c>
      <c r="S29" s="164">
        <v>0</v>
      </c>
      <c r="T29" s="164">
        <v>0</v>
      </c>
      <c r="U29" s="164">
        <v>0</v>
      </c>
      <c r="V29" s="164">
        <v>0</v>
      </c>
      <c r="W29" s="164">
        <v>0</v>
      </c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</row>
    <row r="30" spans="1:75" x14ac:dyDescent="0.25">
      <c r="A30" s="154">
        <v>27</v>
      </c>
      <c r="B30" s="155" t="s">
        <v>396</v>
      </c>
      <c r="C30" s="152">
        <v>6</v>
      </c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>
        <v>0</v>
      </c>
      <c r="P30" s="172">
        <v>0</v>
      </c>
      <c r="Q30" s="172">
        <v>0</v>
      </c>
      <c r="R30" s="172">
        <v>0</v>
      </c>
      <c r="S30" s="172">
        <v>0</v>
      </c>
      <c r="T30" s="172">
        <v>0</v>
      </c>
      <c r="U30" s="172">
        <v>0</v>
      </c>
      <c r="V30" s="172">
        <v>0</v>
      </c>
      <c r="W30" s="172">
        <v>0</v>
      </c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</row>
    <row r="31" spans="1:75" x14ac:dyDescent="0.25">
      <c r="A31" s="154">
        <v>28</v>
      </c>
      <c r="B31" s="155" t="s">
        <v>397</v>
      </c>
      <c r="C31" s="140">
        <v>6</v>
      </c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>
        <v>0</v>
      </c>
      <c r="P31" s="164">
        <v>0</v>
      </c>
      <c r="Q31" s="164">
        <v>0</v>
      </c>
      <c r="R31" s="164">
        <v>0</v>
      </c>
      <c r="S31" s="164">
        <v>0</v>
      </c>
      <c r="T31" s="164">
        <v>0</v>
      </c>
      <c r="U31" s="164">
        <v>0</v>
      </c>
      <c r="V31" s="164">
        <v>0</v>
      </c>
      <c r="W31" s="164">
        <v>0</v>
      </c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64"/>
      <c r="AL31" s="164"/>
      <c r="AM31" s="164"/>
      <c r="AN31" s="164"/>
      <c r="AO31" s="164"/>
      <c r="AP31" s="164"/>
      <c r="AQ31" s="164"/>
      <c r="AR31" s="164"/>
      <c r="AS31" s="164"/>
      <c r="AT31" s="164"/>
      <c r="AU31" s="164"/>
      <c r="AV31" s="164"/>
      <c r="AW31" s="164"/>
      <c r="AX31" s="164"/>
      <c r="AY31" s="164"/>
      <c r="AZ31" s="164"/>
      <c r="BA31" s="164"/>
      <c r="BB31" s="164"/>
      <c r="BC31" s="164"/>
      <c r="BD31" s="164"/>
      <c r="BE31" s="164"/>
      <c r="BF31" s="164"/>
      <c r="BG31" s="164"/>
      <c r="BH31" s="164"/>
      <c r="BI31" s="164"/>
      <c r="BJ31" s="164"/>
      <c r="BK31" s="164"/>
      <c r="BL31" s="164"/>
      <c r="BM31" s="164"/>
      <c r="BN31" s="164"/>
      <c r="BO31" s="164"/>
      <c r="BP31" s="164"/>
      <c r="BQ31" s="164"/>
      <c r="BR31" s="164"/>
      <c r="BS31" s="164"/>
      <c r="BT31" s="164"/>
      <c r="BU31" s="164"/>
      <c r="BV31" s="164"/>
      <c r="BW31" s="164"/>
    </row>
    <row r="32" spans="1:75" x14ac:dyDescent="0.25">
      <c r="A32" s="133">
        <v>29</v>
      </c>
      <c r="B32" s="134" t="s">
        <v>227</v>
      </c>
      <c r="C32" s="123">
        <v>6</v>
      </c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-83851127</v>
      </c>
      <c r="Y32" s="42">
        <v>-1828833839</v>
      </c>
      <c r="Z32" s="42">
        <v>-1935828288</v>
      </c>
      <c r="AA32" s="42">
        <v>-19689862650</v>
      </c>
      <c r="AB32" s="42">
        <v>0</v>
      </c>
      <c r="AC32" s="42">
        <v>-360756593</v>
      </c>
      <c r="AD32" s="42">
        <v>-2574294967</v>
      </c>
      <c r="AE32" s="42">
        <v>-40665000</v>
      </c>
      <c r="AF32" s="42">
        <v>0</v>
      </c>
      <c r="AG32" s="42">
        <v>-23000000</v>
      </c>
      <c r="AH32" s="42">
        <v>-26029200</v>
      </c>
      <c r="AI32" s="42">
        <v>-2155094884</v>
      </c>
      <c r="AJ32" s="42">
        <v>-95118456</v>
      </c>
      <c r="AK32" s="42">
        <v>-95770552</v>
      </c>
      <c r="AL32" s="42">
        <v>-929413231</v>
      </c>
      <c r="AM32" s="42">
        <v>-532886407</v>
      </c>
      <c r="AN32" s="42">
        <v>329428992</v>
      </c>
      <c r="AO32" s="42">
        <v>-479963188</v>
      </c>
      <c r="AP32" s="42">
        <v>46019520</v>
      </c>
      <c r="AQ32" s="42">
        <v>0</v>
      </c>
      <c r="AR32" s="42">
        <v>81700000</v>
      </c>
      <c r="AS32" s="42">
        <v>37980000</v>
      </c>
      <c r="AT32" s="42">
        <v>133000000</v>
      </c>
      <c r="AU32" s="42">
        <v>267500000</v>
      </c>
      <c r="AV32" s="42">
        <v>0</v>
      </c>
      <c r="AW32" s="42">
        <v>389131825</v>
      </c>
      <c r="AX32" s="42">
        <v>0</v>
      </c>
      <c r="AY32" s="42">
        <v>41000000</v>
      </c>
      <c r="AZ32" s="42">
        <v>737425497</v>
      </c>
      <c r="BA32" s="42">
        <v>69417500</v>
      </c>
      <c r="BB32" s="42">
        <v>479119547</v>
      </c>
      <c r="BC32" s="42">
        <v>911653012</v>
      </c>
      <c r="BD32" s="42">
        <v>-441352000</v>
      </c>
      <c r="BE32" s="42">
        <v>-1391294800</v>
      </c>
      <c r="BF32" s="42">
        <v>2485000000</v>
      </c>
      <c r="BG32" s="42">
        <v>0</v>
      </c>
      <c r="BH32" s="42">
        <v>0</v>
      </c>
      <c r="BI32" s="42">
        <v>0</v>
      </c>
      <c r="BJ32" s="42">
        <v>8789250</v>
      </c>
      <c r="BK32" s="42">
        <v>296714800</v>
      </c>
      <c r="BL32" s="42">
        <v>4117024604</v>
      </c>
      <c r="BM32" s="42">
        <v>867778358</v>
      </c>
      <c r="BN32" s="42">
        <f>SUM(BN25:BN31)</f>
        <v>1717289649</v>
      </c>
      <c r="BO32" s="42">
        <f>SUM(BO25:BO31)</f>
        <v>226600857</v>
      </c>
      <c r="BP32" s="42">
        <v>120963659</v>
      </c>
      <c r="BQ32" s="42"/>
      <c r="BR32" s="42"/>
      <c r="BS32" s="42"/>
      <c r="BT32" s="42"/>
      <c r="BU32" s="42"/>
      <c r="BV32" s="42"/>
      <c r="BW32" s="42"/>
    </row>
    <row r="33" spans="1:75" x14ac:dyDescent="0.25">
      <c r="A33" s="133">
        <v>30</v>
      </c>
      <c r="B33" s="134" t="s">
        <v>228</v>
      </c>
      <c r="C33" s="124">
        <v>6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>
        <v>0</v>
      </c>
      <c r="P33" s="40"/>
      <c r="Q33" s="40">
        <v>0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</row>
    <row r="34" spans="1:75" x14ac:dyDescent="0.25">
      <c r="A34" s="154">
        <v>31</v>
      </c>
      <c r="B34" s="155" t="s">
        <v>398</v>
      </c>
      <c r="C34" s="121">
        <v>6</v>
      </c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>
        <v>3000000000</v>
      </c>
      <c r="P34" s="36">
        <v>0</v>
      </c>
      <c r="Q34" s="36">
        <v>10000000000</v>
      </c>
      <c r="R34" s="36">
        <v>0</v>
      </c>
      <c r="S34" s="36">
        <v>11000000000</v>
      </c>
      <c r="T34" s="36">
        <v>0</v>
      </c>
      <c r="U34" s="36">
        <v>0</v>
      </c>
      <c r="V34" s="36">
        <v>0</v>
      </c>
      <c r="W34" s="36">
        <v>11000000000</v>
      </c>
      <c r="X34" s="36">
        <v>1000000000</v>
      </c>
      <c r="Y34" s="36">
        <v>3700000000</v>
      </c>
      <c r="Z34" s="36">
        <v>300000000</v>
      </c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</row>
    <row r="35" spans="1:75" x14ac:dyDescent="0.25">
      <c r="A35" s="156">
        <v>32</v>
      </c>
      <c r="B35" s="157" t="s">
        <v>399</v>
      </c>
      <c r="C35" s="125">
        <v>6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>
        <v>0</v>
      </c>
      <c r="P35" s="43">
        <v>0</v>
      </c>
      <c r="Q35" s="43">
        <v>0</v>
      </c>
      <c r="R35" s="43">
        <v>0</v>
      </c>
      <c r="S35" s="43">
        <v>0</v>
      </c>
      <c r="T35" s="43">
        <v>0</v>
      </c>
      <c r="U35" s="43">
        <v>0</v>
      </c>
      <c r="V35" s="43">
        <v>0</v>
      </c>
      <c r="W35" s="43">
        <v>0</v>
      </c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</row>
    <row r="36" spans="1:75" x14ac:dyDescent="0.25">
      <c r="A36" s="154">
        <v>33</v>
      </c>
      <c r="B36" s="155" t="s">
        <v>400</v>
      </c>
      <c r="C36" s="140">
        <v>6</v>
      </c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>
        <v>0</v>
      </c>
      <c r="P36" s="173">
        <v>0</v>
      </c>
      <c r="Q36" s="173">
        <v>0</v>
      </c>
      <c r="R36" s="173">
        <v>0</v>
      </c>
      <c r="S36" s="173">
        <v>0</v>
      </c>
      <c r="T36" s="173">
        <v>0</v>
      </c>
      <c r="U36" s="173">
        <v>0</v>
      </c>
      <c r="V36" s="173">
        <v>0</v>
      </c>
      <c r="W36" s="173">
        <v>0</v>
      </c>
      <c r="X36" s="173"/>
      <c r="Y36" s="173">
        <v>4000000000</v>
      </c>
      <c r="Z36" s="173">
        <v>0</v>
      </c>
      <c r="AA36" s="173">
        <v>15000000000</v>
      </c>
      <c r="AB36" s="173">
        <v>0</v>
      </c>
      <c r="AC36" s="173">
        <v>0</v>
      </c>
      <c r="AD36" s="173">
        <v>0</v>
      </c>
      <c r="AE36" s="173">
        <v>0</v>
      </c>
      <c r="AF36" s="173">
        <v>6000000000</v>
      </c>
      <c r="AG36" s="173">
        <v>0</v>
      </c>
      <c r="AH36" s="173">
        <v>6500000000</v>
      </c>
      <c r="AI36" s="173">
        <v>0</v>
      </c>
      <c r="AJ36" s="173">
        <v>0</v>
      </c>
      <c r="AK36" s="173">
        <v>1270000000</v>
      </c>
      <c r="AL36" s="173">
        <v>0</v>
      </c>
      <c r="AM36" s="173">
        <v>0</v>
      </c>
      <c r="AN36" s="164">
        <v>0</v>
      </c>
      <c r="AO36" s="173">
        <v>0</v>
      </c>
      <c r="AP36" s="173">
        <v>0</v>
      </c>
      <c r="AQ36" s="173">
        <v>0</v>
      </c>
      <c r="AR36" s="173">
        <v>0</v>
      </c>
      <c r="AS36" s="173">
        <v>0</v>
      </c>
      <c r="AT36" s="173">
        <v>0</v>
      </c>
      <c r="AU36" s="173">
        <v>0</v>
      </c>
      <c r="AV36" s="173">
        <v>0</v>
      </c>
      <c r="AW36" s="173">
        <v>0</v>
      </c>
      <c r="AX36" s="173">
        <v>0</v>
      </c>
      <c r="AY36" s="173">
        <v>0</v>
      </c>
      <c r="AZ36" s="173">
        <v>0</v>
      </c>
      <c r="BA36" s="173">
        <v>0</v>
      </c>
      <c r="BB36" s="173">
        <v>0</v>
      </c>
      <c r="BC36" s="173">
        <v>0</v>
      </c>
      <c r="BD36" s="173">
        <v>0</v>
      </c>
      <c r="BE36" s="173">
        <v>0</v>
      </c>
      <c r="BF36" s="173">
        <v>0</v>
      </c>
      <c r="BG36" s="173">
        <v>0</v>
      </c>
      <c r="BH36" s="173">
        <v>0</v>
      </c>
      <c r="BI36" s="173">
        <v>0</v>
      </c>
      <c r="BJ36" s="173">
        <v>0</v>
      </c>
      <c r="BK36" s="173">
        <v>0</v>
      </c>
      <c r="BL36" s="173">
        <v>0</v>
      </c>
      <c r="BM36" s="173"/>
      <c r="BN36" s="173"/>
      <c r="BO36" s="173"/>
      <c r="BP36" s="173">
        <v>0</v>
      </c>
      <c r="BQ36" s="173"/>
      <c r="BR36" s="173"/>
      <c r="BS36" s="173"/>
      <c r="BT36" s="173"/>
      <c r="BU36" s="173"/>
      <c r="BV36" s="173"/>
      <c r="BW36" s="173"/>
    </row>
    <row r="37" spans="1:75" x14ac:dyDescent="0.25">
      <c r="A37" s="154">
        <v>34</v>
      </c>
      <c r="B37" s="155" t="s">
        <v>401</v>
      </c>
      <c r="C37" s="140">
        <v>6</v>
      </c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164">
        <v>0</v>
      </c>
      <c r="P37" s="164">
        <v>0</v>
      </c>
      <c r="Q37" s="164">
        <v>0</v>
      </c>
      <c r="R37" s="164">
        <v>0</v>
      </c>
      <c r="S37" s="164">
        <v>0</v>
      </c>
      <c r="T37" s="164">
        <v>0</v>
      </c>
      <c r="U37" s="164">
        <v>0</v>
      </c>
      <c r="V37" s="164">
        <v>0</v>
      </c>
      <c r="W37" s="164">
        <v>0</v>
      </c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164"/>
      <c r="BE37" s="164"/>
      <c r="BF37" s="164"/>
      <c r="BG37" s="164"/>
      <c r="BH37" s="164"/>
      <c r="BI37" s="164"/>
      <c r="BJ37" s="164"/>
      <c r="BK37" s="164"/>
      <c r="BL37" s="164"/>
      <c r="BM37" s="164"/>
      <c r="BN37" s="164"/>
      <c r="BO37" s="164"/>
      <c r="BP37" s="164"/>
      <c r="BQ37" s="164"/>
      <c r="BR37" s="164"/>
      <c r="BS37" s="164"/>
      <c r="BT37" s="164"/>
      <c r="BU37" s="164"/>
      <c r="BV37" s="164"/>
      <c r="BW37" s="164"/>
    </row>
    <row r="38" spans="1:75" x14ac:dyDescent="0.25">
      <c r="A38" s="154">
        <v>35</v>
      </c>
      <c r="B38" s="155" t="s">
        <v>402</v>
      </c>
      <c r="C38" s="140">
        <v>6</v>
      </c>
      <c r="D38" s="164"/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>
        <v>0</v>
      </c>
      <c r="P38" s="164">
        <v>0</v>
      </c>
      <c r="Q38" s="164">
        <v>0</v>
      </c>
      <c r="R38" s="164">
        <v>0</v>
      </c>
      <c r="S38" s="164">
        <v>0</v>
      </c>
      <c r="T38" s="164">
        <v>0</v>
      </c>
      <c r="U38" s="164">
        <v>0</v>
      </c>
      <c r="V38" s="164">
        <v>0</v>
      </c>
      <c r="W38" s="164">
        <v>0</v>
      </c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164"/>
      <c r="BE38" s="164"/>
      <c r="BF38" s="164"/>
      <c r="BG38" s="164"/>
      <c r="BH38" s="164"/>
      <c r="BI38" s="164"/>
      <c r="BJ38" s="164"/>
      <c r="BK38" s="164"/>
      <c r="BL38" s="164"/>
      <c r="BM38" s="164"/>
      <c r="BN38" s="164"/>
      <c r="BO38" s="164"/>
      <c r="BP38" s="164"/>
      <c r="BQ38" s="164"/>
      <c r="BR38" s="164"/>
      <c r="BS38" s="164"/>
      <c r="BT38" s="164"/>
      <c r="BU38" s="164"/>
      <c r="BV38" s="164"/>
      <c r="BW38" s="164"/>
    </row>
    <row r="39" spans="1:75" x14ac:dyDescent="0.25">
      <c r="A39" s="154">
        <v>36</v>
      </c>
      <c r="B39" s="155" t="s">
        <v>403</v>
      </c>
      <c r="C39" s="121">
        <v>6</v>
      </c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>
        <v>0</v>
      </c>
      <c r="P39" s="36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</row>
    <row r="40" spans="1:75" x14ac:dyDescent="0.25">
      <c r="A40" s="133">
        <v>37</v>
      </c>
      <c r="B40" s="134" t="s">
        <v>404</v>
      </c>
      <c r="C40" s="123">
        <v>6</v>
      </c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3000000000</v>
      </c>
      <c r="P40" s="42">
        <v>0</v>
      </c>
      <c r="Q40" s="42">
        <v>10000000000</v>
      </c>
      <c r="R40" s="42">
        <v>0</v>
      </c>
      <c r="S40" s="42">
        <v>11000000000</v>
      </c>
      <c r="T40" s="42">
        <v>0</v>
      </c>
      <c r="U40" s="42">
        <v>0</v>
      </c>
      <c r="V40" s="42">
        <v>0</v>
      </c>
      <c r="W40" s="42">
        <v>11000000000</v>
      </c>
      <c r="X40" s="42">
        <v>1000000000</v>
      </c>
      <c r="Y40" s="42">
        <v>7700000000</v>
      </c>
      <c r="Z40" s="42">
        <v>300000000</v>
      </c>
      <c r="AA40" s="42">
        <v>15000000000</v>
      </c>
      <c r="AB40" s="42">
        <v>0</v>
      </c>
      <c r="AC40" s="42">
        <v>0</v>
      </c>
      <c r="AD40" s="42">
        <v>0</v>
      </c>
      <c r="AE40" s="42">
        <v>0</v>
      </c>
      <c r="AF40" s="42">
        <v>6000000000</v>
      </c>
      <c r="AG40" s="42">
        <v>0</v>
      </c>
      <c r="AH40" s="42">
        <v>6500000000</v>
      </c>
      <c r="AI40" s="42">
        <v>0</v>
      </c>
      <c r="AJ40" s="42">
        <v>0</v>
      </c>
      <c r="AK40" s="42">
        <v>1270000000</v>
      </c>
      <c r="AL40" s="42">
        <v>0</v>
      </c>
      <c r="AM40" s="42">
        <v>0</v>
      </c>
      <c r="AN40" s="42">
        <v>0</v>
      </c>
      <c r="AO40" s="42">
        <v>0</v>
      </c>
      <c r="AP40" s="42">
        <v>0</v>
      </c>
      <c r="AQ40" s="42">
        <v>0</v>
      </c>
      <c r="AR40" s="42">
        <v>0</v>
      </c>
      <c r="AS40" s="42">
        <v>0</v>
      </c>
      <c r="AT40" s="42">
        <v>0</v>
      </c>
      <c r="AU40" s="42">
        <v>0</v>
      </c>
      <c r="AV40" s="42">
        <v>0</v>
      </c>
      <c r="AW40" s="42">
        <v>0</v>
      </c>
      <c r="AX40" s="42">
        <v>0</v>
      </c>
      <c r="AY40" s="42">
        <v>0</v>
      </c>
      <c r="AZ40" s="42">
        <v>0</v>
      </c>
      <c r="BA40" s="42">
        <v>0</v>
      </c>
      <c r="BB40" s="42">
        <v>0</v>
      </c>
      <c r="BC40" s="42">
        <v>0</v>
      </c>
      <c r="BD40" s="42">
        <v>0</v>
      </c>
      <c r="BE40" s="42">
        <v>0</v>
      </c>
      <c r="BF40" s="42">
        <v>0</v>
      </c>
      <c r="BG40" s="42">
        <v>0</v>
      </c>
      <c r="BH40" s="42">
        <v>0</v>
      </c>
      <c r="BI40" s="42">
        <v>0</v>
      </c>
      <c r="BJ40" s="42">
        <v>0</v>
      </c>
      <c r="BK40" s="42">
        <v>0</v>
      </c>
      <c r="BL40" s="42"/>
      <c r="BM40" s="42"/>
      <c r="BN40" s="42"/>
      <c r="BO40" s="42"/>
      <c r="BP40" s="42">
        <v>0</v>
      </c>
      <c r="BQ40" s="42"/>
      <c r="BR40" s="42"/>
      <c r="BS40" s="42"/>
      <c r="BT40" s="42"/>
      <c r="BU40" s="42"/>
      <c r="BV40" s="42"/>
      <c r="BW40" s="42"/>
    </row>
    <row r="41" spans="1:75" x14ac:dyDescent="0.25">
      <c r="A41" s="158">
        <v>38</v>
      </c>
      <c r="B41" s="159" t="s">
        <v>236</v>
      </c>
      <c r="C41" s="126">
        <v>6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>
        <v>2799900000</v>
      </c>
      <c r="P41" s="44">
        <v>-1313279836</v>
      </c>
      <c r="Q41" s="44">
        <v>8342787873</v>
      </c>
      <c r="R41" s="44">
        <v>-8733149248</v>
      </c>
      <c r="S41" s="44">
        <v>8137010785</v>
      </c>
      <c r="T41" s="44">
        <v>170629347</v>
      </c>
      <c r="U41" s="44">
        <v>-2746468889</v>
      </c>
      <c r="V41" s="44">
        <v>-4937923240</v>
      </c>
      <c r="W41" s="44">
        <v>2216860226</v>
      </c>
      <c r="X41" s="44">
        <v>-2235616909</v>
      </c>
      <c r="Y41" s="44">
        <v>901901251</v>
      </c>
      <c r="Z41" s="44">
        <v>-1787471102</v>
      </c>
      <c r="AA41" s="44">
        <v>4288411714</v>
      </c>
      <c r="AB41" s="44">
        <v>-2919638561</v>
      </c>
      <c r="AC41" s="44">
        <v>-187598888</v>
      </c>
      <c r="AD41" s="44">
        <v>-692386172</v>
      </c>
      <c r="AE41" s="44">
        <v>490492335</v>
      </c>
      <c r="AF41" s="44">
        <v>240789379</v>
      </c>
      <c r="AG41" s="44">
        <v>-856774696</v>
      </c>
      <c r="AH41" s="44">
        <v>7278873008</v>
      </c>
      <c r="AI41" s="44">
        <v>-6653829146</v>
      </c>
      <c r="AJ41" s="44">
        <v>-434442110</v>
      </c>
      <c r="AK41" s="44">
        <v>-911001209</v>
      </c>
      <c r="AL41" s="44">
        <v>190279872</v>
      </c>
      <c r="AM41" s="44">
        <v>541263650</v>
      </c>
      <c r="AN41" s="44">
        <v>1756596044</v>
      </c>
      <c r="AO41" s="44">
        <v>-681077220</v>
      </c>
      <c r="AP41" s="44">
        <v>1953858386</v>
      </c>
      <c r="AQ41" s="44">
        <v>-661187208</v>
      </c>
      <c r="AR41" s="44">
        <v>384106735</v>
      </c>
      <c r="AS41" s="44">
        <v>-3169758113</v>
      </c>
      <c r="AT41" s="44">
        <v>2033343480</v>
      </c>
      <c r="AU41" s="44">
        <v>-2473823046</v>
      </c>
      <c r="AV41" s="44">
        <v>-324257783</v>
      </c>
      <c r="AW41" s="44">
        <v>3389303343</v>
      </c>
      <c r="AX41" s="44">
        <v>-1647288254</v>
      </c>
      <c r="AY41" s="45">
        <v>-29988484</v>
      </c>
      <c r="AZ41" s="45">
        <v>771407679</v>
      </c>
      <c r="BA41" s="45">
        <v>-2305560001</v>
      </c>
      <c r="BB41" s="45">
        <v>1780262783</v>
      </c>
      <c r="BC41" s="45">
        <v>797857253</v>
      </c>
      <c r="BD41" s="45">
        <v>-1695774407</v>
      </c>
      <c r="BE41" s="45">
        <v>-616575467</v>
      </c>
      <c r="BF41" s="45">
        <v>1183360414</v>
      </c>
      <c r="BG41" s="45">
        <v>944894883</v>
      </c>
      <c r="BH41" s="45">
        <v>3547341678</v>
      </c>
      <c r="BI41" s="45">
        <v>2571628645</v>
      </c>
      <c r="BJ41" s="45">
        <v>-4977030767</v>
      </c>
      <c r="BK41" s="45">
        <v>517143086</v>
      </c>
      <c r="BL41" s="45">
        <v>-2831230000</v>
      </c>
      <c r="BM41" s="45">
        <f>SUM(BM23,BM32,BM40)</f>
        <v>-775427753</v>
      </c>
      <c r="BN41" s="45">
        <f>SUM(BN23,BN32,BN40)</f>
        <v>3303951919</v>
      </c>
      <c r="BO41" s="45">
        <f>SUM(BO23,BO32,BO40)</f>
        <v>941539202</v>
      </c>
      <c r="BP41" s="45">
        <f>SUM(BP23,BP32,BP40)</f>
        <v>-1290549884</v>
      </c>
      <c r="BQ41" s="45"/>
      <c r="BR41" s="45"/>
      <c r="BS41" s="45"/>
      <c r="BT41" s="45"/>
      <c r="BU41" s="45"/>
      <c r="BV41" s="45"/>
      <c r="BW41" s="45"/>
    </row>
    <row r="42" spans="1:75" x14ac:dyDescent="0.25">
      <c r="A42" s="133">
        <v>39</v>
      </c>
      <c r="B42" s="134" t="s">
        <v>237</v>
      </c>
      <c r="C42" s="123">
        <v>6</v>
      </c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</v>
      </c>
      <c r="P42" s="42">
        <v>2799900000</v>
      </c>
      <c r="Q42" s="42">
        <v>1486620164</v>
      </c>
      <c r="R42" s="42">
        <v>9829408037</v>
      </c>
      <c r="S42" s="42">
        <v>1096258789</v>
      </c>
      <c r="T42" s="42">
        <v>9233269574</v>
      </c>
      <c r="U42" s="42">
        <v>9403898921</v>
      </c>
      <c r="V42" s="42">
        <v>6657430032</v>
      </c>
      <c r="W42" s="42">
        <v>1719506792</v>
      </c>
      <c r="X42" s="42">
        <v>3936367018</v>
      </c>
      <c r="Y42" s="42">
        <v>1700750109</v>
      </c>
      <c r="Z42" s="42">
        <v>2602651360</v>
      </c>
      <c r="AA42" s="42">
        <v>815180258</v>
      </c>
      <c r="AB42" s="42">
        <v>5103591972</v>
      </c>
      <c r="AC42" s="42">
        <v>2183953411</v>
      </c>
      <c r="AD42" s="42">
        <v>1996354523</v>
      </c>
      <c r="AE42" s="42">
        <v>1303968351</v>
      </c>
      <c r="AF42" s="42">
        <v>1794460686</v>
      </c>
      <c r="AG42" s="42">
        <v>2035250065</v>
      </c>
      <c r="AH42" s="42">
        <v>1178475369</v>
      </c>
      <c r="AI42" s="42">
        <v>8457348377</v>
      </c>
      <c r="AJ42" s="42">
        <v>1803519231</v>
      </c>
      <c r="AK42" s="42">
        <v>1369077121</v>
      </c>
      <c r="AL42" s="42">
        <v>458075912</v>
      </c>
      <c r="AM42" s="42">
        <v>648355784</v>
      </c>
      <c r="AN42" s="42">
        <v>1189619434</v>
      </c>
      <c r="AO42" s="42">
        <v>2946215478</v>
      </c>
      <c r="AP42" s="42">
        <v>2265138258</v>
      </c>
      <c r="AQ42" s="42">
        <v>4218996644</v>
      </c>
      <c r="AR42" s="42">
        <v>3557809436</v>
      </c>
      <c r="AS42" s="42">
        <v>3941916171</v>
      </c>
      <c r="AT42" s="42">
        <v>772158058</v>
      </c>
      <c r="AU42" s="42">
        <v>2805501538</v>
      </c>
      <c r="AV42" s="42">
        <v>331678492</v>
      </c>
      <c r="AW42" s="42">
        <v>7420709</v>
      </c>
      <c r="AX42" s="42">
        <v>3396724052</v>
      </c>
      <c r="AY42" s="46">
        <v>1749435798</v>
      </c>
      <c r="AZ42" s="46">
        <v>1719447314</v>
      </c>
      <c r="BA42" s="46">
        <v>2490854993</v>
      </c>
      <c r="BB42" s="46">
        <v>185294992</v>
      </c>
      <c r="BC42" s="46">
        <v>1965557775</v>
      </c>
      <c r="BD42" s="46">
        <v>2763415028</v>
      </c>
      <c r="BE42" s="46">
        <v>1067640621</v>
      </c>
      <c r="BF42" s="46">
        <v>451065154</v>
      </c>
      <c r="BG42" s="46">
        <v>1634425568</v>
      </c>
      <c r="BH42" s="46">
        <v>2579320451</v>
      </c>
      <c r="BI42" s="46">
        <v>6126662129</v>
      </c>
      <c r="BJ42" s="46">
        <v>8698290774</v>
      </c>
      <c r="BK42" s="46">
        <v>3721260007</v>
      </c>
      <c r="BL42" s="46">
        <v>4238403093</v>
      </c>
      <c r="BM42" s="46">
        <v>1407173093</v>
      </c>
      <c r="BN42" s="46">
        <f>BM44</f>
        <v>631745340</v>
      </c>
      <c r="BO42" s="46">
        <f>BN44</f>
        <v>3935697259</v>
      </c>
      <c r="BP42" s="46">
        <f>BO44</f>
        <v>4877236461</v>
      </c>
      <c r="BQ42" s="46"/>
      <c r="BR42" s="46"/>
      <c r="BS42" s="46"/>
      <c r="BT42" s="46"/>
      <c r="BU42" s="46"/>
      <c r="BV42" s="46"/>
      <c r="BW42" s="46"/>
    </row>
    <row r="43" spans="1:75" x14ac:dyDescent="0.25">
      <c r="A43" s="160">
        <v>40</v>
      </c>
      <c r="B43" s="161" t="s">
        <v>238</v>
      </c>
      <c r="C43" s="127">
        <v>6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>
        <v>0</v>
      </c>
      <c r="P43" s="47">
        <v>0</v>
      </c>
      <c r="Q43" s="47">
        <v>0</v>
      </c>
      <c r="R43" s="47">
        <v>0</v>
      </c>
      <c r="S43" s="47">
        <v>0</v>
      </c>
      <c r="T43" s="47">
        <v>0</v>
      </c>
      <c r="U43" s="47">
        <v>0</v>
      </c>
      <c r="V43" s="47">
        <v>0</v>
      </c>
      <c r="W43" s="47">
        <v>0</v>
      </c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8"/>
      <c r="AZ43" s="49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</row>
    <row r="44" spans="1:75" x14ac:dyDescent="0.25">
      <c r="A44" s="133">
        <v>41</v>
      </c>
      <c r="B44" s="134" t="s">
        <v>239</v>
      </c>
      <c r="C44" s="123">
        <v>6</v>
      </c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>
        <v>2799900000</v>
      </c>
      <c r="P44" s="42">
        <v>1486620164</v>
      </c>
      <c r="Q44" s="42">
        <v>9829408037</v>
      </c>
      <c r="R44" s="42">
        <v>1096258789</v>
      </c>
      <c r="S44" s="42">
        <v>9233269574</v>
      </c>
      <c r="T44" s="42">
        <v>9403898921</v>
      </c>
      <c r="U44" s="42">
        <v>6657430032</v>
      </c>
      <c r="V44" s="42">
        <v>1719506792</v>
      </c>
      <c r="W44" s="42">
        <v>3936367018</v>
      </c>
      <c r="X44" s="42">
        <v>1700750109</v>
      </c>
      <c r="Y44" s="42">
        <v>2602651360</v>
      </c>
      <c r="Z44" s="42">
        <v>815180258</v>
      </c>
      <c r="AA44" s="42">
        <v>5103591972</v>
      </c>
      <c r="AB44" s="42">
        <v>2183953411</v>
      </c>
      <c r="AC44" s="42">
        <v>1996354523</v>
      </c>
      <c r="AD44" s="42">
        <v>1303968351</v>
      </c>
      <c r="AE44" s="42">
        <v>1794460686</v>
      </c>
      <c r="AF44" s="42">
        <v>2035250065</v>
      </c>
      <c r="AG44" s="42">
        <v>1178475369</v>
      </c>
      <c r="AH44" s="42">
        <v>8457348377</v>
      </c>
      <c r="AI44" s="42">
        <v>1803519231</v>
      </c>
      <c r="AJ44" s="42">
        <v>1369077121</v>
      </c>
      <c r="AK44" s="42">
        <v>458075912</v>
      </c>
      <c r="AL44" s="42">
        <v>648355784</v>
      </c>
      <c r="AM44" s="42">
        <v>1189619434</v>
      </c>
      <c r="AN44" s="42">
        <v>2946215478</v>
      </c>
      <c r="AO44" s="42">
        <v>2265138258</v>
      </c>
      <c r="AP44" s="42">
        <v>4218996644</v>
      </c>
      <c r="AQ44" s="42">
        <v>3557809436</v>
      </c>
      <c r="AR44" s="42">
        <v>3941916171</v>
      </c>
      <c r="AS44" s="42">
        <v>772158058</v>
      </c>
      <c r="AT44" s="42">
        <v>2805501538</v>
      </c>
      <c r="AU44" s="42">
        <v>331678492</v>
      </c>
      <c r="AV44" s="42">
        <v>7420709</v>
      </c>
      <c r="AW44" s="42">
        <v>3396724052</v>
      </c>
      <c r="AX44" s="42">
        <v>1749435798</v>
      </c>
      <c r="AY44" s="42">
        <v>1719447314</v>
      </c>
      <c r="AZ44" s="42">
        <v>2490854993</v>
      </c>
      <c r="BA44" s="42">
        <v>185294992</v>
      </c>
      <c r="BB44" s="42">
        <v>1965557775</v>
      </c>
      <c r="BC44" s="42">
        <v>2763415028</v>
      </c>
      <c r="BD44" s="42">
        <v>1067640621</v>
      </c>
      <c r="BE44" s="42">
        <v>451065154</v>
      </c>
      <c r="BF44" s="42">
        <v>1634425568</v>
      </c>
      <c r="BG44" s="42">
        <v>2579320451</v>
      </c>
      <c r="BH44" s="42">
        <v>6126662129</v>
      </c>
      <c r="BI44" s="42">
        <v>8698290774</v>
      </c>
      <c r="BJ44" s="42">
        <v>3721260007</v>
      </c>
      <c r="BK44" s="42">
        <v>4238403093</v>
      </c>
      <c r="BL44" s="42">
        <v>1407173093</v>
      </c>
      <c r="BM44" s="42">
        <f>SUM(BM41:BM42)</f>
        <v>631745340</v>
      </c>
      <c r="BN44" s="42">
        <f>SUM(BN41:BN42)</f>
        <v>3935697259</v>
      </c>
      <c r="BO44" s="42">
        <f>SUM(BO41:BO42)</f>
        <v>4877236461</v>
      </c>
      <c r="BP44" s="42">
        <f>SUM(BP41:BP42)</f>
        <v>3586686577</v>
      </c>
      <c r="BQ44" s="42"/>
      <c r="BR44" s="42"/>
      <c r="BS44" s="42"/>
      <c r="BT44" s="42"/>
      <c r="BU44" s="42"/>
      <c r="BV44" s="42"/>
      <c r="BW44" s="42"/>
    </row>
  </sheetData>
  <sheetProtection algorithmName="SHA-512" hashValue="yfCK4ykS29ZD3X/dHIcWk3oQywxR3ai5MYIQBzslN73nDnhdKYkqeUDKQ5BLQB4s1qh4k1cOG4nnALSnAdQP7w==" saltValue="5Apo3znPT4BgztZ9tak8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2C0FF-0167-4501-B7DA-E59569DF50D5}">
  <sheetPr>
    <tabColor theme="9" tint="0.59999389629810485"/>
  </sheetPr>
  <dimension ref="A1:BW57"/>
  <sheetViews>
    <sheetView showGridLines="0" zoomScale="80" zoomScaleNormal="80" workbookViewId="0">
      <pane xSplit="3" ySplit="3" topLeftCell="AX4" activePane="bottomRight" state="frozen"/>
      <selection pane="topRight" activeCell="AZ4" sqref="AZ4"/>
      <selection pane="bottomLeft" activeCell="AZ4" sqref="AZ4"/>
      <selection pane="bottomRight" activeCell="AZ16" sqref="AZ16:BK28"/>
    </sheetView>
  </sheetViews>
  <sheetFormatPr defaultRowHeight="15" x14ac:dyDescent="0.25"/>
  <cols>
    <col min="1" max="1" width="10.7109375" hidden="1" customWidth="1"/>
    <col min="2" max="2" width="56.28515625" bestFit="1" customWidth="1"/>
    <col min="3" max="3" width="9.140625" hidden="1" customWidth="1"/>
    <col min="4" max="20" width="13.7109375" customWidth="1"/>
    <col min="21" max="21" width="14.42578125" customWidth="1"/>
    <col min="22" max="25" width="13.7109375" customWidth="1"/>
    <col min="26" max="29" width="14.42578125" customWidth="1"/>
    <col min="30" max="30" width="14.85546875" customWidth="1"/>
    <col min="31" max="35" width="14.42578125" customWidth="1"/>
    <col min="36" max="37" width="13.7109375" customWidth="1"/>
    <col min="38" max="38" width="14.42578125" customWidth="1"/>
    <col min="39" max="39" width="13.7109375" customWidth="1"/>
    <col min="40" max="40" width="14.85546875" customWidth="1"/>
    <col min="41" max="41" width="14.42578125" customWidth="1"/>
    <col min="42" max="43" width="13.7109375" customWidth="1"/>
    <col min="44" max="44" width="14.42578125" customWidth="1"/>
    <col min="45" max="45" width="14.85546875" customWidth="1"/>
    <col min="46" max="47" width="13.7109375" customWidth="1"/>
    <col min="48" max="50" width="14.85546875" customWidth="1"/>
    <col min="51" max="51" width="14.42578125" customWidth="1"/>
    <col min="52" max="53" width="14.42578125" bestFit="1" customWidth="1"/>
    <col min="54" max="61" width="14.85546875" bestFit="1" customWidth="1"/>
    <col min="62" max="62" width="13.7109375" bestFit="1" customWidth="1"/>
    <col min="63" max="63" width="14.85546875" bestFit="1" customWidth="1"/>
    <col min="64" max="75" width="14.85546875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75" t="s">
        <v>405</v>
      </c>
      <c r="B3" s="176" t="s">
        <v>406</v>
      </c>
      <c r="C3" s="205" t="s">
        <v>244</v>
      </c>
      <c r="D3" s="204" t="s">
        <v>245</v>
      </c>
      <c r="E3" s="204" t="s">
        <v>246</v>
      </c>
      <c r="F3" s="204" t="s">
        <v>247</v>
      </c>
      <c r="G3" s="204" t="s">
        <v>248</v>
      </c>
      <c r="H3" s="204" t="s">
        <v>249</v>
      </c>
      <c r="I3" s="204" t="s">
        <v>250</v>
      </c>
      <c r="J3" s="204" t="s">
        <v>251</v>
      </c>
      <c r="K3" s="204" t="s">
        <v>252</v>
      </c>
      <c r="L3" s="204" t="s">
        <v>253</v>
      </c>
      <c r="M3" s="204" t="s">
        <v>254</v>
      </c>
      <c r="N3" s="204" t="s">
        <v>255</v>
      </c>
      <c r="O3" s="204" t="s">
        <v>256</v>
      </c>
      <c r="P3" s="204" t="s">
        <v>257</v>
      </c>
      <c r="Q3" s="204" t="s">
        <v>258</v>
      </c>
      <c r="R3" s="204" t="s">
        <v>259</v>
      </c>
      <c r="S3" s="204" t="s">
        <v>260</v>
      </c>
      <c r="T3" s="204" t="s">
        <v>261</v>
      </c>
      <c r="U3" s="204" t="s">
        <v>262</v>
      </c>
      <c r="V3" s="204" t="s">
        <v>263</v>
      </c>
      <c r="W3" s="204" t="s">
        <v>264</v>
      </c>
      <c r="X3" s="204" t="s">
        <v>265</v>
      </c>
      <c r="Y3" s="204" t="s">
        <v>266</v>
      </c>
      <c r="Z3" s="204" t="s">
        <v>267</v>
      </c>
      <c r="AA3" s="204" t="s">
        <v>268</v>
      </c>
      <c r="AB3" s="204" t="s">
        <v>269</v>
      </c>
      <c r="AC3" s="204" t="s">
        <v>270</v>
      </c>
      <c r="AD3" s="204" t="s">
        <v>271</v>
      </c>
      <c r="AE3" s="204" t="s">
        <v>272</v>
      </c>
      <c r="AF3" s="204" t="s">
        <v>273</v>
      </c>
      <c r="AG3" s="204" t="s">
        <v>274</v>
      </c>
      <c r="AH3" s="204" t="s">
        <v>275</v>
      </c>
      <c r="AI3" s="204" t="s">
        <v>276</v>
      </c>
      <c r="AJ3" s="204" t="s">
        <v>277</v>
      </c>
      <c r="AK3" s="204" t="s">
        <v>278</v>
      </c>
      <c r="AL3" s="204" t="s">
        <v>279</v>
      </c>
      <c r="AM3" s="204" t="s">
        <v>280</v>
      </c>
      <c r="AN3" s="204" t="s">
        <v>281</v>
      </c>
      <c r="AO3" s="204" t="s">
        <v>282</v>
      </c>
      <c r="AP3" s="204" t="s">
        <v>283</v>
      </c>
      <c r="AQ3" s="204" t="s">
        <v>284</v>
      </c>
      <c r="AR3" s="204" t="s">
        <v>285</v>
      </c>
      <c r="AS3" s="204" t="s">
        <v>286</v>
      </c>
      <c r="AT3" s="204" t="s">
        <v>287</v>
      </c>
      <c r="AU3" s="204" t="s">
        <v>288</v>
      </c>
      <c r="AV3" s="204" t="s">
        <v>289</v>
      </c>
      <c r="AW3" s="204" t="s">
        <v>290</v>
      </c>
      <c r="AX3" s="204" t="s">
        <v>291</v>
      </c>
      <c r="AY3" s="204" t="s">
        <v>292</v>
      </c>
      <c r="AZ3" s="204" t="s">
        <v>293</v>
      </c>
      <c r="BA3" s="204" t="s">
        <v>294</v>
      </c>
      <c r="BB3" s="204" t="s">
        <v>295</v>
      </c>
      <c r="BC3" s="204" t="s">
        <v>296</v>
      </c>
      <c r="BD3" s="204" t="s">
        <v>297</v>
      </c>
      <c r="BE3" s="204" t="s">
        <v>298</v>
      </c>
      <c r="BF3" s="204" t="s">
        <v>299</v>
      </c>
      <c r="BG3" s="204" t="s">
        <v>300</v>
      </c>
      <c r="BH3" s="204" t="s">
        <v>301</v>
      </c>
      <c r="BI3" s="204" t="s">
        <v>302</v>
      </c>
      <c r="BJ3" s="204" t="s">
        <v>303</v>
      </c>
      <c r="BK3" s="204" t="s">
        <v>304</v>
      </c>
      <c r="BL3" s="204" t="s">
        <v>305</v>
      </c>
      <c r="BM3" s="204" t="s">
        <v>306</v>
      </c>
      <c r="BN3" s="204" t="s">
        <v>307</v>
      </c>
      <c r="BO3" s="204" t="s">
        <v>308</v>
      </c>
      <c r="BP3" s="204" t="s">
        <v>309</v>
      </c>
      <c r="BQ3" s="204" t="s">
        <v>310</v>
      </c>
      <c r="BR3" s="204" t="s">
        <v>311</v>
      </c>
      <c r="BS3" s="204" t="s">
        <v>312</v>
      </c>
      <c r="BT3" s="204" t="s">
        <v>313</v>
      </c>
      <c r="BU3" s="204" t="s">
        <v>314</v>
      </c>
      <c r="BV3" s="204" t="s">
        <v>315</v>
      </c>
      <c r="BW3" s="204" t="s">
        <v>316</v>
      </c>
    </row>
    <row r="4" spans="1:75" x14ac:dyDescent="0.25">
      <c r="A4" s="177">
        <v>1</v>
      </c>
      <c r="B4" s="178" t="s">
        <v>407</v>
      </c>
      <c r="C4" s="179">
        <v>6</v>
      </c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557">
        <v>58</v>
      </c>
      <c r="BA4" s="558">
        <v>59</v>
      </c>
      <c r="BB4" s="558">
        <v>88</v>
      </c>
      <c r="BC4" s="558">
        <v>79</v>
      </c>
      <c r="BD4" s="558">
        <v>79</v>
      </c>
      <c r="BE4" s="558">
        <v>89</v>
      </c>
      <c r="BF4" s="558">
        <v>89</v>
      </c>
      <c r="BG4" s="558">
        <v>100</v>
      </c>
      <c r="BH4" s="558">
        <v>101</v>
      </c>
      <c r="BI4" s="558">
        <v>93</v>
      </c>
      <c r="BJ4" s="558">
        <v>69</v>
      </c>
      <c r="BK4" s="558">
        <v>72</v>
      </c>
      <c r="BL4" s="197">
        <v>83</v>
      </c>
      <c r="BM4" s="197">
        <v>81</v>
      </c>
      <c r="BN4" s="197">
        <v>96</v>
      </c>
      <c r="BO4" s="197">
        <v>93</v>
      </c>
      <c r="BP4" s="197">
        <v>90</v>
      </c>
      <c r="BQ4" s="197"/>
      <c r="BR4" s="197"/>
      <c r="BS4" s="197"/>
      <c r="BT4" s="197"/>
      <c r="BU4" s="197"/>
      <c r="BV4" s="197"/>
      <c r="BW4" s="197"/>
    </row>
    <row r="5" spans="1:75" x14ac:dyDescent="0.25">
      <c r="A5" s="177">
        <v>2</v>
      </c>
      <c r="B5" s="178" t="s">
        <v>408</v>
      </c>
      <c r="C5" s="179">
        <v>6</v>
      </c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559">
        <v>44</v>
      </c>
      <c r="BA5" s="560">
        <v>45</v>
      </c>
      <c r="BB5" s="560">
        <v>75</v>
      </c>
      <c r="BC5" s="560">
        <v>67</v>
      </c>
      <c r="BD5" s="560">
        <v>66</v>
      </c>
      <c r="BE5" s="560">
        <v>76</v>
      </c>
      <c r="BF5" s="560">
        <v>73</v>
      </c>
      <c r="BG5" s="560">
        <v>83</v>
      </c>
      <c r="BH5" s="560">
        <v>83</v>
      </c>
      <c r="BI5" s="560">
        <v>76</v>
      </c>
      <c r="BJ5" s="560">
        <v>51</v>
      </c>
      <c r="BK5" s="560">
        <v>65</v>
      </c>
      <c r="BL5" s="197">
        <v>64</v>
      </c>
      <c r="BM5" s="197">
        <v>61</v>
      </c>
      <c r="BN5" s="197">
        <v>77</v>
      </c>
      <c r="BO5" s="197">
        <v>75</v>
      </c>
      <c r="BP5" s="197">
        <v>75</v>
      </c>
      <c r="BQ5" s="197"/>
      <c r="BR5" s="197"/>
      <c r="BS5" s="197"/>
      <c r="BT5" s="197"/>
      <c r="BU5" s="197"/>
      <c r="BV5" s="197"/>
      <c r="BW5" s="197"/>
    </row>
    <row r="6" spans="1:75" x14ac:dyDescent="0.25">
      <c r="A6" s="177">
        <v>3</v>
      </c>
      <c r="B6" s="178" t="s">
        <v>409</v>
      </c>
      <c r="C6" s="179">
        <v>6</v>
      </c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  <c r="AU6" s="197"/>
      <c r="AV6" s="197"/>
      <c r="AW6" s="197"/>
      <c r="AX6" s="197"/>
      <c r="AY6" s="197"/>
      <c r="AZ6" s="559">
        <v>26</v>
      </c>
      <c r="BA6" s="560">
        <v>20</v>
      </c>
      <c r="BB6" s="560">
        <v>22</v>
      </c>
      <c r="BC6" s="560">
        <v>26</v>
      </c>
      <c r="BD6" s="560">
        <v>25</v>
      </c>
      <c r="BE6" s="560">
        <v>27</v>
      </c>
      <c r="BF6" s="560">
        <v>26</v>
      </c>
      <c r="BG6" s="560">
        <v>26</v>
      </c>
      <c r="BH6" s="560">
        <v>27</v>
      </c>
      <c r="BI6" s="560">
        <v>26</v>
      </c>
      <c r="BJ6" s="560">
        <v>26</v>
      </c>
      <c r="BK6" s="560">
        <v>26</v>
      </c>
      <c r="BL6" s="197">
        <v>26</v>
      </c>
      <c r="BM6" s="197">
        <v>27</v>
      </c>
      <c r="BN6" s="197">
        <v>24</v>
      </c>
      <c r="BO6" s="197">
        <v>27</v>
      </c>
      <c r="BP6" s="197">
        <v>25</v>
      </c>
      <c r="BQ6" s="197"/>
      <c r="BR6" s="197"/>
      <c r="BS6" s="197"/>
      <c r="BT6" s="197"/>
      <c r="BU6" s="197"/>
      <c r="BV6" s="197"/>
      <c r="BW6" s="197"/>
    </row>
    <row r="7" spans="1:75" x14ac:dyDescent="0.25">
      <c r="A7" s="177">
        <v>4</v>
      </c>
      <c r="B7" s="178" t="s">
        <v>410</v>
      </c>
      <c r="C7" s="179">
        <v>6</v>
      </c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>
        <v>538.81799999999998</v>
      </c>
      <c r="AO7" s="197">
        <v>294.95800000000003</v>
      </c>
      <c r="AP7" s="197">
        <v>591.25199999999995</v>
      </c>
      <c r="AQ7" s="197">
        <v>564.87</v>
      </c>
      <c r="AR7" s="197">
        <v>435.01400000000001</v>
      </c>
      <c r="AS7" s="197">
        <v>593.49300000000005</v>
      </c>
      <c r="AT7" s="197">
        <v>592.72400000000005</v>
      </c>
      <c r="AU7" s="197">
        <v>583.46199999999999</v>
      </c>
      <c r="AV7" s="197">
        <v>675.93</v>
      </c>
      <c r="AW7" s="197">
        <v>828.18899999999996</v>
      </c>
      <c r="AX7" s="197">
        <v>652.16399999999999</v>
      </c>
      <c r="AY7" s="197">
        <v>581.43499999999995</v>
      </c>
      <c r="AZ7" s="197">
        <v>240.886</v>
      </c>
      <c r="BA7" s="197">
        <v>537.07600000000002</v>
      </c>
      <c r="BB7" s="197">
        <v>892.524</v>
      </c>
      <c r="BC7" s="197">
        <v>830.70299999999997</v>
      </c>
      <c r="BD7" s="197">
        <v>1021.18</v>
      </c>
      <c r="BE7" s="197">
        <v>1140.0530000000001</v>
      </c>
      <c r="BF7" s="197">
        <v>1307.1079999999999</v>
      </c>
      <c r="BG7" s="197">
        <v>1213.9480000000001</v>
      </c>
      <c r="BH7" s="197">
        <v>1128.877</v>
      </c>
      <c r="BI7" s="197">
        <v>1037.4349999999999</v>
      </c>
      <c r="BJ7" s="197">
        <v>580.66099999999994</v>
      </c>
      <c r="BK7" s="197">
        <v>728.96299999999997</v>
      </c>
      <c r="BL7" s="197">
        <v>930.02499999999998</v>
      </c>
      <c r="BM7" s="197">
        <v>643.74199999999996</v>
      </c>
      <c r="BN7" s="197">
        <v>1232.6099999999999</v>
      </c>
      <c r="BO7" s="197">
        <v>1029.2180000000001</v>
      </c>
      <c r="BP7" s="197">
        <v>896.54700000000003</v>
      </c>
      <c r="BQ7" s="197"/>
      <c r="BR7" s="197"/>
      <c r="BS7" s="197"/>
      <c r="BT7" s="197"/>
      <c r="BU7" s="197"/>
      <c r="BV7" s="197"/>
      <c r="BW7" s="197"/>
    </row>
    <row r="8" spans="1:75" x14ac:dyDescent="0.25">
      <c r="A8" s="177">
        <v>5</v>
      </c>
      <c r="B8" s="178" t="s">
        <v>411</v>
      </c>
      <c r="C8" s="179">
        <v>6</v>
      </c>
      <c r="D8" s="197">
        <v>0</v>
      </c>
      <c r="E8" s="197">
        <v>0</v>
      </c>
      <c r="F8" s="197">
        <v>0</v>
      </c>
      <c r="G8" s="197">
        <v>0</v>
      </c>
      <c r="H8" s="197">
        <v>0</v>
      </c>
      <c r="I8" s="197">
        <v>0</v>
      </c>
      <c r="J8" s="197">
        <v>0</v>
      </c>
      <c r="K8" s="197">
        <v>0</v>
      </c>
      <c r="L8" s="197">
        <v>0</v>
      </c>
      <c r="M8" s="197">
        <v>0</v>
      </c>
      <c r="N8" s="197">
        <v>0</v>
      </c>
      <c r="O8" s="197">
        <v>0</v>
      </c>
      <c r="P8" s="197">
        <v>0</v>
      </c>
      <c r="Q8" s="197">
        <v>0</v>
      </c>
      <c r="R8" s="197">
        <v>0</v>
      </c>
      <c r="S8" s="197">
        <v>54.835000000000001</v>
      </c>
      <c r="T8" s="197">
        <v>109.376</v>
      </c>
      <c r="U8" s="197">
        <v>98.263000000000005</v>
      </c>
      <c r="V8" s="197">
        <v>105.184</v>
      </c>
      <c r="W8" s="197">
        <v>213.47300000000001</v>
      </c>
      <c r="X8" s="197">
        <v>201.09700000000001</v>
      </c>
      <c r="Y8" s="197">
        <v>390.959</v>
      </c>
      <c r="Z8" s="197">
        <v>542.95100000000002</v>
      </c>
      <c r="AA8" s="197">
        <v>727.96600000000001</v>
      </c>
      <c r="AB8" s="197">
        <v>208.2345</v>
      </c>
      <c r="AC8" s="197">
        <v>392.92200000000003</v>
      </c>
      <c r="AD8" s="197">
        <v>716.88350000000003</v>
      </c>
      <c r="AE8" s="197">
        <v>473.315</v>
      </c>
      <c r="AF8" s="197">
        <v>316.38099999999997</v>
      </c>
      <c r="AG8" s="197">
        <v>414.83100000000002</v>
      </c>
      <c r="AH8" s="197">
        <v>288</v>
      </c>
      <c r="AI8" s="197">
        <v>282</v>
      </c>
      <c r="AJ8" s="197">
        <v>269.83</v>
      </c>
      <c r="AK8" s="197">
        <v>453.71600000000001</v>
      </c>
      <c r="AL8" s="197">
        <v>445.65550000000002</v>
      </c>
      <c r="AM8" s="197">
        <v>511.57850000000002</v>
      </c>
      <c r="AN8" s="197">
        <v>938</v>
      </c>
      <c r="AO8" s="197">
        <v>278</v>
      </c>
      <c r="AP8" s="197">
        <v>573</v>
      </c>
      <c r="AQ8" s="197">
        <v>500</v>
      </c>
      <c r="AR8" s="197">
        <v>507</v>
      </c>
      <c r="AS8" s="197">
        <v>799</v>
      </c>
      <c r="AT8" s="197">
        <v>509</v>
      </c>
      <c r="AU8" s="197">
        <v>498</v>
      </c>
      <c r="AV8" s="197">
        <v>551</v>
      </c>
      <c r="AW8" s="197">
        <v>716</v>
      </c>
      <c r="AX8" s="197">
        <v>538</v>
      </c>
      <c r="AY8" s="197">
        <v>381</v>
      </c>
      <c r="AZ8" s="197">
        <v>335.18099999999998</v>
      </c>
      <c r="BA8" s="197">
        <v>444.00400000000002</v>
      </c>
      <c r="BB8" s="197">
        <v>890.471</v>
      </c>
      <c r="BC8" s="197">
        <v>800.71199999999999</v>
      </c>
      <c r="BD8" s="197">
        <v>928.13599999999997</v>
      </c>
      <c r="BE8" s="197">
        <v>1154.8889999999999</v>
      </c>
      <c r="BF8" s="197">
        <v>1153.798</v>
      </c>
      <c r="BG8" s="197">
        <v>1107.847</v>
      </c>
      <c r="BH8" s="197">
        <v>1004.975</v>
      </c>
      <c r="BI8" s="197">
        <v>1004.9</v>
      </c>
      <c r="BJ8" s="197">
        <v>513.84</v>
      </c>
      <c r="BK8" s="197">
        <v>685.79300000000001</v>
      </c>
      <c r="BL8" s="197">
        <f>'Ket qua kinh doanh'!BL4</f>
        <v>783.08199999999999</v>
      </c>
      <c r="BM8" s="197">
        <f>'Ket qua kinh doanh'!BM4</f>
        <v>523.87300000000005</v>
      </c>
      <c r="BN8" s="197">
        <f>'Ket qua kinh doanh'!BN4</f>
        <v>990.11400000000003</v>
      </c>
      <c r="BO8" s="197">
        <f>'Ket qua kinh doanh'!BO4</f>
        <v>915.41700000000003</v>
      </c>
      <c r="BP8" s="197">
        <f>'Ket qua kinh doanh'!BP4</f>
        <v>803.01199999999994</v>
      </c>
      <c r="BQ8" s="197">
        <f>'Ket qua kinh doanh'!BQ4</f>
        <v>0</v>
      </c>
      <c r="BR8" s="197">
        <f>'Ket qua kinh doanh'!BR4</f>
        <v>0</v>
      </c>
      <c r="BS8" s="197">
        <f>'Ket qua kinh doanh'!BS4</f>
        <v>0</v>
      </c>
      <c r="BT8" s="197">
        <f>'Ket qua kinh doanh'!BT4</f>
        <v>0</v>
      </c>
      <c r="BU8" s="197">
        <f>'Ket qua kinh doanh'!BU4</f>
        <v>0</v>
      </c>
      <c r="BV8" s="197">
        <f>'Ket qua kinh doanh'!BV4</f>
        <v>0</v>
      </c>
      <c r="BW8" s="197">
        <f>'Ket qua kinh doanh'!BW4</f>
        <v>0</v>
      </c>
    </row>
    <row r="9" spans="1:75" x14ac:dyDescent="0.25">
      <c r="A9" s="180">
        <v>6</v>
      </c>
      <c r="B9" s="181" t="s">
        <v>412</v>
      </c>
      <c r="C9" s="182">
        <v>6</v>
      </c>
      <c r="D9" s="198">
        <v>0</v>
      </c>
      <c r="E9" s="198">
        <v>0</v>
      </c>
      <c r="F9" s="198">
        <v>0</v>
      </c>
      <c r="G9" s="198">
        <v>0</v>
      </c>
      <c r="H9" s="198">
        <v>0</v>
      </c>
      <c r="I9" s="198">
        <v>0</v>
      </c>
      <c r="J9" s="198">
        <v>0</v>
      </c>
      <c r="K9" s="198">
        <v>0</v>
      </c>
      <c r="L9" s="198">
        <v>0</v>
      </c>
      <c r="M9" s="198">
        <v>0</v>
      </c>
      <c r="N9" s="198">
        <v>0</v>
      </c>
      <c r="O9" s="198">
        <v>0</v>
      </c>
      <c r="P9" s="198">
        <v>0</v>
      </c>
      <c r="Q9" s="198">
        <v>0</v>
      </c>
      <c r="R9" s="198">
        <v>0</v>
      </c>
      <c r="S9" s="198">
        <v>867124500</v>
      </c>
      <c r="T9" s="198">
        <v>1806629000</v>
      </c>
      <c r="U9" s="198">
        <v>1808611000</v>
      </c>
      <c r="V9" s="198">
        <v>1898558000</v>
      </c>
      <c r="W9" s="198">
        <v>3939705500</v>
      </c>
      <c r="X9" s="198">
        <v>3396159500</v>
      </c>
      <c r="Y9" s="198">
        <v>7207694201</v>
      </c>
      <c r="Z9" s="198">
        <v>5938251216</v>
      </c>
      <c r="AA9" s="198">
        <v>8982822290</v>
      </c>
      <c r="AB9" s="198">
        <v>2253383204</v>
      </c>
      <c r="AC9" s="198">
        <v>4265090683</v>
      </c>
      <c r="AD9" s="198">
        <v>10639282713</v>
      </c>
      <c r="AE9" s="198">
        <v>6949558981</v>
      </c>
      <c r="AF9" s="198">
        <v>3324235725</v>
      </c>
      <c r="AG9" s="198">
        <v>5636906111</v>
      </c>
      <c r="AH9" s="198">
        <v>3501002041</v>
      </c>
      <c r="AI9" s="198">
        <v>4192925810</v>
      </c>
      <c r="AJ9" s="198">
        <v>4197374650</v>
      </c>
      <c r="AK9" s="198">
        <v>7583193100</v>
      </c>
      <c r="AL9" s="198">
        <v>7831508500</v>
      </c>
      <c r="AM9" s="198">
        <v>8405029580</v>
      </c>
      <c r="AN9" s="198">
        <v>18859106420</v>
      </c>
      <c r="AO9" s="198">
        <v>4569145960</v>
      </c>
      <c r="AP9" s="198">
        <v>9889167500</v>
      </c>
      <c r="AQ9" s="198">
        <v>8988544600</v>
      </c>
      <c r="AR9" s="198">
        <v>8396397250</v>
      </c>
      <c r="AS9" s="198">
        <v>13981977600</v>
      </c>
      <c r="AT9" s="198">
        <v>8695495766</v>
      </c>
      <c r="AU9" s="198">
        <v>9066018899</v>
      </c>
      <c r="AV9" s="198">
        <v>10085358702</v>
      </c>
      <c r="AW9" s="198">
        <v>12770520896</v>
      </c>
      <c r="AX9" s="198">
        <v>10341915406</v>
      </c>
      <c r="AY9" s="198">
        <v>9052536426</v>
      </c>
      <c r="AZ9" s="198">
        <v>5422948492</v>
      </c>
      <c r="BA9" s="198">
        <v>8810676928</v>
      </c>
      <c r="BB9" s="198">
        <v>16279256392</v>
      </c>
      <c r="BC9" s="198">
        <v>14772471605</v>
      </c>
      <c r="BD9" s="198">
        <v>17582066937</v>
      </c>
      <c r="BE9" s="198">
        <v>19496019197</v>
      </c>
      <c r="BF9" s="198">
        <v>21794142714</v>
      </c>
      <c r="BG9" s="198">
        <v>20947068360</v>
      </c>
      <c r="BH9" s="198">
        <v>16624308416</v>
      </c>
      <c r="BI9" s="198">
        <v>14529961948</v>
      </c>
      <c r="BJ9" s="198">
        <v>7374095784</v>
      </c>
      <c r="BK9" s="198">
        <v>10294667630</v>
      </c>
      <c r="BL9" s="198">
        <f>'Ket qua kinh doanh'!BL5</f>
        <v>11775760050</v>
      </c>
      <c r="BM9" s="198">
        <f>'Ket qua kinh doanh'!BM5</f>
        <v>8275817930</v>
      </c>
      <c r="BN9" s="198">
        <f>'Ket qua kinh doanh'!BN5</f>
        <v>14654267870</v>
      </c>
      <c r="BO9" s="198">
        <f>'Ket qua kinh doanh'!BO5</f>
        <v>14396490230</v>
      </c>
      <c r="BP9" s="198">
        <f>'Ket qua kinh doanh'!BP5</f>
        <v>13143854160</v>
      </c>
      <c r="BQ9" s="198">
        <f>'Ket qua kinh doanh'!BQ5</f>
        <v>0</v>
      </c>
      <c r="BR9" s="198">
        <f>'Ket qua kinh doanh'!BR5</f>
        <v>0</v>
      </c>
      <c r="BS9" s="198">
        <f>'Ket qua kinh doanh'!BS5</f>
        <v>0</v>
      </c>
      <c r="BT9" s="198">
        <f>'Ket qua kinh doanh'!BT5</f>
        <v>0</v>
      </c>
      <c r="BU9" s="198">
        <f>'Ket qua kinh doanh'!BU5</f>
        <v>0</v>
      </c>
      <c r="BV9" s="198">
        <f>'Ket qua kinh doanh'!BV5</f>
        <v>0</v>
      </c>
      <c r="BW9" s="198">
        <f>'Ket qua kinh doanh'!BW5</f>
        <v>0</v>
      </c>
    </row>
    <row r="10" spans="1:75" x14ac:dyDescent="0.25">
      <c r="A10" s="183">
        <v>7</v>
      </c>
      <c r="B10" s="184" t="s">
        <v>413</v>
      </c>
      <c r="C10" s="185">
        <v>6</v>
      </c>
      <c r="D10" s="199">
        <v>0</v>
      </c>
      <c r="E10" s="199">
        <v>0</v>
      </c>
      <c r="F10" s="199">
        <v>0</v>
      </c>
      <c r="G10" s="199">
        <v>0</v>
      </c>
      <c r="H10" s="199">
        <v>0</v>
      </c>
      <c r="I10" s="199">
        <v>0</v>
      </c>
      <c r="J10" s="199">
        <v>0</v>
      </c>
      <c r="K10" s="199">
        <v>0</v>
      </c>
      <c r="L10" s="199">
        <v>0</v>
      </c>
      <c r="M10" s="199">
        <v>0</v>
      </c>
      <c r="N10" s="199">
        <v>0</v>
      </c>
      <c r="O10" s="199">
        <v>0</v>
      </c>
      <c r="P10" s="199">
        <v>0</v>
      </c>
      <c r="Q10" s="199">
        <v>0</v>
      </c>
      <c r="R10" s="199">
        <v>0</v>
      </c>
      <c r="S10" s="199">
        <v>0</v>
      </c>
      <c r="T10" s="199">
        <v>0</v>
      </c>
      <c r="U10" s="199">
        <v>0</v>
      </c>
      <c r="V10" s="199">
        <v>0</v>
      </c>
      <c r="W10" s="199">
        <v>0</v>
      </c>
      <c r="X10" s="199">
        <v>0</v>
      </c>
      <c r="Y10" s="199">
        <v>0</v>
      </c>
      <c r="Z10" s="199">
        <v>0</v>
      </c>
      <c r="AA10" s="199">
        <v>0</v>
      </c>
      <c r="AB10" s="199">
        <v>0</v>
      </c>
      <c r="AC10" s="199">
        <v>0</v>
      </c>
      <c r="AD10" s="199">
        <v>0</v>
      </c>
      <c r="AE10" s="199">
        <v>0</v>
      </c>
      <c r="AF10" s="199">
        <v>0</v>
      </c>
      <c r="AG10" s="199">
        <v>0</v>
      </c>
      <c r="AH10" s="199">
        <v>0</v>
      </c>
      <c r="AI10" s="199">
        <v>0</v>
      </c>
      <c r="AJ10" s="199">
        <v>0</v>
      </c>
      <c r="AK10" s="199">
        <v>0</v>
      </c>
      <c r="AL10" s="199">
        <v>0</v>
      </c>
      <c r="AM10" s="199">
        <v>0</v>
      </c>
      <c r="AN10" s="199">
        <v>0</v>
      </c>
      <c r="AO10" s="199">
        <v>0</v>
      </c>
      <c r="AP10" s="199">
        <v>0</v>
      </c>
      <c r="AQ10" s="199">
        <v>0</v>
      </c>
      <c r="AR10" s="199">
        <v>0</v>
      </c>
      <c r="AS10" s="199">
        <v>0</v>
      </c>
      <c r="AT10" s="199">
        <v>0</v>
      </c>
      <c r="AU10" s="199">
        <v>0</v>
      </c>
      <c r="AV10" s="199">
        <v>0</v>
      </c>
      <c r="AW10" s="199">
        <v>0</v>
      </c>
      <c r="AX10" s="199">
        <v>0</v>
      </c>
      <c r="AY10" s="199">
        <v>0</v>
      </c>
      <c r="AZ10" s="199">
        <v>0</v>
      </c>
      <c r="BA10" s="199">
        <v>0</v>
      </c>
      <c r="BB10" s="199">
        <v>0</v>
      </c>
      <c r="BC10" s="199">
        <v>0</v>
      </c>
      <c r="BD10" s="199">
        <v>0</v>
      </c>
      <c r="BE10" s="199">
        <v>0</v>
      </c>
      <c r="BF10" s="199">
        <v>0</v>
      </c>
      <c r="BG10" s="199">
        <v>0</v>
      </c>
      <c r="BH10" s="199">
        <v>0</v>
      </c>
      <c r="BI10" s="199">
        <v>0</v>
      </c>
      <c r="BJ10" s="199">
        <v>0</v>
      </c>
      <c r="BK10" s="199">
        <f>'Ket qua kinh doanh'!BK6</f>
        <v>0</v>
      </c>
      <c r="BL10" s="199">
        <f>'Ket qua kinh doanh'!BL6</f>
        <v>0</v>
      </c>
      <c r="BM10" s="199">
        <f>'Ket qua kinh doanh'!BM6</f>
        <v>0</v>
      </c>
      <c r="BN10" s="199">
        <f>'Ket qua kinh doanh'!BN6</f>
        <v>0</v>
      </c>
      <c r="BO10" s="199">
        <f>'Ket qua kinh doanh'!BO6</f>
        <v>0</v>
      </c>
      <c r="BP10" s="199">
        <f>'Ket qua kinh doanh'!BP6</f>
        <v>0</v>
      </c>
      <c r="BQ10" s="199">
        <f>'Ket qua kinh doanh'!BQ6</f>
        <v>0</v>
      </c>
      <c r="BR10" s="199">
        <f>'Ket qua kinh doanh'!BR6</f>
        <v>0</v>
      </c>
      <c r="BS10" s="199">
        <f>'Ket qua kinh doanh'!BS6</f>
        <v>0</v>
      </c>
      <c r="BT10" s="199">
        <f>'Ket qua kinh doanh'!BT6</f>
        <v>0</v>
      </c>
      <c r="BU10" s="199">
        <f>'Ket qua kinh doanh'!BU6</f>
        <v>0</v>
      </c>
      <c r="BV10" s="199">
        <f>'Ket qua kinh doanh'!BV6</f>
        <v>0</v>
      </c>
      <c r="BW10" s="199">
        <f>'Ket qua kinh doanh'!BW6</f>
        <v>0</v>
      </c>
    </row>
    <row r="11" spans="1:75" x14ac:dyDescent="0.25">
      <c r="A11" s="183">
        <v>8</v>
      </c>
      <c r="B11" s="184" t="s">
        <v>414</v>
      </c>
      <c r="C11" s="186">
        <v>6</v>
      </c>
      <c r="D11" s="200" t="s">
        <v>415</v>
      </c>
      <c r="E11" s="200" t="s">
        <v>415</v>
      </c>
      <c r="F11" s="200" t="s">
        <v>415</v>
      </c>
      <c r="G11" s="200" t="s">
        <v>415</v>
      </c>
      <c r="H11" s="200" t="s">
        <v>415</v>
      </c>
      <c r="I11" s="200" t="s">
        <v>415</v>
      </c>
      <c r="J11" s="200" t="s">
        <v>415</v>
      </c>
      <c r="K11" s="200" t="s">
        <v>415</v>
      </c>
      <c r="L11" s="200" t="s">
        <v>415</v>
      </c>
      <c r="M11" s="200" t="s">
        <v>415</v>
      </c>
      <c r="N11" s="200" t="s">
        <v>415</v>
      </c>
      <c r="O11" s="200" t="s">
        <v>415</v>
      </c>
      <c r="P11" s="200" t="s">
        <v>415</v>
      </c>
      <c r="Q11" s="200" t="s">
        <v>415</v>
      </c>
      <c r="R11" s="200" t="s">
        <v>415</v>
      </c>
      <c r="S11" s="200">
        <v>0</v>
      </c>
      <c r="T11" s="200">
        <v>0</v>
      </c>
      <c r="U11" s="200">
        <v>0</v>
      </c>
      <c r="V11" s="200">
        <v>0</v>
      </c>
      <c r="W11" s="200">
        <v>0</v>
      </c>
      <c r="X11" s="200">
        <v>0</v>
      </c>
      <c r="Y11" s="200">
        <v>0</v>
      </c>
      <c r="Z11" s="200">
        <v>0</v>
      </c>
      <c r="AA11" s="200">
        <v>0</v>
      </c>
      <c r="AB11" s="200">
        <v>0</v>
      </c>
      <c r="AC11" s="200">
        <v>0</v>
      </c>
      <c r="AD11" s="200">
        <v>0</v>
      </c>
      <c r="AE11" s="200">
        <v>0</v>
      </c>
      <c r="AF11" s="200">
        <v>0</v>
      </c>
      <c r="AG11" s="200">
        <v>0</v>
      </c>
      <c r="AH11" s="200">
        <v>0</v>
      </c>
      <c r="AI11" s="200">
        <v>0</v>
      </c>
      <c r="AJ11" s="200">
        <v>0</v>
      </c>
      <c r="AK11" s="200">
        <v>0</v>
      </c>
      <c r="AL11" s="200">
        <v>0</v>
      </c>
      <c r="AM11" s="200">
        <v>0</v>
      </c>
      <c r="AN11" s="200">
        <v>0</v>
      </c>
      <c r="AO11" s="200">
        <v>0</v>
      </c>
      <c r="AP11" s="200">
        <v>0</v>
      </c>
      <c r="AQ11" s="200">
        <v>0</v>
      </c>
      <c r="AR11" s="200">
        <v>0</v>
      </c>
      <c r="AS11" s="200">
        <v>0</v>
      </c>
      <c r="AT11" s="200">
        <v>0</v>
      </c>
      <c r="AU11" s="200">
        <v>0</v>
      </c>
      <c r="AV11" s="200">
        <v>0</v>
      </c>
      <c r="AW11" s="200">
        <v>0</v>
      </c>
      <c r="AX11" s="200">
        <v>0</v>
      </c>
      <c r="AY11" s="200">
        <v>0</v>
      </c>
      <c r="AZ11" s="200">
        <v>0</v>
      </c>
      <c r="BA11" s="200">
        <v>0</v>
      </c>
      <c r="BB11" s="200">
        <v>0</v>
      </c>
      <c r="BC11" s="200">
        <v>0</v>
      </c>
      <c r="BD11" s="200">
        <v>0</v>
      </c>
      <c r="BE11" s="200">
        <v>0</v>
      </c>
      <c r="BF11" s="200">
        <v>0</v>
      </c>
      <c r="BG11" s="200">
        <v>0</v>
      </c>
      <c r="BH11" s="200">
        <v>0</v>
      </c>
      <c r="BI11" s="200">
        <v>0</v>
      </c>
      <c r="BJ11" s="200">
        <v>0</v>
      </c>
      <c r="BK11" s="200">
        <f t="shared" ref="BK11:BW11" si="0">IFERROR(BK10/BK9,"")</f>
        <v>0</v>
      </c>
      <c r="BL11" s="200">
        <f t="shared" si="0"/>
        <v>0</v>
      </c>
      <c r="BM11" s="200">
        <f t="shared" si="0"/>
        <v>0</v>
      </c>
      <c r="BN11" s="200">
        <f t="shared" si="0"/>
        <v>0</v>
      </c>
      <c r="BO11" s="200">
        <f t="shared" si="0"/>
        <v>0</v>
      </c>
      <c r="BP11" s="200">
        <f t="shared" si="0"/>
        <v>0</v>
      </c>
      <c r="BQ11" s="200" t="str">
        <f t="shared" si="0"/>
        <v/>
      </c>
      <c r="BR11" s="200" t="str">
        <f t="shared" si="0"/>
        <v/>
      </c>
      <c r="BS11" s="200" t="str">
        <f t="shared" si="0"/>
        <v/>
      </c>
      <c r="BT11" s="200" t="str">
        <f t="shared" si="0"/>
        <v/>
      </c>
      <c r="BU11" s="200" t="str">
        <f t="shared" si="0"/>
        <v/>
      </c>
      <c r="BV11" s="200" t="str">
        <f t="shared" si="0"/>
        <v/>
      </c>
      <c r="BW11" s="200" t="str">
        <f t="shared" si="0"/>
        <v/>
      </c>
    </row>
    <row r="12" spans="1:75" x14ac:dyDescent="0.25">
      <c r="A12" s="180">
        <v>9</v>
      </c>
      <c r="B12" s="181" t="s">
        <v>416</v>
      </c>
      <c r="C12" s="187">
        <v>6</v>
      </c>
      <c r="D12" s="201">
        <v>0</v>
      </c>
      <c r="E12" s="201">
        <v>0</v>
      </c>
      <c r="F12" s="201">
        <v>0</v>
      </c>
      <c r="G12" s="201">
        <v>0</v>
      </c>
      <c r="H12" s="201">
        <v>0</v>
      </c>
      <c r="I12" s="201">
        <v>0</v>
      </c>
      <c r="J12" s="201">
        <v>0</v>
      </c>
      <c r="K12" s="201">
        <v>0</v>
      </c>
      <c r="L12" s="201">
        <v>0</v>
      </c>
      <c r="M12" s="201">
        <v>0</v>
      </c>
      <c r="N12" s="201">
        <v>0</v>
      </c>
      <c r="O12" s="201">
        <v>0</v>
      </c>
      <c r="P12" s="201">
        <v>0</v>
      </c>
      <c r="Q12" s="201">
        <v>0</v>
      </c>
      <c r="R12" s="201">
        <v>0</v>
      </c>
      <c r="S12" s="201">
        <v>867124500</v>
      </c>
      <c r="T12" s="201">
        <v>1806629000</v>
      </c>
      <c r="U12" s="201">
        <v>1808611000</v>
      </c>
      <c r="V12" s="201">
        <v>1898558000</v>
      </c>
      <c r="W12" s="201">
        <v>3939705500</v>
      </c>
      <c r="X12" s="201">
        <v>3396159500</v>
      </c>
      <c r="Y12" s="201">
        <v>7207694201</v>
      </c>
      <c r="Z12" s="201">
        <v>5938251216</v>
      </c>
      <c r="AA12" s="201">
        <v>8982822290</v>
      </c>
      <c r="AB12" s="201">
        <v>2253383204</v>
      </c>
      <c r="AC12" s="201">
        <v>4265090683</v>
      </c>
      <c r="AD12" s="201">
        <v>10639282713</v>
      </c>
      <c r="AE12" s="201">
        <v>6949558981</v>
      </c>
      <c r="AF12" s="201">
        <v>3324235725</v>
      </c>
      <c r="AG12" s="201">
        <v>5636906111</v>
      </c>
      <c r="AH12" s="201">
        <v>3501002041</v>
      </c>
      <c r="AI12" s="201">
        <v>4192925810</v>
      </c>
      <c r="AJ12" s="201">
        <v>4197374650</v>
      </c>
      <c r="AK12" s="201">
        <v>7583193100</v>
      </c>
      <c r="AL12" s="201">
        <v>7831508500</v>
      </c>
      <c r="AM12" s="201">
        <v>8405029580</v>
      </c>
      <c r="AN12" s="201">
        <v>18859106420</v>
      </c>
      <c r="AO12" s="201">
        <v>4569145960</v>
      </c>
      <c r="AP12" s="201">
        <v>9889167500</v>
      </c>
      <c r="AQ12" s="201">
        <v>8988544600</v>
      </c>
      <c r="AR12" s="201">
        <v>8396397250</v>
      </c>
      <c r="AS12" s="201">
        <v>13981977600</v>
      </c>
      <c r="AT12" s="201">
        <v>8695495766</v>
      </c>
      <c r="AU12" s="201">
        <v>9066018899</v>
      </c>
      <c r="AV12" s="201">
        <v>10085358702</v>
      </c>
      <c r="AW12" s="201">
        <v>12770520896</v>
      </c>
      <c r="AX12" s="201">
        <v>10341915406</v>
      </c>
      <c r="AY12" s="201">
        <v>9052536426</v>
      </c>
      <c r="AZ12" s="201">
        <v>5422948492</v>
      </c>
      <c r="BA12" s="201">
        <v>8810676928</v>
      </c>
      <c r="BB12" s="201">
        <v>16279256392</v>
      </c>
      <c r="BC12" s="201">
        <v>14772471605</v>
      </c>
      <c r="BD12" s="201">
        <v>17582066937</v>
      </c>
      <c r="BE12" s="201">
        <v>19496019197</v>
      </c>
      <c r="BF12" s="201">
        <v>21794142714</v>
      </c>
      <c r="BG12" s="201">
        <v>20947068360</v>
      </c>
      <c r="BH12" s="201">
        <v>16624308416</v>
      </c>
      <c r="BI12" s="201">
        <v>14529961948</v>
      </c>
      <c r="BJ12" s="201">
        <v>7374095784</v>
      </c>
      <c r="BK12" s="201">
        <v>10294667630</v>
      </c>
      <c r="BL12" s="201">
        <f>'Ket qua kinh doanh'!BL7</f>
        <v>11775760050</v>
      </c>
      <c r="BM12" s="201">
        <f>'Ket qua kinh doanh'!BM7</f>
        <v>8275817930</v>
      </c>
      <c r="BN12" s="201">
        <f>'Ket qua kinh doanh'!BN7</f>
        <v>14654267870</v>
      </c>
      <c r="BO12" s="201">
        <f>'Ket qua kinh doanh'!BO7</f>
        <v>14396490230</v>
      </c>
      <c r="BP12" s="201">
        <f>'Ket qua kinh doanh'!BP7</f>
        <v>13143854160</v>
      </c>
      <c r="BQ12" s="201">
        <f>'Ket qua kinh doanh'!BQ7</f>
        <v>0</v>
      </c>
      <c r="BR12" s="201">
        <f>'Ket qua kinh doanh'!BR7</f>
        <v>0</v>
      </c>
      <c r="BS12" s="201">
        <f>'Ket qua kinh doanh'!BS7</f>
        <v>0</v>
      </c>
      <c r="BT12" s="201">
        <f>'Ket qua kinh doanh'!BT7</f>
        <v>0</v>
      </c>
      <c r="BU12" s="201">
        <f>'Ket qua kinh doanh'!BU7</f>
        <v>0</v>
      </c>
      <c r="BV12" s="201">
        <f>'Ket qua kinh doanh'!BV7</f>
        <v>0</v>
      </c>
      <c r="BW12" s="201">
        <f>'Ket qua kinh doanh'!BW7</f>
        <v>0</v>
      </c>
    </row>
    <row r="13" spans="1:75" x14ac:dyDescent="0.25">
      <c r="A13" s="177">
        <v>10</v>
      </c>
      <c r="B13" s="178" t="s">
        <v>417</v>
      </c>
      <c r="C13" s="188">
        <v>6</v>
      </c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  <c r="BO13" s="202"/>
      <c r="BP13" s="202"/>
      <c r="BQ13" s="202"/>
      <c r="BR13" s="202"/>
      <c r="BS13" s="202"/>
      <c r="BT13" s="202"/>
      <c r="BU13" s="202"/>
      <c r="BV13" s="202"/>
      <c r="BW13" s="202"/>
    </row>
    <row r="14" spans="1:75" x14ac:dyDescent="0.25">
      <c r="A14" s="177">
        <v>11</v>
      </c>
      <c r="B14" s="178" t="s">
        <v>418</v>
      </c>
      <c r="C14" s="188">
        <v>6</v>
      </c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>
        <v>867124500</v>
      </c>
      <c r="T14" s="202">
        <v>1806629000</v>
      </c>
      <c r="U14" s="202">
        <v>1808611000</v>
      </c>
      <c r="V14" s="202">
        <v>1898558000</v>
      </c>
      <c r="W14" s="202">
        <v>3939705500</v>
      </c>
      <c r="X14" s="202">
        <v>3396159500</v>
      </c>
      <c r="Y14" s="202">
        <v>7207694201</v>
      </c>
      <c r="Z14" s="202">
        <v>5938251216</v>
      </c>
      <c r="AA14" s="202">
        <v>8982822290</v>
      </c>
      <c r="AB14" s="202">
        <v>2253383204</v>
      </c>
      <c r="AC14" s="202">
        <v>4265090683</v>
      </c>
      <c r="AD14" s="202">
        <v>10639282713</v>
      </c>
      <c r="AE14" s="202">
        <v>6949558981</v>
      </c>
      <c r="AF14" s="202">
        <v>3324235725</v>
      </c>
      <c r="AG14" s="202">
        <v>5636906111</v>
      </c>
      <c r="AH14" s="202">
        <v>3501002041</v>
      </c>
      <c r="AI14" s="202">
        <v>4192925810</v>
      </c>
      <c r="AJ14" s="202">
        <v>4197374650</v>
      </c>
      <c r="AK14" s="202">
        <v>7583193100</v>
      </c>
      <c r="AL14" s="202">
        <v>7831508500</v>
      </c>
      <c r="AM14" s="202">
        <v>8405029580</v>
      </c>
      <c r="AN14" s="202">
        <v>18859106420</v>
      </c>
      <c r="AO14" s="202">
        <v>4569145960</v>
      </c>
      <c r="AP14" s="202">
        <v>9889167500</v>
      </c>
      <c r="AQ14" s="202">
        <v>8988544600</v>
      </c>
      <c r="AR14" s="202">
        <v>8396397250</v>
      </c>
      <c r="AS14" s="202">
        <v>13981977600</v>
      </c>
      <c r="AT14" s="202">
        <v>8695495766</v>
      </c>
      <c r="AU14" s="202">
        <v>9066018899</v>
      </c>
      <c r="AV14" s="202">
        <v>10085358702</v>
      </c>
      <c r="AW14" s="202">
        <v>12770520896</v>
      </c>
      <c r="AX14" s="202">
        <v>10341915406</v>
      </c>
      <c r="AY14" s="202">
        <v>9052536426</v>
      </c>
      <c r="AZ14" s="202">
        <v>5422948492</v>
      </c>
      <c r="BA14" s="202">
        <v>8810676928</v>
      </c>
      <c r="BB14" s="202">
        <v>16279256392</v>
      </c>
      <c r="BC14" s="202">
        <v>14772471605</v>
      </c>
      <c r="BD14" s="202">
        <v>17582066937</v>
      </c>
      <c r="BE14" s="202">
        <v>19496019197</v>
      </c>
      <c r="BF14" s="202">
        <v>21794142714</v>
      </c>
      <c r="BG14" s="202">
        <v>20947068360</v>
      </c>
      <c r="BH14" s="202">
        <v>16624308416</v>
      </c>
      <c r="BI14" s="202">
        <v>14529961948</v>
      </c>
      <c r="BJ14" s="202">
        <v>7374095784</v>
      </c>
      <c r="BK14" s="202">
        <v>10294667630</v>
      </c>
      <c r="BL14" s="202">
        <f>BL12</f>
        <v>11775760050</v>
      </c>
      <c r="BM14" s="202">
        <f>BM12</f>
        <v>8275817930</v>
      </c>
      <c r="BN14" s="202">
        <f>BN12</f>
        <v>14654267870</v>
      </c>
      <c r="BO14" s="202">
        <f>BO12</f>
        <v>14396490230</v>
      </c>
      <c r="BP14" s="202">
        <f>BP12</f>
        <v>13143854160</v>
      </c>
      <c r="BQ14" s="202"/>
      <c r="BR14" s="202"/>
      <c r="BS14" s="202"/>
      <c r="BT14" s="202"/>
      <c r="BU14" s="202"/>
      <c r="BV14" s="202"/>
      <c r="BW14" s="202"/>
    </row>
    <row r="15" spans="1:75" x14ac:dyDescent="0.25">
      <c r="A15" s="177">
        <v>12</v>
      </c>
      <c r="B15" s="178" t="s">
        <v>419</v>
      </c>
      <c r="C15" s="188">
        <v>6</v>
      </c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2"/>
      <c r="BB15" s="202"/>
      <c r="BC15" s="202"/>
      <c r="BD15" s="202"/>
      <c r="BE15" s="202"/>
      <c r="BF15" s="202"/>
      <c r="BG15" s="202"/>
      <c r="BH15" s="202"/>
      <c r="BI15" s="202"/>
      <c r="BJ15" s="202"/>
      <c r="BK15" s="202"/>
      <c r="BL15" s="202"/>
      <c r="BM15" s="202"/>
      <c r="BN15" s="202"/>
      <c r="BO15" s="202"/>
      <c r="BP15" s="202"/>
      <c r="BQ15" s="202"/>
      <c r="BR15" s="202"/>
      <c r="BS15" s="202"/>
      <c r="BT15" s="202"/>
      <c r="BU15" s="202"/>
      <c r="BV15" s="202"/>
      <c r="BW15" s="202"/>
    </row>
    <row r="16" spans="1:75" x14ac:dyDescent="0.25">
      <c r="A16" s="180">
        <v>13</v>
      </c>
      <c r="B16" s="181" t="s">
        <v>420</v>
      </c>
      <c r="C16" s="182">
        <v>6</v>
      </c>
      <c r="D16" s="198">
        <v>0</v>
      </c>
      <c r="E16" s="198">
        <v>0</v>
      </c>
      <c r="F16" s="198">
        <v>0</v>
      </c>
      <c r="G16" s="198">
        <v>0</v>
      </c>
      <c r="H16" s="198">
        <v>0</v>
      </c>
      <c r="I16" s="198">
        <v>0</v>
      </c>
      <c r="J16" s="198">
        <v>0</v>
      </c>
      <c r="K16" s="198">
        <v>0</v>
      </c>
      <c r="L16" s="198">
        <v>0</v>
      </c>
      <c r="M16" s="198">
        <v>0</v>
      </c>
      <c r="N16" s="198">
        <v>0</v>
      </c>
      <c r="O16" s="198">
        <v>0</v>
      </c>
      <c r="P16" s="198">
        <v>0</v>
      </c>
      <c r="Q16" s="198">
        <v>0</v>
      </c>
      <c r="R16" s="198">
        <v>0</v>
      </c>
      <c r="S16" s="198">
        <v>1043158263</v>
      </c>
      <c r="T16" s="198">
        <v>2018502531</v>
      </c>
      <c r="U16" s="198">
        <v>3246780250</v>
      </c>
      <c r="V16" s="198">
        <v>2460816541</v>
      </c>
      <c r="W16" s="198">
        <v>3098316370</v>
      </c>
      <c r="X16" s="198">
        <v>3349405980</v>
      </c>
      <c r="Y16" s="198">
        <v>7265678210</v>
      </c>
      <c r="Z16" s="198">
        <v>6705345773</v>
      </c>
      <c r="AA16" s="198">
        <v>8869129832</v>
      </c>
      <c r="AB16" s="198">
        <v>3240340811</v>
      </c>
      <c r="AC16" s="198">
        <v>5619697963</v>
      </c>
      <c r="AD16" s="198">
        <v>13421808004</v>
      </c>
      <c r="AE16" s="198">
        <v>9317382917</v>
      </c>
      <c r="AF16" s="198">
        <v>5227287464</v>
      </c>
      <c r="AG16" s="198">
        <v>7363604310</v>
      </c>
      <c r="AH16" s="198">
        <v>5177182851</v>
      </c>
      <c r="AI16" s="198">
        <v>5105270549</v>
      </c>
      <c r="AJ16" s="198">
        <v>4755249704</v>
      </c>
      <c r="AK16" s="198">
        <v>7896150860</v>
      </c>
      <c r="AL16" s="198">
        <v>9903541557</v>
      </c>
      <c r="AM16" s="198">
        <v>6361190828</v>
      </c>
      <c r="AN16" s="198">
        <v>19303813750</v>
      </c>
      <c r="AO16" s="198">
        <v>5445357498</v>
      </c>
      <c r="AP16" s="198">
        <v>9525099975</v>
      </c>
      <c r="AQ16" s="198">
        <v>9177542757</v>
      </c>
      <c r="AR16" s="198">
        <v>9252785278</v>
      </c>
      <c r="AS16" s="198">
        <v>15202791010</v>
      </c>
      <c r="AT16" s="198">
        <v>9266546963</v>
      </c>
      <c r="AU16" s="198">
        <v>9640445579</v>
      </c>
      <c r="AV16" s="198">
        <v>10348331156</v>
      </c>
      <c r="AW16" s="198">
        <v>12802871939</v>
      </c>
      <c r="AX16" s="198">
        <v>11067427637</v>
      </c>
      <c r="AY16" s="198">
        <v>9672389057</v>
      </c>
      <c r="AZ16" s="198">
        <v>6459461109</v>
      </c>
      <c r="BA16" s="198">
        <v>9788053505</v>
      </c>
      <c r="BB16" s="198">
        <v>16279720003</v>
      </c>
      <c r="BC16" s="198">
        <v>15135281409</v>
      </c>
      <c r="BD16" s="198">
        <v>16857467163</v>
      </c>
      <c r="BE16" s="198">
        <v>19925736275</v>
      </c>
      <c r="BF16" s="198">
        <v>20517811328</v>
      </c>
      <c r="BG16" s="198">
        <v>19931952590</v>
      </c>
      <c r="BH16" s="198">
        <v>16609887050</v>
      </c>
      <c r="BI16" s="198">
        <v>14135481149</v>
      </c>
      <c r="BJ16" s="198">
        <v>7795260584</v>
      </c>
      <c r="BK16" s="198">
        <v>10179013441</v>
      </c>
      <c r="BL16" s="198">
        <f>'Ket qua kinh doanh'!BL8</f>
        <v>11302623439</v>
      </c>
      <c r="BM16" s="198">
        <f>'Ket qua kinh doanh'!BM8</f>
        <v>8036742611</v>
      </c>
      <c r="BN16" s="198">
        <f>'Ket qua kinh doanh'!BN8</f>
        <v>13652461082</v>
      </c>
      <c r="BO16" s="198">
        <f>'Ket qua kinh doanh'!BO8</f>
        <v>13656864254</v>
      </c>
      <c r="BP16" s="198">
        <f>'Ket qua kinh doanh'!BP8</f>
        <v>12246690616</v>
      </c>
      <c r="BQ16" s="198">
        <f>'Ket qua kinh doanh'!BQ8</f>
        <v>0</v>
      </c>
      <c r="BR16" s="198">
        <f>'Ket qua kinh doanh'!BR8</f>
        <v>0</v>
      </c>
      <c r="BS16" s="198">
        <f>'Ket qua kinh doanh'!BS8</f>
        <v>0</v>
      </c>
      <c r="BT16" s="198">
        <f>'Ket qua kinh doanh'!BT8</f>
        <v>0</v>
      </c>
      <c r="BU16" s="198">
        <f>'Ket qua kinh doanh'!BU8</f>
        <v>0</v>
      </c>
      <c r="BV16" s="198">
        <f>'Ket qua kinh doanh'!BV8</f>
        <v>0</v>
      </c>
      <c r="BW16" s="198">
        <f>'Ket qua kinh doanh'!BW8</f>
        <v>0</v>
      </c>
    </row>
    <row r="17" spans="1:75" x14ac:dyDescent="0.25">
      <c r="A17" s="177">
        <v>14</v>
      </c>
      <c r="B17" s="178" t="s">
        <v>421</v>
      </c>
      <c r="C17" s="188">
        <v>6</v>
      </c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>
        <v>16426030328</v>
      </c>
      <c r="AO17" s="202">
        <v>3760735389</v>
      </c>
      <c r="AP17" s="202">
        <v>7977434117</v>
      </c>
      <c r="AQ17" s="202">
        <v>8050515041</v>
      </c>
      <c r="AR17" s="202">
        <v>7537426536</v>
      </c>
      <c r="AS17" s="202">
        <v>14512713558</v>
      </c>
      <c r="AT17" s="202">
        <v>7914452249</v>
      </c>
      <c r="AU17" s="202">
        <v>8350629684</v>
      </c>
      <c r="AV17" s="202">
        <v>8615632148</v>
      </c>
      <c r="AW17" s="202">
        <v>11356436087</v>
      </c>
      <c r="AX17" s="202">
        <v>9595090504</v>
      </c>
      <c r="AY17" s="202">
        <v>8183887207.6000004</v>
      </c>
      <c r="AZ17" s="202">
        <v>4622523285</v>
      </c>
      <c r="BA17" s="202">
        <v>7398460360</v>
      </c>
      <c r="BB17" s="202">
        <v>14025804820</v>
      </c>
      <c r="BC17" s="202">
        <v>12140157658</v>
      </c>
      <c r="BD17" s="202">
        <v>14540780727</v>
      </c>
      <c r="BE17" s="202">
        <v>17111994675</v>
      </c>
      <c r="BF17" s="202">
        <v>17765414387</v>
      </c>
      <c r="BG17" s="202">
        <v>16792991332</v>
      </c>
      <c r="BH17" s="202">
        <v>13646473111</v>
      </c>
      <c r="BI17" s="202">
        <v>11360034551</v>
      </c>
      <c r="BJ17" s="202">
        <v>5796101556</v>
      </c>
      <c r="BK17" s="202">
        <v>7848184090</v>
      </c>
      <c r="BL17" s="202">
        <v>9069607859</v>
      </c>
      <c r="BM17" s="202">
        <v>5963035131</v>
      </c>
      <c r="BN17" s="202">
        <v>11064188424</v>
      </c>
      <c r="BO17" s="202">
        <v>10571670369</v>
      </c>
      <c r="BP17" s="202">
        <v>9848148658</v>
      </c>
      <c r="BQ17" s="202"/>
      <c r="BR17" s="202"/>
      <c r="BS17" s="202"/>
      <c r="BT17" s="202"/>
      <c r="BU17" s="202"/>
      <c r="BV17" s="202"/>
      <c r="BW17" s="202"/>
    </row>
    <row r="18" spans="1:75" x14ac:dyDescent="0.25">
      <c r="A18" s="177">
        <v>15</v>
      </c>
      <c r="B18" s="178" t="s">
        <v>422</v>
      </c>
      <c r="C18" s="188">
        <v>6</v>
      </c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>
        <v>144663455</v>
      </c>
      <c r="AO18" s="202">
        <v>81583607</v>
      </c>
      <c r="AP18" s="202">
        <v>176588995</v>
      </c>
      <c r="AQ18" s="202">
        <v>125155303</v>
      </c>
      <c r="AR18" s="202">
        <v>180167910</v>
      </c>
      <c r="AS18" s="202">
        <v>123423587</v>
      </c>
      <c r="AT18" s="202">
        <v>160814030</v>
      </c>
      <c r="AU18" s="202">
        <v>193193230</v>
      </c>
      <c r="AV18" s="202">
        <v>194380252</v>
      </c>
      <c r="AW18" s="202">
        <v>189470400</v>
      </c>
      <c r="AX18" s="202">
        <v>232472530</v>
      </c>
      <c r="AY18" s="202">
        <v>184763528</v>
      </c>
      <c r="AZ18" s="202">
        <v>98923928</v>
      </c>
      <c r="BA18" s="202">
        <v>137461103</v>
      </c>
      <c r="BB18" s="202">
        <v>91144682</v>
      </c>
      <c r="BC18" s="202">
        <v>96660795</v>
      </c>
      <c r="BD18" s="202">
        <v>114502251</v>
      </c>
      <c r="BE18" s="202">
        <v>100877816</v>
      </c>
      <c r="BF18" s="202">
        <v>138627654</v>
      </c>
      <c r="BG18" s="202">
        <v>130372904</v>
      </c>
      <c r="BH18" s="202">
        <v>143640028</v>
      </c>
      <c r="BI18" s="202">
        <v>133374004</v>
      </c>
      <c r="BJ18" s="202">
        <v>99765354</v>
      </c>
      <c r="BK18" s="202">
        <v>124151141</v>
      </c>
      <c r="BL18" s="202">
        <v>143712301</v>
      </c>
      <c r="BM18" s="202">
        <v>97799305</v>
      </c>
      <c r="BN18" s="202">
        <v>189407823</v>
      </c>
      <c r="BO18" s="202">
        <v>173664681</v>
      </c>
      <c r="BP18" s="202">
        <v>158197985</v>
      </c>
      <c r="BQ18" s="202"/>
      <c r="BR18" s="202"/>
      <c r="BS18" s="202"/>
      <c r="BT18" s="202"/>
      <c r="BU18" s="202"/>
      <c r="BV18" s="202"/>
      <c r="BW18" s="202"/>
    </row>
    <row r="19" spans="1:75" x14ac:dyDescent="0.25">
      <c r="A19" s="177">
        <v>16</v>
      </c>
      <c r="B19" s="178" t="s">
        <v>423</v>
      </c>
      <c r="C19" s="188">
        <v>6</v>
      </c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>
        <v>0</v>
      </c>
      <c r="BA19" s="202">
        <v>0</v>
      </c>
      <c r="BB19" s="202">
        <v>0</v>
      </c>
      <c r="BC19" s="202">
        <v>0</v>
      </c>
      <c r="BD19" s="202">
        <v>0</v>
      </c>
      <c r="BE19" s="202">
        <v>0</v>
      </c>
      <c r="BF19" s="202">
        <v>0</v>
      </c>
      <c r="BG19" s="202">
        <v>0</v>
      </c>
      <c r="BH19" s="202">
        <v>0</v>
      </c>
      <c r="BI19" s="202">
        <v>0</v>
      </c>
      <c r="BJ19" s="202">
        <v>0</v>
      </c>
      <c r="BK19" s="202">
        <v>0</v>
      </c>
      <c r="BL19" s="202">
        <v>139078388</v>
      </c>
      <c r="BM19" s="202">
        <v>130865497</v>
      </c>
      <c r="BN19" s="202">
        <v>138810187</v>
      </c>
      <c r="BO19" s="202">
        <v>52356755</v>
      </c>
      <c r="BP19" s="202">
        <v>33439969</v>
      </c>
      <c r="BQ19" s="202"/>
      <c r="BR19" s="202"/>
      <c r="BS19" s="202"/>
      <c r="BT19" s="202"/>
      <c r="BU19" s="202"/>
      <c r="BV19" s="202"/>
      <c r="BW19" s="202"/>
    </row>
    <row r="20" spans="1:75" x14ac:dyDescent="0.25">
      <c r="A20" s="177">
        <v>17</v>
      </c>
      <c r="B20" s="178" t="s">
        <v>424</v>
      </c>
      <c r="C20" s="188">
        <v>6</v>
      </c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>
        <v>7382446484</v>
      </c>
      <c r="AN20" s="202">
        <v>1760190660.9818699</v>
      </c>
      <c r="AO20" s="202">
        <v>343521737.37501359</v>
      </c>
      <c r="AP20" s="202">
        <v>357803658.4333446</v>
      </c>
      <c r="AQ20" s="202">
        <v>267241214.66017619</v>
      </c>
      <c r="AR20" s="202">
        <v>302880679.9734475</v>
      </c>
      <c r="AS20" s="202">
        <v>254289693.60888255</v>
      </c>
      <c r="AT20" s="202">
        <v>252245848.22351697</v>
      </c>
      <c r="AU20" s="202">
        <v>269466566</v>
      </c>
      <c r="AV20" s="202">
        <v>367071023</v>
      </c>
      <c r="AW20" s="202">
        <v>430458440</v>
      </c>
      <c r="AX20" s="202">
        <v>378059483</v>
      </c>
      <c r="AY20" s="202">
        <v>340647007</v>
      </c>
      <c r="AZ20" s="202">
        <v>393941660</v>
      </c>
      <c r="BA20" s="202">
        <v>331198804</v>
      </c>
      <c r="BB20" s="202">
        <v>500579497</v>
      </c>
      <c r="BC20" s="202">
        <v>554596190</v>
      </c>
      <c r="BD20" s="202">
        <v>501163647</v>
      </c>
      <c r="BE20" s="202">
        <v>608636950</v>
      </c>
      <c r="BF20" s="202">
        <v>639887127</v>
      </c>
      <c r="BG20" s="202">
        <v>697211109</v>
      </c>
      <c r="BH20" s="202">
        <v>670246655</v>
      </c>
      <c r="BI20" s="202">
        <v>552529925</v>
      </c>
      <c r="BJ20" s="202">
        <v>362955148</v>
      </c>
      <c r="BK20" s="202">
        <v>426580485</v>
      </c>
      <c r="BL20" s="202">
        <v>377076367</v>
      </c>
      <c r="BM20" s="202">
        <v>364503535</v>
      </c>
      <c r="BN20" s="202">
        <v>493574956</v>
      </c>
      <c r="BO20" s="202">
        <v>735085492</v>
      </c>
      <c r="BP20" s="202">
        <v>553794622</v>
      </c>
      <c r="BQ20" s="202"/>
      <c r="BR20" s="202"/>
      <c r="BS20" s="202"/>
      <c r="BT20" s="202"/>
      <c r="BU20" s="202"/>
      <c r="BV20" s="202"/>
      <c r="BW20" s="202"/>
    </row>
    <row r="21" spans="1:75" x14ac:dyDescent="0.25">
      <c r="A21" s="177">
        <v>18</v>
      </c>
      <c r="B21" s="178" t="s">
        <v>425</v>
      </c>
      <c r="C21" s="188">
        <v>6</v>
      </c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>
        <v>3341313777</v>
      </c>
      <c r="AN21" s="202">
        <v>265477205.8109895</v>
      </c>
      <c r="AO21" s="202">
        <v>283875654.06773102</v>
      </c>
      <c r="AP21" s="202">
        <v>296026512.29698753</v>
      </c>
      <c r="AQ21" s="202">
        <v>261802825.33688888</v>
      </c>
      <c r="AR21" s="202">
        <v>262989221.91949642</v>
      </c>
      <c r="AS21" s="202">
        <v>239555668.23558888</v>
      </c>
      <c r="AT21" s="202">
        <v>190184123.05138445</v>
      </c>
      <c r="AU21" s="202">
        <v>200134232</v>
      </c>
      <c r="AV21" s="202">
        <v>254694720</v>
      </c>
      <c r="AW21" s="202">
        <v>228926669</v>
      </c>
      <c r="AX21" s="202">
        <v>221679879</v>
      </c>
      <c r="AY21" s="202">
        <v>221620431</v>
      </c>
      <c r="AZ21" s="202">
        <v>260533055</v>
      </c>
      <c r="BA21" s="202">
        <v>232683355</v>
      </c>
      <c r="BB21" s="202">
        <v>208479682</v>
      </c>
      <c r="BC21" s="202">
        <v>233627849</v>
      </c>
      <c r="BD21" s="202">
        <v>218859098</v>
      </c>
      <c r="BE21" s="202">
        <v>253768985</v>
      </c>
      <c r="BF21" s="202">
        <v>286090844</v>
      </c>
      <c r="BG21" s="202">
        <v>293825764</v>
      </c>
      <c r="BH21" s="202">
        <v>316352421</v>
      </c>
      <c r="BI21" s="202">
        <v>279080119</v>
      </c>
      <c r="BJ21" s="202">
        <v>249039937</v>
      </c>
      <c r="BK21" s="202">
        <v>265458219</v>
      </c>
      <c r="BL21" s="202">
        <v>215652836</v>
      </c>
      <c r="BM21" s="202">
        <v>242570291</v>
      </c>
      <c r="BN21" s="202">
        <v>253711203</v>
      </c>
      <c r="BO21" s="202">
        <v>193478826</v>
      </c>
      <c r="BP21" s="202">
        <v>168403511</v>
      </c>
      <c r="BQ21" s="202"/>
      <c r="BR21" s="202"/>
      <c r="BS21" s="202"/>
      <c r="BT21" s="202"/>
      <c r="BU21" s="202"/>
      <c r="BV21" s="202"/>
      <c r="BW21" s="202"/>
    </row>
    <row r="22" spans="1:75" x14ac:dyDescent="0.25">
      <c r="A22" s="177">
        <v>19</v>
      </c>
      <c r="B22" s="178" t="s">
        <v>426</v>
      </c>
      <c r="C22" s="188">
        <v>6</v>
      </c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>
        <v>170636673.20714086</v>
      </c>
      <c r="AO22" s="202">
        <v>117519625.55725537</v>
      </c>
      <c r="AP22" s="202">
        <v>121997878.26966779</v>
      </c>
      <c r="AQ22" s="202">
        <v>91480333.002934948</v>
      </c>
      <c r="AR22" s="202">
        <v>112757102.23889495</v>
      </c>
      <c r="AS22" s="202">
        <v>106906681.15552855</v>
      </c>
      <c r="AT22" s="202">
        <v>85071315.725098565</v>
      </c>
      <c r="AU22" s="202">
        <v>87223524</v>
      </c>
      <c r="AV22" s="202">
        <v>96715165</v>
      </c>
      <c r="AW22" s="202">
        <v>111727825</v>
      </c>
      <c r="AX22" s="202">
        <v>105317817</v>
      </c>
      <c r="AY22" s="202">
        <v>106357726</v>
      </c>
      <c r="AZ22" s="202">
        <v>89744861</v>
      </c>
      <c r="BA22" s="202">
        <v>72730022</v>
      </c>
      <c r="BB22" s="202">
        <v>73155022</v>
      </c>
      <c r="BC22" s="202">
        <v>72880022</v>
      </c>
      <c r="BD22" s="202">
        <v>73097521</v>
      </c>
      <c r="BE22" s="202">
        <v>75748018</v>
      </c>
      <c r="BF22" s="202">
        <v>78110556</v>
      </c>
      <c r="BG22" s="202">
        <v>86608755</v>
      </c>
      <c r="BH22" s="202">
        <v>76953264</v>
      </c>
      <c r="BI22" s="202">
        <v>87918748</v>
      </c>
      <c r="BJ22" s="202">
        <v>85761249</v>
      </c>
      <c r="BK22" s="202">
        <v>65384618</v>
      </c>
      <c r="BL22" s="202">
        <v>108514603</v>
      </c>
      <c r="BM22" s="202">
        <v>64177711</v>
      </c>
      <c r="BN22" s="202">
        <v>77778892</v>
      </c>
      <c r="BO22" s="202">
        <v>59427264</v>
      </c>
      <c r="BP22" s="202">
        <v>59579483</v>
      </c>
      <c r="BQ22" s="202"/>
      <c r="BR22" s="202"/>
      <c r="BS22" s="202"/>
      <c r="BT22" s="202"/>
      <c r="BU22" s="202"/>
      <c r="BV22" s="202"/>
      <c r="BW22" s="202"/>
    </row>
    <row r="23" spans="1:75" x14ac:dyDescent="0.25">
      <c r="A23" s="177">
        <v>20</v>
      </c>
      <c r="B23" s="178" t="s">
        <v>427</v>
      </c>
      <c r="C23" s="188">
        <v>6</v>
      </c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>
        <v>47249351</v>
      </c>
      <c r="AO23" s="202">
        <v>48852684</v>
      </c>
      <c r="AP23" s="202">
        <v>49370497</v>
      </c>
      <c r="AQ23" s="202">
        <v>48092497</v>
      </c>
      <c r="AR23" s="202">
        <v>46938422</v>
      </c>
      <c r="AS23" s="202">
        <v>52903079</v>
      </c>
      <c r="AT23" s="202">
        <v>45555352</v>
      </c>
      <c r="AU23" s="202">
        <v>39000618</v>
      </c>
      <c r="AV23" s="202">
        <v>43182394</v>
      </c>
      <c r="AW23" s="202">
        <v>44293239</v>
      </c>
      <c r="AX23" s="202">
        <v>106339896</v>
      </c>
      <c r="AY23" s="202">
        <v>101816393</v>
      </c>
      <c r="AZ23" s="202">
        <v>167146913</v>
      </c>
      <c r="BA23" s="202">
        <v>236501213</v>
      </c>
      <c r="BB23" s="202">
        <v>242449635</v>
      </c>
      <c r="BC23" s="202">
        <v>190188500</v>
      </c>
      <c r="BD23" s="202">
        <v>184671919</v>
      </c>
      <c r="BE23" s="202">
        <v>193961441</v>
      </c>
      <c r="BF23" s="202">
        <v>235587969</v>
      </c>
      <c r="BG23" s="202">
        <v>219113944</v>
      </c>
      <c r="BH23" s="202">
        <v>306348906</v>
      </c>
      <c r="BI23" s="202">
        <v>289712696</v>
      </c>
      <c r="BJ23" s="202">
        <v>248821708</v>
      </c>
      <c r="BK23" s="202">
        <v>250758888</v>
      </c>
      <c r="BL23" s="202">
        <v>248197165</v>
      </c>
      <c r="BM23" s="202">
        <v>258986308</v>
      </c>
      <c r="BN23" s="202">
        <v>245468502</v>
      </c>
      <c r="BO23" s="202">
        <v>285787198</v>
      </c>
      <c r="BP23" s="202">
        <v>277478646</v>
      </c>
      <c r="BQ23" s="202"/>
      <c r="BR23" s="202"/>
      <c r="BS23" s="202"/>
      <c r="BT23" s="202"/>
      <c r="BU23" s="202"/>
      <c r="BV23" s="202"/>
      <c r="BW23" s="202"/>
    </row>
    <row r="24" spans="1:75" x14ac:dyDescent="0.25">
      <c r="A24" s="189">
        <v>21</v>
      </c>
      <c r="B24" s="178" t="s">
        <v>428</v>
      </c>
      <c r="C24" s="188">
        <v>6</v>
      </c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>
        <v>838756928</v>
      </c>
      <c r="AO24" s="202">
        <v>707635984.00000024</v>
      </c>
      <c r="AP24" s="202">
        <v>781819200</v>
      </c>
      <c r="AQ24" s="202">
        <v>714162589.99999976</v>
      </c>
      <c r="AR24" s="202">
        <v>998811733.99999976</v>
      </c>
      <c r="AS24" s="202">
        <v>818929308.00000048</v>
      </c>
      <c r="AT24" s="202">
        <v>875491866</v>
      </c>
      <c r="AU24" s="202">
        <v>764650018</v>
      </c>
      <c r="AV24" s="202">
        <v>1077346226</v>
      </c>
      <c r="AW24" s="202">
        <v>1080473752</v>
      </c>
      <c r="AX24" s="202">
        <v>854609958</v>
      </c>
      <c r="AY24" s="202">
        <v>863929282</v>
      </c>
      <c r="AZ24" s="202">
        <v>617639003</v>
      </c>
      <c r="BA24" s="202">
        <v>623058939</v>
      </c>
      <c r="BB24" s="202">
        <v>636831483</v>
      </c>
      <c r="BC24" s="202">
        <v>654345058</v>
      </c>
      <c r="BD24" s="202">
        <v>608524622</v>
      </c>
      <c r="BE24" s="202">
        <v>723127208</v>
      </c>
      <c r="BF24" s="202">
        <v>874507648</v>
      </c>
      <c r="BG24" s="202">
        <v>1047309036</v>
      </c>
      <c r="BH24" s="202">
        <v>886567870</v>
      </c>
      <c r="BI24" s="202">
        <v>694060923</v>
      </c>
      <c r="BJ24" s="202">
        <v>685931699</v>
      </c>
      <c r="BK24" s="202">
        <v>577245991</v>
      </c>
      <c r="BL24" s="202">
        <v>649966240</v>
      </c>
      <c r="BM24" s="202">
        <v>612127113</v>
      </c>
      <c r="BN24" s="202">
        <v>922135479</v>
      </c>
      <c r="BO24" s="202">
        <v>1189185048</v>
      </c>
      <c r="BP24" s="202">
        <v>856385659</v>
      </c>
      <c r="BQ24" s="202"/>
      <c r="BR24" s="202"/>
      <c r="BS24" s="202"/>
      <c r="BT24" s="202"/>
      <c r="BU24" s="202"/>
      <c r="BV24" s="202"/>
      <c r="BW24" s="202"/>
    </row>
    <row r="25" spans="1:75" x14ac:dyDescent="0.25">
      <c r="A25" s="177">
        <v>22</v>
      </c>
      <c r="B25" s="178" t="s">
        <v>429</v>
      </c>
      <c r="C25" s="188">
        <v>6</v>
      </c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>
        <v>544158859</v>
      </c>
      <c r="AO25" s="202">
        <v>527482408</v>
      </c>
      <c r="AP25" s="202">
        <v>533997664</v>
      </c>
      <c r="AQ25" s="202">
        <v>494862517</v>
      </c>
      <c r="AR25" s="202">
        <v>614671633</v>
      </c>
      <c r="AS25" s="202">
        <v>687867090</v>
      </c>
      <c r="AT25" s="202">
        <v>553887781</v>
      </c>
      <c r="AU25" s="202">
        <v>556104449</v>
      </c>
      <c r="AV25" s="202">
        <v>552030977</v>
      </c>
      <c r="AW25" s="202">
        <v>559972443</v>
      </c>
      <c r="AX25" s="202">
        <v>559972444</v>
      </c>
      <c r="AY25" s="202">
        <v>559972441</v>
      </c>
      <c r="AZ25" s="202">
        <v>580920845</v>
      </c>
      <c r="BA25" s="202">
        <v>579063070</v>
      </c>
      <c r="BB25" s="202">
        <v>579063066</v>
      </c>
      <c r="BC25" s="202">
        <v>587188067</v>
      </c>
      <c r="BD25" s="202">
        <v>587188071</v>
      </c>
      <c r="BE25" s="202">
        <v>575502860</v>
      </c>
      <c r="BF25" s="202">
        <v>575502855</v>
      </c>
      <c r="BG25" s="202">
        <v>617063663</v>
      </c>
      <c r="BH25" s="202">
        <v>617063656</v>
      </c>
      <c r="BI25" s="202">
        <v>617063662</v>
      </c>
      <c r="BJ25" s="202">
        <v>617063656</v>
      </c>
      <c r="BK25" s="202">
        <v>617063660</v>
      </c>
      <c r="BL25" s="202">
        <v>356565855</v>
      </c>
      <c r="BM25" s="202">
        <v>358982171</v>
      </c>
      <c r="BN25" s="202">
        <v>356418528</v>
      </c>
      <c r="BO25" s="202">
        <v>359939362</v>
      </c>
      <c r="BP25" s="202">
        <v>359939370</v>
      </c>
      <c r="BQ25" s="202"/>
      <c r="BR25" s="202"/>
      <c r="BS25" s="202"/>
      <c r="BT25" s="202"/>
      <c r="BU25" s="202"/>
      <c r="BV25" s="202"/>
      <c r="BW25" s="202"/>
    </row>
    <row r="26" spans="1:75" x14ac:dyDescent="0.25">
      <c r="A26" s="177">
        <v>23</v>
      </c>
      <c r="B26" s="178" t="s">
        <v>430</v>
      </c>
      <c r="C26" s="188">
        <v>6</v>
      </c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>
        <v>0</v>
      </c>
      <c r="BA26" s="202">
        <v>0</v>
      </c>
      <c r="BB26" s="202">
        <v>0</v>
      </c>
      <c r="BC26" s="202">
        <v>0</v>
      </c>
      <c r="BD26" s="202">
        <v>0</v>
      </c>
      <c r="BE26" s="202">
        <v>0</v>
      </c>
      <c r="BF26" s="202">
        <v>0</v>
      </c>
      <c r="BG26" s="202">
        <v>0</v>
      </c>
      <c r="BH26" s="202">
        <v>0</v>
      </c>
      <c r="BI26" s="202">
        <v>0</v>
      </c>
      <c r="BJ26" s="202">
        <v>0</v>
      </c>
      <c r="BK26" s="202">
        <v>0</v>
      </c>
      <c r="BL26" s="202">
        <v>0</v>
      </c>
      <c r="BM26" s="202">
        <v>0</v>
      </c>
      <c r="BN26" s="202">
        <v>0</v>
      </c>
      <c r="BO26" s="202">
        <v>0</v>
      </c>
      <c r="BP26" s="202">
        <v>0</v>
      </c>
      <c r="BQ26" s="202"/>
      <c r="BR26" s="202"/>
      <c r="BS26" s="202"/>
      <c r="BT26" s="202"/>
      <c r="BU26" s="202"/>
      <c r="BV26" s="202"/>
      <c r="BW26" s="202"/>
    </row>
    <row r="27" spans="1:75" x14ac:dyDescent="0.25">
      <c r="A27" s="177">
        <v>24</v>
      </c>
      <c r="B27" s="178" t="s">
        <v>431</v>
      </c>
      <c r="C27" s="188">
        <v>6</v>
      </c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>
        <v>0</v>
      </c>
      <c r="BA27" s="202">
        <v>0</v>
      </c>
      <c r="BB27" s="202">
        <v>0</v>
      </c>
      <c r="BC27" s="202">
        <v>0</v>
      </c>
      <c r="BD27" s="202">
        <v>0</v>
      </c>
      <c r="BE27" s="202">
        <v>0</v>
      </c>
      <c r="BF27" s="202">
        <v>0</v>
      </c>
      <c r="BG27" s="202">
        <v>0</v>
      </c>
      <c r="BH27" s="202">
        <v>0</v>
      </c>
      <c r="BI27" s="202">
        <v>0</v>
      </c>
      <c r="BJ27" s="202">
        <v>0</v>
      </c>
      <c r="BK27" s="202">
        <v>0</v>
      </c>
      <c r="BL27" s="202">
        <v>0</v>
      </c>
      <c r="BM27" s="202">
        <v>0</v>
      </c>
      <c r="BN27" s="202">
        <v>0</v>
      </c>
      <c r="BO27" s="202">
        <v>0</v>
      </c>
      <c r="BP27" s="202">
        <v>0</v>
      </c>
      <c r="BQ27" s="202"/>
      <c r="BR27" s="202"/>
      <c r="BS27" s="202"/>
      <c r="BT27" s="202"/>
      <c r="BU27" s="202"/>
      <c r="BV27" s="202"/>
      <c r="BW27" s="202"/>
    </row>
    <row r="28" spans="1:75" x14ac:dyDescent="0.25">
      <c r="A28" s="177">
        <v>25</v>
      </c>
      <c r="B28" s="178" t="s">
        <v>432</v>
      </c>
      <c r="C28" s="188">
        <v>6</v>
      </c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>
        <v>-893349711</v>
      </c>
      <c r="AO28" s="202">
        <v>-425849591</v>
      </c>
      <c r="AP28" s="202">
        <v>-769938547</v>
      </c>
      <c r="AQ28" s="202">
        <v>-875769564</v>
      </c>
      <c r="AR28" s="202">
        <v>-803857961.13183975</v>
      </c>
      <c r="AS28" s="202">
        <v>-1593797655</v>
      </c>
      <c r="AT28" s="202">
        <v>-811155602</v>
      </c>
      <c r="AU28" s="202">
        <v>-819956742</v>
      </c>
      <c r="AV28" s="202">
        <v>-852721749</v>
      </c>
      <c r="AW28" s="202">
        <v>-1198886916</v>
      </c>
      <c r="AX28" s="202">
        <v>-986114874</v>
      </c>
      <c r="AY28" s="202">
        <v>-890604958.60000038</v>
      </c>
      <c r="AZ28" s="202">
        <v>-371912441</v>
      </c>
      <c r="BA28" s="202">
        <v>176896639</v>
      </c>
      <c r="BB28" s="202">
        <v>-77787884</v>
      </c>
      <c r="BC28" s="202">
        <v>605637270</v>
      </c>
      <c r="BD28" s="202">
        <v>28679307</v>
      </c>
      <c r="BE28" s="202">
        <v>282118322</v>
      </c>
      <c r="BF28" s="202">
        <v>-75917712</v>
      </c>
      <c r="BG28" s="202">
        <v>47456083</v>
      </c>
      <c r="BH28" s="202">
        <v>-53758861</v>
      </c>
      <c r="BI28" s="202">
        <v>121706521</v>
      </c>
      <c r="BJ28" s="202">
        <v>-350179723</v>
      </c>
      <c r="BK28" s="202">
        <v>4186349</v>
      </c>
      <c r="BL28" s="202">
        <v>-5748175</v>
      </c>
      <c r="BM28" s="202">
        <v>-56304451</v>
      </c>
      <c r="BN28" s="202">
        <v>-89032912</v>
      </c>
      <c r="BO28" s="202">
        <v>36269259</v>
      </c>
      <c r="BP28" s="202">
        <v>-68677287</v>
      </c>
      <c r="BQ28" s="202"/>
      <c r="BR28" s="202"/>
      <c r="BS28" s="202"/>
      <c r="BT28" s="202"/>
      <c r="BU28" s="202"/>
      <c r="BV28" s="202"/>
      <c r="BW28" s="202"/>
    </row>
    <row r="29" spans="1:75" x14ac:dyDescent="0.25">
      <c r="A29" s="183">
        <v>26</v>
      </c>
      <c r="B29" s="184" t="s">
        <v>433</v>
      </c>
      <c r="C29" s="190">
        <v>6</v>
      </c>
      <c r="D29" s="203" t="s">
        <v>415</v>
      </c>
      <c r="E29" s="203" t="s">
        <v>415</v>
      </c>
      <c r="F29" s="203" t="s">
        <v>415</v>
      </c>
      <c r="G29" s="203" t="s">
        <v>415</v>
      </c>
      <c r="H29" s="203" t="s">
        <v>415</v>
      </c>
      <c r="I29" s="203" t="s">
        <v>415</v>
      </c>
      <c r="J29" s="203" t="s">
        <v>415</v>
      </c>
      <c r="K29" s="203" t="s">
        <v>415</v>
      </c>
      <c r="L29" s="203" t="s">
        <v>415</v>
      </c>
      <c r="M29" s="203" t="s">
        <v>415</v>
      </c>
      <c r="N29" s="203" t="s">
        <v>415</v>
      </c>
      <c r="O29" s="203" t="s">
        <v>415</v>
      </c>
      <c r="P29" s="203" t="s">
        <v>415</v>
      </c>
      <c r="Q29" s="203" t="s">
        <v>415</v>
      </c>
      <c r="R29" s="203" t="s">
        <v>415</v>
      </c>
      <c r="S29" s="203">
        <v>1.2030086371680191</v>
      </c>
      <c r="T29" s="203">
        <v>1.1172756171853768</v>
      </c>
      <c r="U29" s="203">
        <v>1.7951788693090995</v>
      </c>
      <c r="V29" s="203">
        <v>1.2961503103934671</v>
      </c>
      <c r="W29" s="203">
        <v>0.78643349610776747</v>
      </c>
      <c r="X29" s="203">
        <v>0.98623341453780367</v>
      </c>
      <c r="Y29" s="203">
        <v>1.0080447376626986</v>
      </c>
      <c r="Z29" s="203">
        <v>1.1291785290142564</v>
      </c>
      <c r="AA29" s="203">
        <v>0.98734334774421995</v>
      </c>
      <c r="AB29" s="203">
        <v>1.4379892444605262</v>
      </c>
      <c r="AC29" s="203">
        <v>1.3176033947881243</v>
      </c>
      <c r="AD29" s="203">
        <v>1.2615331659154116</v>
      </c>
      <c r="AE29" s="203">
        <v>1.3407157119572046</v>
      </c>
      <c r="AF29" s="203">
        <v>1.5724779758210439</v>
      </c>
      <c r="AG29" s="203">
        <v>1.3063201985270747</v>
      </c>
      <c r="AH29" s="203">
        <v>1.4787717317414726</v>
      </c>
      <c r="AI29" s="203">
        <v>1.2175914338441396</v>
      </c>
      <c r="AJ29" s="203">
        <v>1.1329104739316038</v>
      </c>
      <c r="AK29" s="203">
        <v>1.0412699183408636</v>
      </c>
      <c r="AL29" s="203">
        <v>1.2645764934048147</v>
      </c>
      <c r="AM29" s="203">
        <v>0.75683146233496068</v>
      </c>
      <c r="AN29" s="203">
        <v>1.0235805090705883</v>
      </c>
      <c r="AO29" s="203">
        <v>1.1917670272892749</v>
      </c>
      <c r="AP29" s="203">
        <v>0.96318522009056884</v>
      </c>
      <c r="AQ29" s="203">
        <v>1.0210265582928741</v>
      </c>
      <c r="AR29" s="203">
        <v>1.1019947011201738</v>
      </c>
      <c r="AS29" s="203">
        <v>1.0873133575897018</v>
      </c>
      <c r="AT29" s="203">
        <v>1.0656720688925927</v>
      </c>
      <c r="AU29" s="203">
        <v>1.0633604106057357</v>
      </c>
      <c r="AV29" s="203">
        <v>1.0260746753556569</v>
      </c>
      <c r="AW29" s="203">
        <v>1.0025332594702643</v>
      </c>
      <c r="AX29" s="203">
        <v>1.0701525977072954</v>
      </c>
      <c r="AY29" s="203">
        <v>1.0684728126826097</v>
      </c>
      <c r="AZ29" s="203">
        <v>1.191134512623359</v>
      </c>
      <c r="BA29" s="203">
        <v>1.1109309290292932</v>
      </c>
      <c r="BB29" s="203">
        <v>1.0000284786349471</v>
      </c>
      <c r="BC29" s="203">
        <v>1.0245598579371917</v>
      </c>
      <c r="BD29" s="203">
        <v>0.95878756595590364</v>
      </c>
      <c r="BE29" s="203">
        <v>1.0220412728187158</v>
      </c>
      <c r="BF29" s="203">
        <v>0.94143695382979586</v>
      </c>
      <c r="BG29" s="203">
        <v>0.95153900524149526</v>
      </c>
      <c r="BH29" s="203">
        <v>0.99809989595458315</v>
      </c>
      <c r="BI29" s="203">
        <v>0.97285052772940683</v>
      </c>
      <c r="BJ29" s="203">
        <v>1.0571140940308676</v>
      </c>
      <c r="BK29" s="203">
        <f t="shared" ref="BK29:BW29" si="1">IFERROR(BK16/BK12,"")</f>
        <v>0.98876562185815808</v>
      </c>
      <c r="BL29" s="203">
        <f t="shared" si="1"/>
        <v>0.95982114029234145</v>
      </c>
      <c r="BM29" s="203">
        <f t="shared" si="1"/>
        <v>0.97111157821230609</v>
      </c>
      <c r="BN29" s="203">
        <f t="shared" si="1"/>
        <v>0.93163719969587266</v>
      </c>
      <c r="BO29" s="203">
        <f t="shared" si="1"/>
        <v>0.94862456305782528</v>
      </c>
      <c r="BP29" s="203">
        <f t="shared" si="1"/>
        <v>0.93174273443094868</v>
      </c>
      <c r="BQ29" s="203" t="str">
        <f t="shared" si="1"/>
        <v/>
      </c>
      <c r="BR29" s="203" t="str">
        <f t="shared" si="1"/>
        <v/>
      </c>
      <c r="BS29" s="203" t="str">
        <f t="shared" si="1"/>
        <v/>
      </c>
      <c r="BT29" s="203" t="str">
        <f t="shared" si="1"/>
        <v/>
      </c>
      <c r="BU29" s="203" t="str">
        <f t="shared" si="1"/>
        <v/>
      </c>
      <c r="BV29" s="203" t="str">
        <f t="shared" si="1"/>
        <v/>
      </c>
      <c r="BW29" s="203" t="str">
        <f t="shared" si="1"/>
        <v/>
      </c>
    </row>
    <row r="30" spans="1:75" x14ac:dyDescent="0.25">
      <c r="A30" s="180">
        <v>27</v>
      </c>
      <c r="B30" s="181" t="s">
        <v>434</v>
      </c>
      <c r="C30" s="182">
        <v>6</v>
      </c>
      <c r="D30" s="198">
        <v>0</v>
      </c>
      <c r="E30" s="198">
        <v>0</v>
      </c>
      <c r="F30" s="198">
        <v>0</v>
      </c>
      <c r="G30" s="198">
        <v>0</v>
      </c>
      <c r="H30" s="198">
        <v>0</v>
      </c>
      <c r="I30" s="198">
        <v>0</v>
      </c>
      <c r="J30" s="198">
        <v>0</v>
      </c>
      <c r="K30" s="198">
        <v>0</v>
      </c>
      <c r="L30" s="198">
        <v>0</v>
      </c>
      <c r="M30" s="198">
        <v>0</v>
      </c>
      <c r="N30" s="198">
        <v>0</v>
      </c>
      <c r="O30" s="198">
        <v>0</v>
      </c>
      <c r="P30" s="198">
        <v>0</v>
      </c>
      <c r="Q30" s="198">
        <v>0</v>
      </c>
      <c r="R30" s="198">
        <v>0</v>
      </c>
      <c r="S30" s="198">
        <v>-176033763</v>
      </c>
      <c r="T30" s="198">
        <v>-211873531</v>
      </c>
      <c r="U30" s="198">
        <v>-1438169250</v>
      </c>
      <c r="V30" s="198">
        <v>-562258541</v>
      </c>
      <c r="W30" s="198">
        <v>841389130</v>
      </c>
      <c r="X30" s="198">
        <v>46753520</v>
      </c>
      <c r="Y30" s="198">
        <v>-57984009</v>
      </c>
      <c r="Z30" s="198">
        <v>-767094557</v>
      </c>
      <c r="AA30" s="198">
        <v>113692458</v>
      </c>
      <c r="AB30" s="198">
        <v>-986957607</v>
      </c>
      <c r="AC30" s="198">
        <v>-1354607280</v>
      </c>
      <c r="AD30" s="198">
        <v>-2782525291</v>
      </c>
      <c r="AE30" s="198">
        <v>-2367823936</v>
      </c>
      <c r="AF30" s="198">
        <v>-1903051739</v>
      </c>
      <c r="AG30" s="198">
        <v>-1726698199</v>
      </c>
      <c r="AH30" s="198">
        <v>-1676180810</v>
      </c>
      <c r="AI30" s="198">
        <v>-912344739</v>
      </c>
      <c r="AJ30" s="198">
        <v>-557875054</v>
      </c>
      <c r="AK30" s="198">
        <v>-312957760</v>
      </c>
      <c r="AL30" s="198">
        <v>-2072033057</v>
      </c>
      <c r="AM30" s="198">
        <v>2043838752</v>
      </c>
      <c r="AN30" s="198">
        <v>-444707330</v>
      </c>
      <c r="AO30" s="198">
        <v>-876211538</v>
      </c>
      <c r="AP30" s="198">
        <v>364067525</v>
      </c>
      <c r="AQ30" s="198">
        <v>-188998157</v>
      </c>
      <c r="AR30" s="198">
        <v>-856388028</v>
      </c>
      <c r="AS30" s="198">
        <v>-1220813410</v>
      </c>
      <c r="AT30" s="198">
        <v>-571051197</v>
      </c>
      <c r="AU30" s="198">
        <v>-574426680</v>
      </c>
      <c r="AV30" s="198">
        <v>-262972454</v>
      </c>
      <c r="AW30" s="198">
        <v>-32351043</v>
      </c>
      <c r="AX30" s="198">
        <v>-725512231</v>
      </c>
      <c r="AY30" s="198">
        <v>-619852631</v>
      </c>
      <c r="AZ30" s="198">
        <f>'Ket qua kinh doanh'!AZ9</f>
        <v>-1036512617</v>
      </c>
      <c r="BA30" s="198">
        <f>'Ket qua kinh doanh'!BA9</f>
        <v>-977376577</v>
      </c>
      <c r="BB30" s="198">
        <f>'Ket qua kinh doanh'!BB9</f>
        <v>-463611</v>
      </c>
      <c r="BC30" s="198">
        <f>'Ket qua kinh doanh'!BC9</f>
        <v>-362809804</v>
      </c>
      <c r="BD30" s="198">
        <f>'Ket qua kinh doanh'!BD9</f>
        <v>724599774</v>
      </c>
      <c r="BE30" s="198">
        <f>'Ket qua kinh doanh'!BE9</f>
        <v>-429717078</v>
      </c>
      <c r="BF30" s="198">
        <f>'Ket qua kinh doanh'!BF9</f>
        <v>1276331386</v>
      </c>
      <c r="BG30" s="198">
        <f>'Ket qua kinh doanh'!BG9</f>
        <v>1015115770</v>
      </c>
      <c r="BH30" s="198">
        <f>'Ket qua kinh doanh'!BH9</f>
        <v>14421366</v>
      </c>
      <c r="BI30" s="198">
        <f>'Ket qua kinh doanh'!BI9</f>
        <v>394480799</v>
      </c>
      <c r="BJ30" s="198">
        <f>'Ket qua kinh doanh'!BJ9</f>
        <v>-421164800</v>
      </c>
      <c r="BK30" s="198">
        <f>'Ket qua kinh doanh'!BK9</f>
        <v>115654189</v>
      </c>
      <c r="BL30" s="198">
        <f>'Ket qua kinh doanh'!BL9</f>
        <v>473136611</v>
      </c>
      <c r="BM30" s="198">
        <f>'Ket qua kinh doanh'!BM9</f>
        <v>239075319</v>
      </c>
      <c r="BN30" s="198">
        <f>'Ket qua kinh doanh'!BN9</f>
        <v>1001806788</v>
      </c>
      <c r="BO30" s="198">
        <f>'Ket qua kinh doanh'!BO9</f>
        <v>739625976</v>
      </c>
      <c r="BP30" s="198">
        <f>'Ket qua kinh doanh'!BP9</f>
        <v>897163544</v>
      </c>
      <c r="BQ30" s="198">
        <f>'Ket qua kinh doanh'!BQ9</f>
        <v>0</v>
      </c>
      <c r="BR30" s="198">
        <f>'Ket qua kinh doanh'!BR9</f>
        <v>0</v>
      </c>
      <c r="BS30" s="198">
        <f>'Ket qua kinh doanh'!BS9</f>
        <v>0</v>
      </c>
      <c r="BT30" s="198">
        <f>'Ket qua kinh doanh'!BT9</f>
        <v>0</v>
      </c>
      <c r="BU30" s="198">
        <f>'Ket qua kinh doanh'!BU9</f>
        <v>0</v>
      </c>
      <c r="BV30" s="198">
        <f>'Ket qua kinh doanh'!BV9</f>
        <v>0</v>
      </c>
      <c r="BW30" s="198">
        <f>'Ket qua kinh doanh'!BW9</f>
        <v>0</v>
      </c>
    </row>
    <row r="31" spans="1:75" x14ac:dyDescent="0.25">
      <c r="A31" s="183">
        <v>28</v>
      </c>
      <c r="B31" s="184" t="s">
        <v>435</v>
      </c>
      <c r="C31" s="186">
        <v>6</v>
      </c>
      <c r="D31" s="200" t="s">
        <v>415</v>
      </c>
      <c r="E31" s="200" t="s">
        <v>415</v>
      </c>
      <c r="F31" s="200" t="s">
        <v>415</v>
      </c>
      <c r="G31" s="200" t="s">
        <v>415</v>
      </c>
      <c r="H31" s="200" t="s">
        <v>415</v>
      </c>
      <c r="I31" s="200" t="s">
        <v>415</v>
      </c>
      <c r="J31" s="200" t="s">
        <v>415</v>
      </c>
      <c r="K31" s="200" t="s">
        <v>415</v>
      </c>
      <c r="L31" s="200" t="s">
        <v>415</v>
      </c>
      <c r="M31" s="200" t="s">
        <v>415</v>
      </c>
      <c r="N31" s="200" t="s">
        <v>415</v>
      </c>
      <c r="O31" s="200" t="s">
        <v>415</v>
      </c>
      <c r="P31" s="200" t="s">
        <v>415</v>
      </c>
      <c r="Q31" s="200" t="s">
        <v>415</v>
      </c>
      <c r="R31" s="200" t="s">
        <v>415</v>
      </c>
      <c r="S31" s="200">
        <v>-0.20300863716801912</v>
      </c>
      <c r="T31" s="200">
        <v>-0.11727561718537674</v>
      </c>
      <c r="U31" s="200">
        <v>-0.79517886930909965</v>
      </c>
      <c r="V31" s="200">
        <v>-0.29615031039346706</v>
      </c>
      <c r="W31" s="200">
        <v>0.21356650389223256</v>
      </c>
      <c r="X31" s="200">
        <v>1.3766585462196343E-2</v>
      </c>
      <c r="Y31" s="200">
        <v>-8.0447376626987394E-3</v>
      </c>
      <c r="Z31" s="200">
        <v>-0.1291785290142565</v>
      </c>
      <c r="AA31" s="200">
        <v>1.265665225578007E-2</v>
      </c>
      <c r="AB31" s="200">
        <v>-0.43798924446052628</v>
      </c>
      <c r="AC31" s="200">
        <v>-0.31760339478812438</v>
      </c>
      <c r="AD31" s="200">
        <v>-0.26153316591541165</v>
      </c>
      <c r="AE31" s="200">
        <v>-0.34071571195720457</v>
      </c>
      <c r="AF31" s="200">
        <v>-0.57247797582104376</v>
      </c>
      <c r="AG31" s="200">
        <v>-0.30632019852707459</v>
      </c>
      <c r="AH31" s="200">
        <v>-0.47877173174147258</v>
      </c>
      <c r="AI31" s="200">
        <v>-0.21759143384413948</v>
      </c>
      <c r="AJ31" s="200">
        <v>-0.13291047393160388</v>
      </c>
      <c r="AK31" s="200">
        <v>-4.1269918340863562E-2</v>
      </c>
      <c r="AL31" s="200">
        <v>-0.26457649340481465</v>
      </c>
      <c r="AM31" s="200">
        <v>0.24316853766503937</v>
      </c>
      <c r="AN31" s="200">
        <v>-2.3580509070588299E-2</v>
      </c>
      <c r="AO31" s="200">
        <v>-0.19176702728927486</v>
      </c>
      <c r="AP31" s="200">
        <v>3.6814779909431203E-2</v>
      </c>
      <c r="AQ31" s="200">
        <v>-2.1026558292874243E-2</v>
      </c>
      <c r="AR31" s="200">
        <v>-0.10199470112017389</v>
      </c>
      <c r="AS31" s="200">
        <v>-8.7313357589701754E-2</v>
      </c>
      <c r="AT31" s="200">
        <v>-6.567206889259268E-2</v>
      </c>
      <c r="AU31" s="200">
        <v>-6.3360410605735717E-2</v>
      </c>
      <c r="AV31" s="200">
        <v>-2.6074675355656975E-2</v>
      </c>
      <c r="AW31" s="200">
        <v>-2.5332594702642897E-3</v>
      </c>
      <c r="AX31" s="200">
        <v>-7.0152597707295539E-2</v>
      </c>
      <c r="AY31" s="200">
        <v>-6.8472812682609796E-2</v>
      </c>
      <c r="AZ31" s="200">
        <v>-0.19113451262335907</v>
      </c>
      <c r="BA31" s="200">
        <v>-0.11093092902929332</v>
      </c>
      <c r="BB31" s="200">
        <v>-2.8478634947222103E-5</v>
      </c>
      <c r="BC31" s="200">
        <v>-2.4559857937191818E-2</v>
      </c>
      <c r="BD31" s="200">
        <v>4.1212434044096372E-2</v>
      </c>
      <c r="BE31" s="200">
        <v>-2.2041272818715926E-2</v>
      </c>
      <c r="BF31" s="200">
        <v>5.8563046170204129E-2</v>
      </c>
      <c r="BG31" s="200">
        <v>4.8460994758504718E-2</v>
      </c>
      <c r="BH31" s="200">
        <v>1.9001040454168475E-3</v>
      </c>
      <c r="BI31" s="200">
        <v>2.7149472270593177E-2</v>
      </c>
      <c r="BJ31" s="200">
        <v>-5.7114094030867556E-2</v>
      </c>
      <c r="BK31" s="200">
        <f t="shared" ref="BK31:BW31" si="2">IFERROR(BK30/BK12,"")</f>
        <v>1.1234378141841963E-2</v>
      </c>
      <c r="BL31" s="200">
        <f t="shared" si="2"/>
        <v>4.0178859707658533E-2</v>
      </c>
      <c r="BM31" s="200">
        <f t="shared" si="2"/>
        <v>2.8888421787693921E-2</v>
      </c>
      <c r="BN31" s="200">
        <f t="shared" si="2"/>
        <v>6.8362800304127377E-2</v>
      </c>
      <c r="BO31" s="200">
        <f t="shared" si="2"/>
        <v>5.1375436942174758E-2</v>
      </c>
      <c r="BP31" s="200">
        <f t="shared" si="2"/>
        <v>6.8257265569051317E-2</v>
      </c>
      <c r="BQ31" s="200" t="str">
        <f t="shared" si="2"/>
        <v/>
      </c>
      <c r="BR31" s="200" t="str">
        <f t="shared" si="2"/>
        <v/>
      </c>
      <c r="BS31" s="200" t="str">
        <f t="shared" si="2"/>
        <v/>
      </c>
      <c r="BT31" s="200" t="str">
        <f t="shared" si="2"/>
        <v/>
      </c>
      <c r="BU31" s="200" t="str">
        <f t="shared" si="2"/>
        <v/>
      </c>
      <c r="BV31" s="200" t="str">
        <f t="shared" si="2"/>
        <v/>
      </c>
      <c r="BW31" s="200" t="str">
        <f t="shared" si="2"/>
        <v/>
      </c>
    </row>
    <row r="32" spans="1:75" x14ac:dyDescent="0.25">
      <c r="A32" s="180">
        <v>29</v>
      </c>
      <c r="B32" s="181" t="s">
        <v>436</v>
      </c>
      <c r="C32" s="182">
        <v>6</v>
      </c>
      <c r="D32" s="198">
        <v>0</v>
      </c>
      <c r="E32" s="198">
        <v>0</v>
      </c>
      <c r="F32" s="198">
        <v>0</v>
      </c>
      <c r="G32" s="198">
        <v>0</v>
      </c>
      <c r="H32" s="198">
        <v>0</v>
      </c>
      <c r="I32" s="198">
        <v>0</v>
      </c>
      <c r="J32" s="198">
        <v>0</v>
      </c>
      <c r="K32" s="198">
        <v>0</v>
      </c>
      <c r="L32" s="198">
        <v>0</v>
      </c>
      <c r="M32" s="198">
        <v>0</v>
      </c>
      <c r="N32" s="198">
        <v>0</v>
      </c>
      <c r="O32" s="198">
        <v>-5215385</v>
      </c>
      <c r="P32" s="198">
        <v>-54190586</v>
      </c>
      <c r="Q32" s="198">
        <v>-80964549</v>
      </c>
      <c r="R32" s="198">
        <v>-120696934</v>
      </c>
      <c r="S32" s="198">
        <v>-311288386</v>
      </c>
      <c r="T32" s="198">
        <v>-396537482</v>
      </c>
      <c r="U32" s="198">
        <v>-1637748290</v>
      </c>
      <c r="V32" s="198">
        <v>-763929325</v>
      </c>
      <c r="W32" s="198">
        <v>616936750</v>
      </c>
      <c r="X32" s="198">
        <v>-200819028</v>
      </c>
      <c r="Y32" s="198">
        <v>-370421331</v>
      </c>
      <c r="Z32" s="198">
        <v>-2723615820</v>
      </c>
      <c r="AA32" s="198">
        <v>-3987117020</v>
      </c>
      <c r="AB32" s="198">
        <v>-1573147901</v>
      </c>
      <c r="AC32" s="198">
        <v>-1993641840</v>
      </c>
      <c r="AD32" s="198">
        <v>-3237798497</v>
      </c>
      <c r="AE32" s="198">
        <v>-2993991777</v>
      </c>
      <c r="AF32" s="198">
        <v>-2290568807</v>
      </c>
      <c r="AG32" s="198">
        <v>-2226816034</v>
      </c>
      <c r="AH32" s="198">
        <v>-2128320328</v>
      </c>
      <c r="AI32" s="198">
        <v>-1661553514</v>
      </c>
      <c r="AJ32" s="198">
        <v>-936838449</v>
      </c>
      <c r="AK32" s="198">
        <v>-744292718</v>
      </c>
      <c r="AL32" s="198">
        <v>-2741796490</v>
      </c>
      <c r="AM32" s="198">
        <v>-103172016</v>
      </c>
      <c r="AN32" s="198">
        <v>-2449116513</v>
      </c>
      <c r="AO32" s="198">
        <v>-1201465852</v>
      </c>
      <c r="AP32" s="198">
        <v>-79981688</v>
      </c>
      <c r="AQ32" s="198">
        <v>-570055628</v>
      </c>
      <c r="AR32" s="198">
        <v>-1216614710</v>
      </c>
      <c r="AS32" s="198">
        <v>-1620055205</v>
      </c>
      <c r="AT32" s="198">
        <v>-956690038</v>
      </c>
      <c r="AU32" s="198">
        <v>-933950607</v>
      </c>
      <c r="AV32" s="198">
        <v>-676218518</v>
      </c>
      <c r="AW32" s="198">
        <v>-428240201</v>
      </c>
      <c r="AX32" s="198">
        <v>-1170367442</v>
      </c>
      <c r="AY32" s="198">
        <v>-1253164728</v>
      </c>
      <c r="AZ32" s="198">
        <f>'Ket qua kinh doanh'!AZ20</f>
        <v>-1512604872</v>
      </c>
      <c r="BA32" s="198">
        <f>'Ket qua kinh doanh'!BA20</f>
        <v>-1408925428</v>
      </c>
      <c r="BB32" s="198">
        <f>'Ket qua kinh doanh'!BB20</f>
        <v>-567299860</v>
      </c>
      <c r="BC32" s="198">
        <f>'Ket qua kinh doanh'!BC20</f>
        <v>-881102876</v>
      </c>
      <c r="BD32" s="198">
        <f>'Ket qua kinh doanh'!BD20</f>
        <v>194418036</v>
      </c>
      <c r="BE32" s="198">
        <f>'Ket qua kinh doanh'!BE20</f>
        <v>-1024551814</v>
      </c>
      <c r="BF32" s="198">
        <f>'Ket qua kinh doanh'!BF20</f>
        <v>513342441</v>
      </c>
      <c r="BG32" s="198">
        <f>'Ket qua kinh doanh'!BG20</f>
        <v>346075161</v>
      </c>
      <c r="BH32" s="198">
        <f>'Ket qua kinh doanh'!BH20</f>
        <v>-680152853</v>
      </c>
      <c r="BI32" s="198">
        <f>'Ket qua kinh doanh'!BI20</f>
        <v>-216894789</v>
      </c>
      <c r="BJ32" s="198">
        <f>'Ket qua kinh doanh'!BJ20</f>
        <v>-959475147</v>
      </c>
      <c r="BK32" s="198">
        <f>'Ket qua kinh doanh'!BK20</f>
        <v>-456516965</v>
      </c>
      <c r="BL32" s="198">
        <f>'Ket qua kinh doanh'!BL20</f>
        <v>-545598431</v>
      </c>
      <c r="BM32" s="198">
        <f>'Ket qua kinh doanh'!BM20</f>
        <v>-937890122</v>
      </c>
      <c r="BN32" s="198">
        <f>'Ket qua kinh doanh'!BN20</f>
        <v>254999480</v>
      </c>
      <c r="BO32" s="198">
        <f>'Ket qua kinh doanh'!BO20</f>
        <v>-416203986</v>
      </c>
      <c r="BP32" s="198">
        <f>'Ket qua kinh doanh'!BP20</f>
        <v>164236702</v>
      </c>
      <c r="BQ32" s="198">
        <f>'Ket qua kinh doanh'!BQ20</f>
        <v>0</v>
      </c>
      <c r="BR32" s="198">
        <f>'Ket qua kinh doanh'!BR20</f>
        <v>0</v>
      </c>
      <c r="BS32" s="198">
        <f>'Ket qua kinh doanh'!BS20</f>
        <v>0</v>
      </c>
      <c r="BT32" s="198">
        <f>'Ket qua kinh doanh'!BT20</f>
        <v>0</v>
      </c>
      <c r="BU32" s="198">
        <f>'Ket qua kinh doanh'!BU20</f>
        <v>0</v>
      </c>
      <c r="BV32" s="198">
        <f>'Ket qua kinh doanh'!BV20</f>
        <v>0</v>
      </c>
      <c r="BW32" s="198">
        <f>'Ket qua kinh doanh'!BW20</f>
        <v>0</v>
      </c>
    </row>
    <row r="33" spans="1:75" x14ac:dyDescent="0.25">
      <c r="A33" s="183">
        <v>30</v>
      </c>
      <c r="B33" s="184" t="s">
        <v>437</v>
      </c>
      <c r="C33" s="186">
        <v>6</v>
      </c>
      <c r="D33" s="200" t="s">
        <v>415</v>
      </c>
      <c r="E33" s="200" t="s">
        <v>415</v>
      </c>
      <c r="F33" s="200" t="s">
        <v>415</v>
      </c>
      <c r="G33" s="200" t="s">
        <v>415</v>
      </c>
      <c r="H33" s="200" t="s">
        <v>415</v>
      </c>
      <c r="I33" s="200" t="s">
        <v>415</v>
      </c>
      <c r="J33" s="200" t="s">
        <v>415</v>
      </c>
      <c r="K33" s="200" t="s">
        <v>415</v>
      </c>
      <c r="L33" s="200" t="s">
        <v>415</v>
      </c>
      <c r="M33" s="200" t="s">
        <v>415</v>
      </c>
      <c r="N33" s="200" t="s">
        <v>415</v>
      </c>
      <c r="O33" s="200" t="s">
        <v>415</v>
      </c>
      <c r="P33" s="200" t="s">
        <v>415</v>
      </c>
      <c r="Q33" s="200" t="s">
        <v>415</v>
      </c>
      <c r="R33" s="200" t="s">
        <v>415</v>
      </c>
      <c r="S33" s="200">
        <v>-0.35898926394076053</v>
      </c>
      <c r="T33" s="200">
        <v>-0.21949026723250872</v>
      </c>
      <c r="U33" s="200">
        <v>-0.90552821474601231</v>
      </c>
      <c r="V33" s="200">
        <v>-0.40237344605748154</v>
      </c>
      <c r="W33" s="200">
        <v>0.15659463632497403</v>
      </c>
      <c r="X33" s="200">
        <v>-5.9131212182466697E-2</v>
      </c>
      <c r="Y33" s="200">
        <v>-5.1392487065920124E-2</v>
      </c>
      <c r="Z33" s="200">
        <v>-0.4586562139138709</v>
      </c>
      <c r="AA33" s="200">
        <v>-0.44386016902934855</v>
      </c>
      <c r="AB33" s="200">
        <v>-0.69812710869926231</v>
      </c>
      <c r="AC33" s="200">
        <v>-0.46743246232638191</v>
      </c>
      <c r="AD33" s="200">
        <v>-0.30432488583499867</v>
      </c>
      <c r="AE33" s="200">
        <v>-0.4308175216852656</v>
      </c>
      <c r="AF33" s="200">
        <v>-0.68905125763907737</v>
      </c>
      <c r="AG33" s="200">
        <v>-0.39504224305856989</v>
      </c>
      <c r="AH33" s="200">
        <v>-0.60791747707524402</v>
      </c>
      <c r="AI33" s="200">
        <v>-0.39627543851056118</v>
      </c>
      <c r="AJ33" s="200">
        <v>-0.22319628985227707</v>
      </c>
      <c r="AK33" s="200">
        <v>-9.8150305311360195E-2</v>
      </c>
      <c r="AL33" s="200">
        <v>-0.35009813115825644</v>
      </c>
      <c r="AM33" s="200">
        <v>-1.2275033064190597E-2</v>
      </c>
      <c r="AN33" s="200">
        <v>-0.12986386833273939</v>
      </c>
      <c r="AO33" s="200">
        <v>-0.26295195262267351</v>
      </c>
      <c r="AP33" s="200">
        <v>-8.0878079979937647E-3</v>
      </c>
      <c r="AQ33" s="200">
        <v>-6.3420236909098718E-2</v>
      </c>
      <c r="AR33" s="200">
        <v>-0.14489723077359162</v>
      </c>
      <c r="AS33" s="200">
        <v>-0.11586738667068097</v>
      </c>
      <c r="AT33" s="200">
        <v>-0.1100213333138204</v>
      </c>
      <c r="AU33" s="200">
        <v>-0.10301661814349589</v>
      </c>
      <c r="AV33" s="200">
        <v>-6.704952575121606E-2</v>
      </c>
      <c r="AW33" s="200">
        <v>-3.3533495186882624E-2</v>
      </c>
      <c r="AX33" s="200">
        <v>-0.11316737722694925</v>
      </c>
      <c r="AY33" s="200">
        <v>-0.1384324424700194</v>
      </c>
      <c r="AZ33" s="200">
        <v>-0.2789266529511415</v>
      </c>
      <c r="BA33" s="200">
        <v>-0.1599111441168031</v>
      </c>
      <c r="BB33" s="200">
        <v>-3.4848020470934049E-2</v>
      </c>
      <c r="BC33" s="200">
        <v>-5.9644919249787244E-2</v>
      </c>
      <c r="BD33" s="200">
        <v>1.1057746321671849E-2</v>
      </c>
      <c r="BE33" s="200">
        <v>-5.255184679740444E-2</v>
      </c>
      <c r="BF33" s="200">
        <v>2.3554146989697464E-2</v>
      </c>
      <c r="BG33" s="200">
        <v>1.6521412688987856E-2</v>
      </c>
      <c r="BH33" s="200">
        <v>-3.9837353508012804E-2</v>
      </c>
      <c r="BI33" s="200">
        <v>-1.4927416174675863E-2</v>
      </c>
      <c r="BJ33" s="200">
        <v>-0.13011427775074857</v>
      </c>
      <c r="BK33" s="200">
        <f t="shared" ref="BK33:BW33" si="3">IFERROR(BK32/BK12,"")</f>
        <v>-4.434499309814046E-2</v>
      </c>
      <c r="BL33" s="200">
        <f t="shared" si="3"/>
        <v>-4.6332332578396924E-2</v>
      </c>
      <c r="BM33" s="200">
        <f t="shared" si="3"/>
        <v>-0.11332899417713507</v>
      </c>
      <c r="BN33" s="200">
        <f t="shared" si="3"/>
        <v>1.7401038541272413E-2</v>
      </c>
      <c r="BO33" s="200">
        <f t="shared" si="3"/>
        <v>-2.8910100958683457E-2</v>
      </c>
      <c r="BP33" s="200">
        <f t="shared" si="3"/>
        <v>1.2495322909151937E-2</v>
      </c>
      <c r="BQ33" s="200" t="str">
        <f t="shared" si="3"/>
        <v/>
      </c>
      <c r="BR33" s="200" t="str">
        <f t="shared" si="3"/>
        <v/>
      </c>
      <c r="BS33" s="200" t="str">
        <f t="shared" si="3"/>
        <v/>
      </c>
      <c r="BT33" s="200" t="str">
        <f t="shared" si="3"/>
        <v/>
      </c>
      <c r="BU33" s="200" t="str">
        <f t="shared" si="3"/>
        <v/>
      </c>
      <c r="BV33" s="200" t="str">
        <f t="shared" si="3"/>
        <v/>
      </c>
      <c r="BW33" s="200" t="str">
        <f t="shared" si="3"/>
        <v/>
      </c>
    </row>
    <row r="34" spans="1:75" x14ac:dyDescent="0.25">
      <c r="A34" s="180">
        <v>31</v>
      </c>
      <c r="B34" s="181" t="s">
        <v>438</v>
      </c>
      <c r="C34" s="182">
        <v>6</v>
      </c>
      <c r="D34" s="198">
        <v>0</v>
      </c>
      <c r="E34" s="198">
        <v>0</v>
      </c>
      <c r="F34" s="198">
        <v>0</v>
      </c>
      <c r="G34" s="198">
        <v>0</v>
      </c>
      <c r="H34" s="198">
        <v>0</v>
      </c>
      <c r="I34" s="198">
        <v>0</v>
      </c>
      <c r="J34" s="198">
        <v>0</v>
      </c>
      <c r="K34" s="198">
        <v>0</v>
      </c>
      <c r="L34" s="198">
        <v>0</v>
      </c>
      <c r="M34" s="198">
        <v>0</v>
      </c>
      <c r="N34" s="198">
        <v>0</v>
      </c>
      <c r="O34" s="198">
        <v>-5215385</v>
      </c>
      <c r="P34" s="198">
        <v>-54190586</v>
      </c>
      <c r="Q34" s="198">
        <v>-80964549</v>
      </c>
      <c r="R34" s="198">
        <v>-120696934</v>
      </c>
      <c r="S34" s="198">
        <v>-311288386</v>
      </c>
      <c r="T34" s="198">
        <v>-396537482</v>
      </c>
      <c r="U34" s="198">
        <v>-1637748290</v>
      </c>
      <c r="V34" s="198">
        <v>-763929325</v>
      </c>
      <c r="W34" s="198">
        <v>616936750</v>
      </c>
      <c r="X34" s="198">
        <v>-148663728</v>
      </c>
      <c r="Y34" s="198">
        <v>-312340909</v>
      </c>
      <c r="Z34" s="198">
        <v>-2663035398</v>
      </c>
      <c r="AA34" s="198">
        <v>-3885444014</v>
      </c>
      <c r="AB34" s="198">
        <v>-1395222650</v>
      </c>
      <c r="AC34" s="198">
        <v>-1797126579</v>
      </c>
      <c r="AD34" s="198">
        <v>-3019231341</v>
      </c>
      <c r="AE34" s="198">
        <v>-2734662435</v>
      </c>
      <c r="AF34" s="198">
        <v>-2012642893</v>
      </c>
      <c r="AG34" s="198">
        <v>-1964151228</v>
      </c>
      <c r="AH34" s="198">
        <v>-1861072189</v>
      </c>
      <c r="AI34" s="198">
        <v>-1290574360</v>
      </c>
      <c r="AJ34" s="198">
        <v>-554684487</v>
      </c>
      <c r="AK34" s="198">
        <v>-367222745</v>
      </c>
      <c r="AL34" s="198">
        <v>-2365818186</v>
      </c>
      <c r="AM34" s="198">
        <v>272806290</v>
      </c>
      <c r="AN34" s="198">
        <v>-1955426651</v>
      </c>
      <c r="AO34" s="198">
        <v>-702821573</v>
      </c>
      <c r="AP34" s="198">
        <v>418662592</v>
      </c>
      <c r="AQ34" s="198">
        <v>-22680526</v>
      </c>
      <c r="AR34" s="198">
        <v>-658491945</v>
      </c>
      <c r="AS34" s="198">
        <v>-1061932437</v>
      </c>
      <c r="AT34" s="198">
        <v>-397776024</v>
      </c>
      <c r="AU34" s="198">
        <v>-368361592</v>
      </c>
      <c r="AV34" s="198">
        <v>-110629500</v>
      </c>
      <c r="AW34" s="198">
        <v>145290280</v>
      </c>
      <c r="AX34" s="198">
        <v>-596836960</v>
      </c>
      <c r="AY34" s="198">
        <v>-679634247</v>
      </c>
      <c r="AZ34" s="198">
        <v>-924508905</v>
      </c>
      <c r="BA34" s="198">
        <v>-822687236</v>
      </c>
      <c r="BB34" s="198">
        <v>18938329</v>
      </c>
      <c r="BC34" s="198">
        <v>-286739687</v>
      </c>
      <c r="BD34" s="198">
        <v>788781229</v>
      </c>
      <c r="BE34" s="198">
        <v>-441873832</v>
      </c>
      <c r="BF34" s="198">
        <v>1096020418</v>
      </c>
      <c r="BG34" s="198">
        <v>970313946</v>
      </c>
      <c r="BH34" s="198">
        <v>-55914074</v>
      </c>
      <c r="BI34" s="198">
        <v>407343995</v>
      </c>
      <c r="BJ34" s="198">
        <v>-335236369</v>
      </c>
      <c r="BK34" s="198">
        <f>'Ket qua kinh doanh'!BK20+'Ket qua kinh doanh'!BK13+'Luu chuyen tien te'!BK7</f>
        <v>167721817</v>
      </c>
      <c r="BL34" s="198">
        <f>'Ket qua kinh doanh'!BL20+'Ket qua kinh doanh'!BL13+'Luu chuyen tien te'!BL7</f>
        <v>-679722443</v>
      </c>
      <c r="BM34" s="198">
        <f>'Ket qua kinh doanh'!BM20+'Ket qua kinh doanh'!BM13+'Luu chuyen tien te'!BM7</f>
        <v>-576264485</v>
      </c>
      <c r="BN34" s="198">
        <f>'Ket qua kinh doanh'!BN20+'Ket qua kinh doanh'!BN13+'Luu chuyen tien te'!BN7</f>
        <v>614061474</v>
      </c>
      <c r="BO34" s="198">
        <f>'Ket qua kinh doanh'!BO20+'Ket qua kinh doanh'!BO13+'Luu chuyen tien te'!BO7</f>
        <v>-53621158</v>
      </c>
      <c r="BP34" s="198">
        <f>'Ket qua kinh doanh'!BP20+'Ket qua kinh doanh'!BP13+'Luu chuyen tien te'!BP7</f>
        <v>526819538</v>
      </c>
      <c r="BQ34" s="198">
        <f>'Ket qua kinh doanh'!BQ20+'Ket qua kinh doanh'!BQ13+'Luu chuyen tien te'!BQ7</f>
        <v>0</v>
      </c>
      <c r="BR34" s="198">
        <f>'Ket qua kinh doanh'!BR20+'Ket qua kinh doanh'!BR13+'Luu chuyen tien te'!BR7</f>
        <v>0</v>
      </c>
      <c r="BS34" s="198">
        <f>'Ket qua kinh doanh'!BS20+'Ket qua kinh doanh'!BS13+'Luu chuyen tien te'!BS7</f>
        <v>0</v>
      </c>
      <c r="BT34" s="198">
        <f>'Ket qua kinh doanh'!BT20+'Ket qua kinh doanh'!BT13+'Luu chuyen tien te'!BT7</f>
        <v>0</v>
      </c>
      <c r="BU34" s="198">
        <f>'Ket qua kinh doanh'!BU20+'Ket qua kinh doanh'!BU13+'Luu chuyen tien te'!BU7</f>
        <v>0</v>
      </c>
      <c r="BV34" s="198">
        <f>'Ket qua kinh doanh'!BV20+'Ket qua kinh doanh'!BV13+'Luu chuyen tien te'!BV7</f>
        <v>0</v>
      </c>
      <c r="BW34" s="198">
        <f>'Ket qua kinh doanh'!BW20+'Ket qua kinh doanh'!BW13+'Luu chuyen tien te'!BW7</f>
        <v>0</v>
      </c>
    </row>
    <row r="35" spans="1:75" x14ac:dyDescent="0.25">
      <c r="A35" s="183">
        <v>32</v>
      </c>
      <c r="B35" s="184" t="s">
        <v>439</v>
      </c>
      <c r="C35" s="186">
        <v>6</v>
      </c>
      <c r="D35" s="200" t="s">
        <v>415</v>
      </c>
      <c r="E35" s="200" t="s">
        <v>415</v>
      </c>
      <c r="F35" s="200" t="s">
        <v>415</v>
      </c>
      <c r="G35" s="200" t="s">
        <v>415</v>
      </c>
      <c r="H35" s="200" t="s">
        <v>415</v>
      </c>
      <c r="I35" s="200" t="s">
        <v>415</v>
      </c>
      <c r="J35" s="200" t="s">
        <v>415</v>
      </c>
      <c r="K35" s="200" t="s">
        <v>415</v>
      </c>
      <c r="L35" s="200" t="s">
        <v>415</v>
      </c>
      <c r="M35" s="200" t="s">
        <v>415</v>
      </c>
      <c r="N35" s="200" t="s">
        <v>415</v>
      </c>
      <c r="O35" s="200" t="s">
        <v>415</v>
      </c>
      <c r="P35" s="200" t="s">
        <v>415</v>
      </c>
      <c r="Q35" s="200" t="s">
        <v>415</v>
      </c>
      <c r="R35" s="200" t="s">
        <v>415</v>
      </c>
      <c r="S35" s="200">
        <v>-0.35898926394076053</v>
      </c>
      <c r="T35" s="200">
        <v>-0.21949026723250872</v>
      </c>
      <c r="U35" s="200">
        <v>-0.90552821474601231</v>
      </c>
      <c r="V35" s="200">
        <v>-0.40237344605748154</v>
      </c>
      <c r="W35" s="200">
        <v>0.15659463632497403</v>
      </c>
      <c r="X35" s="200">
        <v>-4.377407127079868E-2</v>
      </c>
      <c r="Y35" s="200">
        <v>-4.333437300331993E-2</v>
      </c>
      <c r="Z35" s="200">
        <v>-0.4484544862003696</v>
      </c>
      <c r="AA35" s="200">
        <v>-0.4325415652857138</v>
      </c>
      <c r="AB35" s="200">
        <v>-0.6191679460126126</v>
      </c>
      <c r="AC35" s="200">
        <v>-0.4213571791481649</v>
      </c>
      <c r="AD35" s="200">
        <v>-0.28378147497771072</v>
      </c>
      <c r="AE35" s="200">
        <v>-0.39350157937741514</v>
      </c>
      <c r="AF35" s="200">
        <v>-0.6054452991597038</v>
      </c>
      <c r="AG35" s="200">
        <v>-0.34844490742308198</v>
      </c>
      <c r="AH35" s="200">
        <v>-0.53158272037694021</v>
      </c>
      <c r="AI35" s="200">
        <v>-0.30779804329521393</v>
      </c>
      <c r="AJ35" s="200">
        <v>-0.13215033997501272</v>
      </c>
      <c r="AK35" s="200">
        <v>-4.8425872868778717E-2</v>
      </c>
      <c r="AL35" s="200">
        <v>-0.30208971694278314</v>
      </c>
      <c r="AM35" s="200">
        <v>3.2457505045449225E-2</v>
      </c>
      <c r="AN35" s="200">
        <v>-0.10368607119827684</v>
      </c>
      <c r="AO35" s="200">
        <v>-0.15381902420118793</v>
      </c>
      <c r="AP35" s="200">
        <v>4.2335473840442082E-2</v>
      </c>
      <c r="AQ35" s="200">
        <v>-2.523270118724226E-3</v>
      </c>
      <c r="AR35" s="200">
        <v>-7.8425534832811769E-2</v>
      </c>
      <c r="AS35" s="200">
        <v>-7.5950088562579302E-2</v>
      </c>
      <c r="AT35" s="200">
        <v>-4.5745065572377397E-2</v>
      </c>
      <c r="AU35" s="200">
        <v>-4.0631019646410735E-2</v>
      </c>
      <c r="AV35" s="200">
        <v>-1.0969317331079297E-2</v>
      </c>
      <c r="AW35" s="200">
        <v>1.1377004993234694E-2</v>
      </c>
      <c r="AX35" s="200">
        <v>-5.7710485588940041E-2</v>
      </c>
      <c r="AY35" s="200">
        <v>-7.5076665259032449E-2</v>
      </c>
      <c r="AZ35" s="200">
        <v>-0.17048085674496943</v>
      </c>
      <c r="BA35" s="200">
        <v>-9.3373896548803292E-2</v>
      </c>
      <c r="BB35" s="200">
        <v>1.1633411590781708E-3</v>
      </c>
      <c r="BC35" s="200">
        <v>-1.9410407050838262E-2</v>
      </c>
      <c r="BD35" s="200">
        <v>4.4862827096857162E-2</v>
      </c>
      <c r="BE35" s="200">
        <v>-2.2664823394716111E-2</v>
      </c>
      <c r="BF35" s="200">
        <v>5.0289678166415996E-2</v>
      </c>
      <c r="BG35" s="200">
        <v>4.4338096722571635E-2</v>
      </c>
      <c r="BH35" s="200">
        <v>-4.8238202155497182E-3</v>
      </c>
      <c r="BI35" s="200">
        <v>2.5174408185587079E-2</v>
      </c>
      <c r="BJ35" s="200">
        <v>-5.1097405842972433E-2</v>
      </c>
      <c r="BK35" s="200">
        <f t="shared" ref="BK35:BW35" si="4">IFERROR(BK34/BK12,"")</f>
        <v>1.6292106071616807E-2</v>
      </c>
      <c r="BL35" s="200">
        <f t="shared" si="4"/>
        <v>-5.7722171657191672E-2</v>
      </c>
      <c r="BM35" s="200">
        <f t="shared" si="4"/>
        <v>-6.9632329985297295E-2</v>
      </c>
      <c r="BN35" s="200">
        <f t="shared" si="4"/>
        <v>4.1903251629315276E-2</v>
      </c>
      <c r="BO35" s="200">
        <f t="shared" si="4"/>
        <v>-3.7245993393766226E-3</v>
      </c>
      <c r="BP35" s="200">
        <f t="shared" si="4"/>
        <v>4.0081054733796591E-2</v>
      </c>
      <c r="BQ35" s="200" t="str">
        <f t="shared" si="4"/>
        <v/>
      </c>
      <c r="BR35" s="200" t="str">
        <f t="shared" si="4"/>
        <v/>
      </c>
      <c r="BS35" s="200" t="str">
        <f t="shared" si="4"/>
        <v/>
      </c>
      <c r="BT35" s="200" t="str">
        <f t="shared" si="4"/>
        <v/>
      </c>
      <c r="BU35" s="200" t="str">
        <f t="shared" si="4"/>
        <v/>
      </c>
      <c r="BV35" s="200" t="str">
        <f t="shared" si="4"/>
        <v/>
      </c>
      <c r="BW35" s="200" t="str">
        <f t="shared" si="4"/>
        <v/>
      </c>
    </row>
    <row r="36" spans="1:75" x14ac:dyDescent="0.25">
      <c r="A36" s="180">
        <v>33</v>
      </c>
      <c r="B36" s="181" t="s">
        <v>440</v>
      </c>
      <c r="C36" s="182">
        <v>6</v>
      </c>
      <c r="D36" s="198">
        <v>0</v>
      </c>
      <c r="E36" s="198">
        <v>0</v>
      </c>
      <c r="F36" s="198">
        <v>0</v>
      </c>
      <c r="G36" s="198">
        <v>0</v>
      </c>
      <c r="H36" s="198">
        <v>0</v>
      </c>
      <c r="I36" s="198">
        <v>0</v>
      </c>
      <c r="J36" s="198">
        <v>0</v>
      </c>
      <c r="K36" s="198">
        <v>0</v>
      </c>
      <c r="L36" s="198">
        <v>0</v>
      </c>
      <c r="M36" s="198">
        <v>0</v>
      </c>
      <c r="N36" s="198">
        <v>0</v>
      </c>
      <c r="O36" s="198">
        <v>0</v>
      </c>
      <c r="P36" s="198">
        <v>0</v>
      </c>
      <c r="Q36" s="198">
        <v>0</v>
      </c>
      <c r="R36" s="198">
        <v>0</v>
      </c>
      <c r="S36" s="198">
        <v>0</v>
      </c>
      <c r="T36" s="198">
        <v>0</v>
      </c>
      <c r="U36" s="198">
        <v>0</v>
      </c>
      <c r="V36" s="198">
        <v>0</v>
      </c>
      <c r="W36" s="198">
        <v>0</v>
      </c>
      <c r="X36" s="198">
        <v>0</v>
      </c>
      <c r="Y36" s="198">
        <v>0</v>
      </c>
      <c r="Z36" s="198">
        <v>0</v>
      </c>
      <c r="AA36" s="198">
        <v>0</v>
      </c>
      <c r="AB36" s="198">
        <v>0</v>
      </c>
      <c r="AC36" s="198">
        <v>0</v>
      </c>
      <c r="AD36" s="198">
        <v>0</v>
      </c>
      <c r="AE36" s="198">
        <v>0</v>
      </c>
      <c r="AF36" s="198">
        <v>0</v>
      </c>
      <c r="AG36" s="198">
        <v>0</v>
      </c>
      <c r="AH36" s="198">
        <v>0</v>
      </c>
      <c r="AI36" s="198">
        <v>0</v>
      </c>
      <c r="AJ36" s="198">
        <v>0</v>
      </c>
      <c r="AK36" s="198">
        <v>0</v>
      </c>
      <c r="AL36" s="198">
        <v>0</v>
      </c>
      <c r="AM36" s="198">
        <v>0</v>
      </c>
      <c r="AN36" s="198">
        <v>0</v>
      </c>
      <c r="AO36" s="198">
        <v>0</v>
      </c>
      <c r="AP36" s="198">
        <v>0</v>
      </c>
      <c r="AQ36" s="198">
        <v>0</v>
      </c>
      <c r="AR36" s="198">
        <v>0</v>
      </c>
      <c r="AS36" s="198">
        <v>0</v>
      </c>
      <c r="AT36" s="198">
        <v>0</v>
      </c>
      <c r="AU36" s="198">
        <v>0</v>
      </c>
      <c r="AV36" s="198">
        <v>0</v>
      </c>
      <c r="AW36" s="198">
        <v>0</v>
      </c>
      <c r="AX36" s="198">
        <v>0</v>
      </c>
      <c r="AY36" s="198">
        <v>0</v>
      </c>
      <c r="AZ36" s="198">
        <v>0</v>
      </c>
      <c r="BA36" s="198">
        <v>0</v>
      </c>
      <c r="BB36" s="198">
        <v>0</v>
      </c>
      <c r="BC36" s="198">
        <v>0</v>
      </c>
      <c r="BD36" s="198">
        <v>0</v>
      </c>
      <c r="BE36" s="198">
        <v>0</v>
      </c>
      <c r="BF36" s="198">
        <v>0</v>
      </c>
      <c r="BG36" s="198">
        <v>0</v>
      </c>
      <c r="BH36" s="198">
        <v>0</v>
      </c>
      <c r="BI36" s="198">
        <v>0</v>
      </c>
      <c r="BJ36" s="198">
        <v>0</v>
      </c>
      <c r="BK36" s="198">
        <f>'Ket qua kinh doanh'!BK21+'Ket qua kinh doanh'!BK22</f>
        <v>0</v>
      </c>
      <c r="BL36" s="198">
        <f>'Ket qua kinh doanh'!BL21+'Ket qua kinh doanh'!BL22</f>
        <v>0</v>
      </c>
      <c r="BM36" s="198">
        <f>'Ket qua kinh doanh'!BM21+'Ket qua kinh doanh'!BM22</f>
        <v>0</v>
      </c>
      <c r="BN36" s="198">
        <f>'Ket qua kinh doanh'!BN21+'Ket qua kinh doanh'!BN22</f>
        <v>0</v>
      </c>
      <c r="BO36" s="198">
        <f>'Ket qua kinh doanh'!BO21+'Ket qua kinh doanh'!BO22</f>
        <v>0</v>
      </c>
      <c r="BP36" s="198">
        <f>'Ket qua kinh doanh'!BP21+'Ket qua kinh doanh'!BP22</f>
        <v>0</v>
      </c>
      <c r="BQ36" s="198">
        <f>'Ket qua kinh doanh'!BQ21+'Ket qua kinh doanh'!BQ22</f>
        <v>0</v>
      </c>
      <c r="BR36" s="198">
        <f>'Ket qua kinh doanh'!BR21+'Ket qua kinh doanh'!BR22</f>
        <v>0</v>
      </c>
      <c r="BS36" s="198">
        <f>'Ket qua kinh doanh'!BS21+'Ket qua kinh doanh'!BS22</f>
        <v>0</v>
      </c>
      <c r="BT36" s="198">
        <f>'Ket qua kinh doanh'!BT21+'Ket qua kinh doanh'!BT22</f>
        <v>0</v>
      </c>
      <c r="BU36" s="198">
        <f>'Ket qua kinh doanh'!BU21+'Ket qua kinh doanh'!BU22</f>
        <v>0</v>
      </c>
      <c r="BV36" s="198">
        <f>'Ket qua kinh doanh'!BV21+'Ket qua kinh doanh'!BV22</f>
        <v>0</v>
      </c>
      <c r="BW36" s="198">
        <f>'Ket qua kinh doanh'!BW21+'Ket qua kinh doanh'!BW22</f>
        <v>0</v>
      </c>
    </row>
    <row r="37" spans="1:75" x14ac:dyDescent="0.25">
      <c r="A37" s="183">
        <v>34</v>
      </c>
      <c r="B37" s="184" t="s">
        <v>441</v>
      </c>
      <c r="C37" s="186">
        <v>6</v>
      </c>
      <c r="D37" s="200" t="s">
        <v>415</v>
      </c>
      <c r="E37" s="200" t="s">
        <v>415</v>
      </c>
      <c r="F37" s="200" t="s">
        <v>415</v>
      </c>
      <c r="G37" s="200" t="s">
        <v>415</v>
      </c>
      <c r="H37" s="200" t="s">
        <v>415</v>
      </c>
      <c r="I37" s="200" t="s">
        <v>415</v>
      </c>
      <c r="J37" s="200" t="s">
        <v>415</v>
      </c>
      <c r="K37" s="200" t="s">
        <v>415</v>
      </c>
      <c r="L37" s="200" t="s">
        <v>415</v>
      </c>
      <c r="M37" s="200" t="s">
        <v>415</v>
      </c>
      <c r="N37" s="200" t="s">
        <v>415</v>
      </c>
      <c r="O37" s="200" t="s">
        <v>415</v>
      </c>
      <c r="P37" s="200" t="s">
        <v>415</v>
      </c>
      <c r="Q37" s="200" t="s">
        <v>415</v>
      </c>
      <c r="R37" s="200" t="s">
        <v>415</v>
      </c>
      <c r="S37" s="200">
        <v>0</v>
      </c>
      <c r="T37" s="200">
        <v>0</v>
      </c>
      <c r="U37" s="200">
        <v>0</v>
      </c>
      <c r="V37" s="200">
        <v>0</v>
      </c>
      <c r="W37" s="200">
        <v>0</v>
      </c>
      <c r="X37" s="200">
        <v>0</v>
      </c>
      <c r="Y37" s="200">
        <v>0</v>
      </c>
      <c r="Z37" s="200">
        <v>0</v>
      </c>
      <c r="AA37" s="200">
        <v>0</v>
      </c>
      <c r="AB37" s="200">
        <v>0</v>
      </c>
      <c r="AC37" s="200">
        <v>0</v>
      </c>
      <c r="AD37" s="200">
        <v>0</v>
      </c>
      <c r="AE37" s="200">
        <v>0</v>
      </c>
      <c r="AF37" s="200">
        <v>0</v>
      </c>
      <c r="AG37" s="200">
        <v>0</v>
      </c>
      <c r="AH37" s="200">
        <v>0</v>
      </c>
      <c r="AI37" s="200">
        <v>0</v>
      </c>
      <c r="AJ37" s="200">
        <v>0</v>
      </c>
      <c r="AK37" s="200">
        <v>0</v>
      </c>
      <c r="AL37" s="200">
        <v>0</v>
      </c>
      <c r="AM37" s="200">
        <v>0</v>
      </c>
      <c r="AN37" s="200">
        <v>0</v>
      </c>
      <c r="AO37" s="200">
        <v>0</v>
      </c>
      <c r="AP37" s="200">
        <v>0</v>
      </c>
      <c r="AQ37" s="200">
        <v>0</v>
      </c>
      <c r="AR37" s="200">
        <v>0</v>
      </c>
      <c r="AS37" s="200">
        <v>0</v>
      </c>
      <c r="AT37" s="200">
        <v>0</v>
      </c>
      <c r="AU37" s="200">
        <v>0</v>
      </c>
      <c r="AV37" s="200">
        <v>0</v>
      </c>
      <c r="AW37" s="200">
        <v>0</v>
      </c>
      <c r="AX37" s="200">
        <v>0</v>
      </c>
      <c r="AY37" s="200">
        <v>0</v>
      </c>
      <c r="AZ37" s="200">
        <v>0</v>
      </c>
      <c r="BA37" s="200">
        <v>0</v>
      </c>
      <c r="BB37" s="200">
        <v>0</v>
      </c>
      <c r="BC37" s="200">
        <v>0</v>
      </c>
      <c r="BD37" s="200">
        <v>0</v>
      </c>
      <c r="BE37" s="200">
        <v>0</v>
      </c>
      <c r="BF37" s="200">
        <v>0</v>
      </c>
      <c r="BG37" s="200">
        <v>0</v>
      </c>
      <c r="BH37" s="200">
        <v>0</v>
      </c>
      <c r="BI37" s="200">
        <v>0</v>
      </c>
      <c r="BJ37" s="200">
        <v>0</v>
      </c>
      <c r="BK37" s="200">
        <f t="shared" ref="BK37:BW37" si="5">IFERROR(BK36/BK12,"")</f>
        <v>0</v>
      </c>
      <c r="BL37" s="200">
        <f t="shared" si="5"/>
        <v>0</v>
      </c>
      <c r="BM37" s="200">
        <f t="shared" si="5"/>
        <v>0</v>
      </c>
      <c r="BN37" s="200">
        <f t="shared" si="5"/>
        <v>0</v>
      </c>
      <c r="BO37" s="200">
        <f t="shared" si="5"/>
        <v>0</v>
      </c>
      <c r="BP37" s="200">
        <f t="shared" si="5"/>
        <v>0</v>
      </c>
      <c r="BQ37" s="200" t="str">
        <f t="shared" si="5"/>
        <v/>
      </c>
      <c r="BR37" s="200" t="str">
        <f t="shared" si="5"/>
        <v/>
      </c>
      <c r="BS37" s="200" t="str">
        <f t="shared" si="5"/>
        <v/>
      </c>
      <c r="BT37" s="200" t="str">
        <f t="shared" si="5"/>
        <v/>
      </c>
      <c r="BU37" s="200" t="str">
        <f t="shared" si="5"/>
        <v/>
      </c>
      <c r="BV37" s="200" t="str">
        <f t="shared" si="5"/>
        <v/>
      </c>
      <c r="BW37" s="200" t="str">
        <f t="shared" si="5"/>
        <v/>
      </c>
    </row>
    <row r="38" spans="1:75" x14ac:dyDescent="0.25">
      <c r="A38" s="180">
        <v>35</v>
      </c>
      <c r="B38" s="181" t="s">
        <v>442</v>
      </c>
      <c r="C38" s="182">
        <v>6</v>
      </c>
      <c r="D38" s="198">
        <v>0</v>
      </c>
      <c r="E38" s="198">
        <v>0</v>
      </c>
      <c r="F38" s="198">
        <v>0</v>
      </c>
      <c r="G38" s="198">
        <v>0</v>
      </c>
      <c r="H38" s="198">
        <v>0</v>
      </c>
      <c r="I38" s="198">
        <v>0</v>
      </c>
      <c r="J38" s="198">
        <v>0</v>
      </c>
      <c r="K38" s="198">
        <v>0</v>
      </c>
      <c r="L38" s="198">
        <v>0</v>
      </c>
      <c r="M38" s="198">
        <v>0</v>
      </c>
      <c r="N38" s="198">
        <v>0</v>
      </c>
      <c r="O38" s="198">
        <v>-5215385</v>
      </c>
      <c r="P38" s="198">
        <v>-54190586</v>
      </c>
      <c r="Q38" s="198">
        <v>-80964549</v>
      </c>
      <c r="R38" s="198">
        <v>-120696934</v>
      </c>
      <c r="S38" s="198">
        <v>-311288386</v>
      </c>
      <c r="T38" s="198">
        <v>-396537482</v>
      </c>
      <c r="U38" s="198">
        <v>-1637748290</v>
      </c>
      <c r="V38" s="198">
        <v>-763929325</v>
      </c>
      <c r="W38" s="198">
        <v>616936750</v>
      </c>
      <c r="X38" s="198">
        <v>-200819028</v>
      </c>
      <c r="Y38" s="198">
        <v>-370421331</v>
      </c>
      <c r="Z38" s="198">
        <v>-2723615820</v>
      </c>
      <c r="AA38" s="198">
        <v>-3987117020</v>
      </c>
      <c r="AB38" s="198">
        <v>-1573147901</v>
      </c>
      <c r="AC38" s="198">
        <v>-1993641840</v>
      </c>
      <c r="AD38" s="198">
        <v>-3237798497</v>
      </c>
      <c r="AE38" s="198">
        <v>-2993991777</v>
      </c>
      <c r="AF38" s="198">
        <v>-2290568807</v>
      </c>
      <c r="AG38" s="198">
        <v>-2226816034</v>
      </c>
      <c r="AH38" s="198">
        <v>-2128320328</v>
      </c>
      <c r="AI38" s="198">
        <v>-1661553514</v>
      </c>
      <c r="AJ38" s="198">
        <v>-936838449</v>
      </c>
      <c r="AK38" s="198">
        <v>-744292718</v>
      </c>
      <c r="AL38" s="198">
        <v>-2741796490</v>
      </c>
      <c r="AM38" s="198">
        <v>-103172016</v>
      </c>
      <c r="AN38" s="198">
        <v>-2449116513</v>
      </c>
      <c r="AO38" s="198">
        <v>-1201465852</v>
      </c>
      <c r="AP38" s="198">
        <v>-79981688</v>
      </c>
      <c r="AQ38" s="198">
        <v>-570055628</v>
      </c>
      <c r="AR38" s="198">
        <v>-1216614710</v>
      </c>
      <c r="AS38" s="198">
        <v>-1620055205</v>
      </c>
      <c r="AT38" s="198">
        <v>-956690038</v>
      </c>
      <c r="AU38" s="198">
        <v>-933950607</v>
      </c>
      <c r="AV38" s="198">
        <v>-676218518</v>
      </c>
      <c r="AW38" s="198">
        <v>-428240201</v>
      </c>
      <c r="AX38" s="198">
        <v>-1170367442</v>
      </c>
      <c r="AY38" s="198">
        <v>-1253164728</v>
      </c>
      <c r="AZ38" s="198">
        <f>'Ket qua kinh doanh'!AZ23</f>
        <v>-1512604872</v>
      </c>
      <c r="BA38" s="198">
        <f>'Ket qua kinh doanh'!BA23</f>
        <v>-1408925428</v>
      </c>
      <c r="BB38" s="198">
        <f>'Ket qua kinh doanh'!BB23</f>
        <v>-567299860</v>
      </c>
      <c r="BC38" s="198">
        <f>'Ket qua kinh doanh'!BC23</f>
        <v>-881102876</v>
      </c>
      <c r="BD38" s="198">
        <f>'Ket qua kinh doanh'!BD23</f>
        <v>194418036</v>
      </c>
      <c r="BE38" s="198">
        <f>'Ket qua kinh doanh'!BE23</f>
        <v>-1024551814</v>
      </c>
      <c r="BF38" s="198">
        <f>'Ket qua kinh doanh'!BF23</f>
        <v>513342441</v>
      </c>
      <c r="BG38" s="198">
        <f>'Ket qua kinh doanh'!BG23</f>
        <v>346075161</v>
      </c>
      <c r="BH38" s="198">
        <f>'Ket qua kinh doanh'!BH23</f>
        <v>-680152853</v>
      </c>
      <c r="BI38" s="198">
        <f>'Ket qua kinh doanh'!BI23</f>
        <v>-216894789</v>
      </c>
      <c r="BJ38" s="198">
        <f>'Ket qua kinh doanh'!BJ23</f>
        <v>-959475147</v>
      </c>
      <c r="BK38" s="198">
        <f>'Ket qua kinh doanh'!BK23</f>
        <v>-456516965</v>
      </c>
      <c r="BL38" s="198">
        <f>'Ket qua kinh doanh'!BL23</f>
        <v>-545598431</v>
      </c>
      <c r="BM38" s="198">
        <f>'Ket qua kinh doanh'!BM23</f>
        <v>-937890122</v>
      </c>
      <c r="BN38" s="198">
        <f>'Ket qua kinh doanh'!BN23</f>
        <v>254999480</v>
      </c>
      <c r="BO38" s="198">
        <f>'Ket qua kinh doanh'!BO23</f>
        <v>-416203986</v>
      </c>
      <c r="BP38" s="198">
        <f>'Ket qua kinh doanh'!BP23</f>
        <v>164236702</v>
      </c>
      <c r="BQ38" s="198">
        <f>'Ket qua kinh doanh'!BQ23</f>
        <v>0</v>
      </c>
      <c r="BR38" s="198">
        <f>'Ket qua kinh doanh'!BR23</f>
        <v>0</v>
      </c>
      <c r="BS38" s="198">
        <f>'Ket qua kinh doanh'!BS23</f>
        <v>0</v>
      </c>
      <c r="BT38" s="198">
        <f>'Ket qua kinh doanh'!BT23</f>
        <v>0</v>
      </c>
      <c r="BU38" s="198">
        <f>'Ket qua kinh doanh'!BU23</f>
        <v>0</v>
      </c>
      <c r="BV38" s="198">
        <f>'Ket qua kinh doanh'!BV23</f>
        <v>0</v>
      </c>
      <c r="BW38" s="198">
        <f>'Ket qua kinh doanh'!BW23</f>
        <v>0</v>
      </c>
    </row>
    <row r="39" spans="1:75" x14ac:dyDescent="0.25">
      <c r="A39" s="183">
        <v>36</v>
      </c>
      <c r="B39" s="184" t="s">
        <v>443</v>
      </c>
      <c r="C39" s="186">
        <v>6</v>
      </c>
      <c r="D39" s="200" t="s">
        <v>415</v>
      </c>
      <c r="E39" s="200" t="s">
        <v>415</v>
      </c>
      <c r="F39" s="200" t="s">
        <v>415</v>
      </c>
      <c r="G39" s="200" t="s">
        <v>415</v>
      </c>
      <c r="H39" s="200" t="s">
        <v>415</v>
      </c>
      <c r="I39" s="200" t="s">
        <v>415</v>
      </c>
      <c r="J39" s="200" t="s">
        <v>415</v>
      </c>
      <c r="K39" s="200" t="s">
        <v>415</v>
      </c>
      <c r="L39" s="200" t="s">
        <v>415</v>
      </c>
      <c r="M39" s="200" t="s">
        <v>415</v>
      </c>
      <c r="N39" s="200" t="s">
        <v>415</v>
      </c>
      <c r="O39" s="200" t="s">
        <v>415</v>
      </c>
      <c r="P39" s="200" t="s">
        <v>415</v>
      </c>
      <c r="Q39" s="200" t="s">
        <v>415</v>
      </c>
      <c r="R39" s="200" t="s">
        <v>415</v>
      </c>
      <c r="S39" s="200">
        <v>-0.35898926394076053</v>
      </c>
      <c r="T39" s="200">
        <v>-0.21949026723250872</v>
      </c>
      <c r="U39" s="200">
        <v>-0.90552821474601231</v>
      </c>
      <c r="V39" s="200">
        <v>-0.40237344605748154</v>
      </c>
      <c r="W39" s="200">
        <v>0.15659463632497403</v>
      </c>
      <c r="X39" s="200">
        <v>-5.9131212182466697E-2</v>
      </c>
      <c r="Y39" s="200">
        <v>-5.1392487065920124E-2</v>
      </c>
      <c r="Z39" s="200">
        <v>-0.4586562139138709</v>
      </c>
      <c r="AA39" s="200">
        <v>-0.44386016902934855</v>
      </c>
      <c r="AB39" s="200">
        <v>-0.69812710869926231</v>
      </c>
      <c r="AC39" s="200">
        <v>-0.46743246232638191</v>
      </c>
      <c r="AD39" s="200">
        <v>-0.30432488583499867</v>
      </c>
      <c r="AE39" s="200">
        <v>-0.4308175216852656</v>
      </c>
      <c r="AF39" s="200">
        <v>-0.68905125763907737</v>
      </c>
      <c r="AG39" s="200">
        <v>-0.39504224305856989</v>
      </c>
      <c r="AH39" s="200">
        <v>-0.60791747707524402</v>
      </c>
      <c r="AI39" s="200">
        <v>-0.39627543851056118</v>
      </c>
      <c r="AJ39" s="200">
        <v>-0.22319628985227707</v>
      </c>
      <c r="AK39" s="200">
        <v>-9.8150305311360195E-2</v>
      </c>
      <c r="AL39" s="200">
        <v>-0.35009813115825644</v>
      </c>
      <c r="AM39" s="200">
        <v>-1.2275033064190597E-2</v>
      </c>
      <c r="AN39" s="200">
        <v>-0.12986386833273939</v>
      </c>
      <c r="AO39" s="200">
        <v>-0.26295195262267351</v>
      </c>
      <c r="AP39" s="200">
        <v>-8.0878079979937647E-3</v>
      </c>
      <c r="AQ39" s="200">
        <v>-6.3420236909098718E-2</v>
      </c>
      <c r="AR39" s="200">
        <v>-0.14489723077359162</v>
      </c>
      <c r="AS39" s="200">
        <v>-0.11586738667068097</v>
      </c>
      <c r="AT39" s="200">
        <v>-0.1100213333138204</v>
      </c>
      <c r="AU39" s="200">
        <v>-0.10301661814349589</v>
      </c>
      <c r="AV39" s="200">
        <v>-6.704952575121606E-2</v>
      </c>
      <c r="AW39" s="200">
        <v>-3.3533495186882624E-2</v>
      </c>
      <c r="AX39" s="200">
        <v>-0.11316737722694925</v>
      </c>
      <c r="AY39" s="200">
        <v>-0.1384324424700194</v>
      </c>
      <c r="AZ39" s="200">
        <v>-0.2789266529511415</v>
      </c>
      <c r="BA39" s="200">
        <v>-0.1599111441168031</v>
      </c>
      <c r="BB39" s="200">
        <v>-3.4848020470934049E-2</v>
      </c>
      <c r="BC39" s="200">
        <v>-5.9644919249787244E-2</v>
      </c>
      <c r="BD39" s="200">
        <v>1.1057746321671849E-2</v>
      </c>
      <c r="BE39" s="200">
        <v>-5.255184679740444E-2</v>
      </c>
      <c r="BF39" s="200">
        <v>2.3554146989697464E-2</v>
      </c>
      <c r="BG39" s="200">
        <v>1.6521412688987856E-2</v>
      </c>
      <c r="BH39" s="200">
        <v>-3.9837353508012804E-2</v>
      </c>
      <c r="BI39" s="200">
        <v>-1.4927416174675863E-2</v>
      </c>
      <c r="BJ39" s="200">
        <v>-0.13011427775074857</v>
      </c>
      <c r="BK39" s="200">
        <f t="shared" ref="BK39:BW39" si="6">IFERROR(BK38/BK12,"")</f>
        <v>-4.434499309814046E-2</v>
      </c>
      <c r="BL39" s="200">
        <f t="shared" si="6"/>
        <v>-4.6332332578396924E-2</v>
      </c>
      <c r="BM39" s="200">
        <f t="shared" si="6"/>
        <v>-0.11332899417713507</v>
      </c>
      <c r="BN39" s="200">
        <f t="shared" si="6"/>
        <v>1.7401038541272413E-2</v>
      </c>
      <c r="BO39" s="200">
        <f t="shared" si="6"/>
        <v>-2.8910100958683457E-2</v>
      </c>
      <c r="BP39" s="200">
        <f t="shared" si="6"/>
        <v>1.2495322909151937E-2</v>
      </c>
      <c r="BQ39" s="200" t="str">
        <f t="shared" si="6"/>
        <v/>
      </c>
      <c r="BR39" s="200" t="str">
        <f t="shared" si="6"/>
        <v/>
      </c>
      <c r="BS39" s="200" t="str">
        <f t="shared" si="6"/>
        <v/>
      </c>
      <c r="BT39" s="200" t="str">
        <f t="shared" si="6"/>
        <v/>
      </c>
      <c r="BU39" s="200" t="str">
        <f t="shared" si="6"/>
        <v/>
      </c>
      <c r="BV39" s="200" t="str">
        <f t="shared" si="6"/>
        <v/>
      </c>
      <c r="BW39" s="200" t="str">
        <f t="shared" si="6"/>
        <v/>
      </c>
    </row>
    <row r="40" spans="1:75" x14ac:dyDescent="0.25">
      <c r="A40" s="191">
        <v>37</v>
      </c>
      <c r="B40" s="192" t="s">
        <v>444</v>
      </c>
      <c r="C40" s="182">
        <v>6</v>
      </c>
      <c r="D40" s="198">
        <v>0</v>
      </c>
      <c r="E40" s="198">
        <v>0</v>
      </c>
      <c r="F40" s="198">
        <v>0</v>
      </c>
      <c r="G40" s="198">
        <v>0</v>
      </c>
      <c r="H40" s="198">
        <v>0</v>
      </c>
      <c r="I40" s="198">
        <v>0</v>
      </c>
      <c r="J40" s="198">
        <v>0</v>
      </c>
      <c r="K40" s="198">
        <v>0</v>
      </c>
      <c r="L40" s="198">
        <v>0</v>
      </c>
      <c r="M40" s="198">
        <v>0</v>
      </c>
      <c r="N40" s="198">
        <v>0</v>
      </c>
      <c r="O40" s="198">
        <v>0</v>
      </c>
      <c r="P40" s="198">
        <v>0</v>
      </c>
      <c r="Q40" s="198">
        <v>0</v>
      </c>
      <c r="R40" s="198">
        <v>0</v>
      </c>
      <c r="S40" s="198">
        <v>0</v>
      </c>
      <c r="T40" s="198">
        <v>55956000</v>
      </c>
      <c r="U40" s="198">
        <v>41117000</v>
      </c>
      <c r="V40" s="198">
        <v>57464000</v>
      </c>
      <c r="W40" s="198">
        <v>93500000</v>
      </c>
      <c r="X40" s="198">
        <v>95700000</v>
      </c>
      <c r="Y40" s="198">
        <v>176000000</v>
      </c>
      <c r="Z40" s="198">
        <v>138700000</v>
      </c>
      <c r="AA40" s="198">
        <v>187700000</v>
      </c>
      <c r="AB40" s="198">
        <v>75300000</v>
      </c>
      <c r="AC40" s="198">
        <v>126000000</v>
      </c>
      <c r="AD40" s="198">
        <v>157600000</v>
      </c>
      <c r="AE40" s="198">
        <v>240643000</v>
      </c>
      <c r="AF40" s="198">
        <v>89750000</v>
      </c>
      <c r="AG40" s="198">
        <v>145050000</v>
      </c>
      <c r="AH40" s="198">
        <v>84700000</v>
      </c>
      <c r="AI40" s="198">
        <v>66600000</v>
      </c>
      <c r="AJ40" s="198">
        <v>38300000</v>
      </c>
      <c r="AK40" s="198">
        <v>93600000</v>
      </c>
      <c r="AL40" s="198">
        <v>349438000</v>
      </c>
      <c r="AM40" s="198">
        <v>1790688600</v>
      </c>
      <c r="AN40" s="198">
        <v>1789900000</v>
      </c>
      <c r="AO40" s="198">
        <v>95542200</v>
      </c>
      <c r="AP40" s="198">
        <v>198747500</v>
      </c>
      <c r="AQ40" s="198">
        <v>149800000</v>
      </c>
      <c r="AR40" s="198">
        <v>136700000</v>
      </c>
      <c r="AS40" s="198">
        <v>187000000</v>
      </c>
      <c r="AT40" s="198">
        <v>154000000</v>
      </c>
      <c r="AU40" s="198">
        <v>132500000</v>
      </c>
      <c r="AV40" s="198">
        <v>185900000</v>
      </c>
      <c r="AW40" s="198">
        <v>180600000</v>
      </c>
      <c r="AX40" s="198">
        <v>156300000</v>
      </c>
      <c r="AY40" s="198">
        <v>141100000</v>
      </c>
      <c r="AZ40" s="198">
        <v>91100000</v>
      </c>
      <c r="BA40" s="198">
        <v>139700000</v>
      </c>
      <c r="BB40" s="198">
        <v>291900000</v>
      </c>
      <c r="BC40" s="198">
        <v>255100000</v>
      </c>
      <c r="BD40" s="198">
        <v>287700000</v>
      </c>
      <c r="BE40" s="198">
        <v>330500000</v>
      </c>
      <c r="BF40" s="198">
        <v>365500000</v>
      </c>
      <c r="BG40" s="198">
        <v>358900000</v>
      </c>
      <c r="BH40" s="198">
        <v>327900000</v>
      </c>
      <c r="BI40" s="198">
        <v>294000000</v>
      </c>
      <c r="BJ40" s="198">
        <v>171600000</v>
      </c>
      <c r="BK40" s="198">
        <f>'Ket qua kinh doanh'!BK14</f>
        <v>214000000</v>
      </c>
      <c r="BL40" s="198">
        <f>'Ket qua kinh doanh'!BL14</f>
        <v>252400000</v>
      </c>
      <c r="BM40" s="198">
        <f>'Ket qua kinh doanh'!BM14</f>
        <v>167700000</v>
      </c>
      <c r="BN40" s="198">
        <f>'Ket qua kinh doanh'!BN14</f>
        <v>349500000</v>
      </c>
      <c r="BO40" s="198">
        <f>'Ket qua kinh doanh'!BO14</f>
        <v>338100000</v>
      </c>
      <c r="BP40" s="198">
        <f>'Ket qua kinh doanh'!BP14</f>
        <v>296100000</v>
      </c>
      <c r="BQ40" s="198">
        <f>'Ket qua kinh doanh'!BQ14</f>
        <v>0</v>
      </c>
      <c r="BR40" s="198">
        <f>'Ket qua kinh doanh'!BR14</f>
        <v>0</v>
      </c>
      <c r="BS40" s="198">
        <f>'Ket qua kinh doanh'!BS14</f>
        <v>0</v>
      </c>
      <c r="BT40" s="198">
        <f>'Ket qua kinh doanh'!BT14</f>
        <v>0</v>
      </c>
      <c r="BU40" s="198">
        <f>'Ket qua kinh doanh'!BU14</f>
        <v>0</v>
      </c>
      <c r="BV40" s="198">
        <f>'Ket qua kinh doanh'!BV14</f>
        <v>0</v>
      </c>
      <c r="BW40" s="198">
        <f>'Ket qua kinh doanh'!BW14</f>
        <v>0</v>
      </c>
    </row>
    <row r="41" spans="1:75" x14ac:dyDescent="0.25">
      <c r="A41" s="189">
        <v>38</v>
      </c>
      <c r="B41" s="193" t="s">
        <v>445</v>
      </c>
      <c r="C41" s="188">
        <v>6</v>
      </c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</row>
    <row r="42" spans="1:75" x14ac:dyDescent="0.25">
      <c r="A42" s="189">
        <v>39</v>
      </c>
      <c r="B42" s="193" t="s">
        <v>446</v>
      </c>
      <c r="C42" s="188">
        <v>6</v>
      </c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557">
        <v>20</v>
      </c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</row>
    <row r="43" spans="1:75" x14ac:dyDescent="0.25">
      <c r="A43" s="189">
        <v>40</v>
      </c>
      <c r="B43" s="193" t="s">
        <v>447</v>
      </c>
      <c r="C43" s="188">
        <v>6</v>
      </c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>
        <v>30000000</v>
      </c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</row>
    <row r="44" spans="1:75" x14ac:dyDescent="0.25">
      <c r="A44" s="189">
        <v>41</v>
      </c>
      <c r="B44" s="193" t="s">
        <v>448</v>
      </c>
      <c r="C44" s="188">
        <v>6</v>
      </c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>
        <v>159900000</v>
      </c>
      <c r="AO44" s="202">
        <v>95542200</v>
      </c>
      <c r="AP44" s="202">
        <v>198747500</v>
      </c>
      <c r="AQ44" s="202">
        <v>149800000</v>
      </c>
      <c r="AR44" s="202">
        <v>136700000</v>
      </c>
      <c r="AS44" s="202">
        <v>187000000</v>
      </c>
      <c r="AT44" s="202">
        <v>154000000</v>
      </c>
      <c r="AU44" s="202">
        <v>132500000</v>
      </c>
      <c r="AV44" s="202">
        <v>185900000</v>
      </c>
      <c r="AW44" s="202">
        <v>180600000</v>
      </c>
      <c r="AX44" s="202">
        <v>156300000</v>
      </c>
      <c r="AY44" s="202">
        <v>141100000</v>
      </c>
      <c r="AZ44" s="202">
        <v>91100000</v>
      </c>
      <c r="BA44" s="202">
        <v>139700000</v>
      </c>
      <c r="BB44" s="202">
        <v>291900000</v>
      </c>
      <c r="BC44" s="202">
        <v>255100000</v>
      </c>
      <c r="BD44" s="202">
        <v>287700000</v>
      </c>
      <c r="BE44" s="202">
        <v>330500000</v>
      </c>
      <c r="BF44" s="202">
        <v>365500000</v>
      </c>
      <c r="BG44" s="202">
        <v>358900000</v>
      </c>
      <c r="BH44" s="202">
        <v>327900000</v>
      </c>
      <c r="BI44" s="202">
        <v>294000000</v>
      </c>
      <c r="BJ44" s="202">
        <v>171600000</v>
      </c>
      <c r="BK44" s="202">
        <v>214000000</v>
      </c>
      <c r="BL44" s="202">
        <v>252400000</v>
      </c>
      <c r="BM44" s="202">
        <v>167700000</v>
      </c>
      <c r="BN44" s="202">
        <v>349500000</v>
      </c>
      <c r="BO44" s="202">
        <v>338100000</v>
      </c>
      <c r="BP44" s="202">
        <v>296100000</v>
      </c>
      <c r="BQ44" s="202"/>
      <c r="BR44" s="202"/>
      <c r="BS44" s="202"/>
      <c r="BT44" s="202"/>
      <c r="BU44" s="202"/>
      <c r="BV44" s="202"/>
      <c r="BW44" s="202"/>
    </row>
    <row r="45" spans="1:75" x14ac:dyDescent="0.25">
      <c r="A45" s="189">
        <v>42</v>
      </c>
      <c r="B45" s="193" t="s">
        <v>449</v>
      </c>
      <c r="C45" s="188">
        <v>6</v>
      </c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</row>
    <row r="46" spans="1:75" x14ac:dyDescent="0.25">
      <c r="A46" s="189">
        <v>43</v>
      </c>
      <c r="B46" s="193" t="s">
        <v>450</v>
      </c>
      <c r="C46" s="188">
        <v>6</v>
      </c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557">
        <v>20</v>
      </c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</row>
    <row r="47" spans="1:75" x14ac:dyDescent="0.25">
      <c r="A47" s="189">
        <v>44</v>
      </c>
      <c r="B47" s="193" t="s">
        <v>451</v>
      </c>
      <c r="C47" s="188">
        <v>6</v>
      </c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557">
        <v>20</v>
      </c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</row>
    <row r="48" spans="1:75" x14ac:dyDescent="0.25">
      <c r="A48" s="194">
        <v>45</v>
      </c>
      <c r="B48" s="195" t="s">
        <v>452</v>
      </c>
      <c r="C48" s="186">
        <v>6</v>
      </c>
      <c r="D48" s="200" t="s">
        <v>415</v>
      </c>
      <c r="E48" s="200" t="s">
        <v>415</v>
      </c>
      <c r="F48" s="200" t="s">
        <v>415</v>
      </c>
      <c r="G48" s="200" t="s">
        <v>415</v>
      </c>
      <c r="H48" s="200" t="s">
        <v>415</v>
      </c>
      <c r="I48" s="200" t="s">
        <v>415</v>
      </c>
      <c r="J48" s="200" t="s">
        <v>415</v>
      </c>
      <c r="K48" s="200" t="s">
        <v>415</v>
      </c>
      <c r="L48" s="200" t="s">
        <v>415</v>
      </c>
      <c r="M48" s="200" t="s">
        <v>415</v>
      </c>
      <c r="N48" s="200" t="s">
        <v>415</v>
      </c>
      <c r="O48" s="200" t="s">
        <v>415</v>
      </c>
      <c r="P48" s="200" t="s">
        <v>415</v>
      </c>
      <c r="Q48" s="200" t="s">
        <v>415</v>
      </c>
      <c r="R48" s="200" t="s">
        <v>415</v>
      </c>
      <c r="S48" s="200">
        <v>0</v>
      </c>
      <c r="T48" s="200">
        <v>3.0972601458296087E-2</v>
      </c>
      <c r="U48" s="200">
        <v>2.2734020748519167E-2</v>
      </c>
      <c r="V48" s="200">
        <v>3.0267181724234919E-2</v>
      </c>
      <c r="W48" s="200">
        <v>2.3732738398847326E-2</v>
      </c>
      <c r="X48" s="200">
        <v>2.8178888535712179E-2</v>
      </c>
      <c r="Y48" s="200">
        <v>2.4418350042594988E-2</v>
      </c>
      <c r="Z48" s="200">
        <v>2.3357044852916845E-2</v>
      </c>
      <c r="AA48" s="200">
        <v>2.0895437306931296E-2</v>
      </c>
      <c r="AB48" s="200">
        <v>3.3416420192683746E-2</v>
      </c>
      <c r="AC48" s="200">
        <v>2.954216202300616E-2</v>
      </c>
      <c r="AD48" s="200">
        <v>1.4813028683543734E-2</v>
      </c>
      <c r="AE48" s="200">
        <v>3.4627089381918288E-2</v>
      </c>
      <c r="AF48" s="200">
        <v>2.6998687044072364E-2</v>
      </c>
      <c r="AG48" s="200">
        <v>2.5732200810821702E-2</v>
      </c>
      <c r="AH48" s="200">
        <v>2.4193073585243304E-2</v>
      </c>
      <c r="AI48" s="200">
        <v>1.5883896595823621E-2</v>
      </c>
      <c r="AJ48" s="200">
        <v>9.1247513490367131E-3</v>
      </c>
      <c r="AK48" s="200">
        <v>1.234308539499014E-2</v>
      </c>
      <c r="AL48" s="200">
        <v>4.4619500827969477E-2</v>
      </c>
      <c r="AM48" s="200">
        <v>0.21304964877946331</v>
      </c>
      <c r="AN48" s="200">
        <v>9.4909056672049893E-2</v>
      </c>
      <c r="AO48" s="200">
        <v>2.0910297205738639E-2</v>
      </c>
      <c r="AP48" s="200">
        <v>2.009749556775128E-2</v>
      </c>
      <c r="AQ48" s="200">
        <v>1.6665656862847406E-2</v>
      </c>
      <c r="AR48" s="200">
        <v>1.628079233626065E-2</v>
      </c>
      <c r="AS48" s="200">
        <v>1.337435986165505E-2</v>
      </c>
      <c r="AT48" s="200">
        <v>1.77103185539059E-2</v>
      </c>
      <c r="AU48" s="200">
        <v>1.4615014757427321E-2</v>
      </c>
      <c r="AV48" s="200">
        <v>1.8432661196585369E-2</v>
      </c>
      <c r="AW48" s="200">
        <v>1.4141944676396699E-2</v>
      </c>
      <c r="AX48" s="200">
        <v>1.5113254543671907E-2</v>
      </c>
      <c r="AY48" s="200">
        <v>1.5586791741013427E-2</v>
      </c>
      <c r="AZ48" s="200">
        <v>1.6798979399194339E-2</v>
      </c>
      <c r="BA48" s="200">
        <v>1.5855762405274292E-2</v>
      </c>
      <c r="BB48" s="200">
        <v>1.7930794439938075E-2</v>
      </c>
      <c r="BC48" s="200">
        <v>1.7268606555564944E-2</v>
      </c>
      <c r="BD48" s="200">
        <v>1.6363263831885386E-2</v>
      </c>
      <c r="BE48" s="200">
        <v>1.6952178629925464E-2</v>
      </c>
      <c r="BF48" s="200">
        <v>1.6770561007899254E-2</v>
      </c>
      <c r="BG48" s="200">
        <v>1.7133662516963303E-2</v>
      </c>
      <c r="BH48" s="200">
        <v>1.9703743613567064E-2</v>
      </c>
      <c r="BI48" s="200">
        <v>2.0234051613636065E-2</v>
      </c>
      <c r="BJ48" s="200">
        <v>2.3270649721194345E-2</v>
      </c>
      <c r="BK48" s="200">
        <f t="shared" ref="BK48:BW48" si="7">IFERROR(BK40/BK12,"")</f>
        <v>2.0787460818684052E-2</v>
      </c>
      <c r="BL48" s="200">
        <f t="shared" si="7"/>
        <v>2.1433860653436124E-2</v>
      </c>
      <c r="BM48" s="200">
        <f t="shared" si="7"/>
        <v>2.0263858076442723E-2</v>
      </c>
      <c r="BN48" s="200">
        <f t="shared" si="7"/>
        <v>2.3849707341264809E-2</v>
      </c>
      <c r="BO48" s="200">
        <f t="shared" si="7"/>
        <v>2.3484890733677107E-2</v>
      </c>
      <c r="BP48" s="200">
        <f t="shared" si="7"/>
        <v>2.2527638879401565E-2</v>
      </c>
      <c r="BQ48" s="200" t="str">
        <f t="shared" si="7"/>
        <v/>
      </c>
      <c r="BR48" s="200" t="str">
        <f t="shared" si="7"/>
        <v/>
      </c>
      <c r="BS48" s="200" t="str">
        <f t="shared" si="7"/>
        <v/>
      </c>
      <c r="BT48" s="200" t="str">
        <f t="shared" si="7"/>
        <v/>
      </c>
      <c r="BU48" s="200" t="str">
        <f t="shared" si="7"/>
        <v/>
      </c>
      <c r="BV48" s="200" t="str">
        <f t="shared" si="7"/>
        <v/>
      </c>
      <c r="BW48" s="200" t="str">
        <f t="shared" si="7"/>
        <v/>
      </c>
    </row>
    <row r="49" spans="1:75" x14ac:dyDescent="0.25">
      <c r="A49" s="191">
        <v>46</v>
      </c>
      <c r="B49" s="192" t="s">
        <v>453</v>
      </c>
      <c r="C49" s="182">
        <v>6</v>
      </c>
      <c r="D49" s="198">
        <v>0</v>
      </c>
      <c r="E49" s="198">
        <v>0</v>
      </c>
      <c r="F49" s="198">
        <v>0</v>
      </c>
      <c r="G49" s="198">
        <v>0</v>
      </c>
      <c r="H49" s="198">
        <v>0</v>
      </c>
      <c r="I49" s="198">
        <v>0</v>
      </c>
      <c r="J49" s="198">
        <v>0</v>
      </c>
      <c r="K49" s="198">
        <v>0</v>
      </c>
      <c r="L49" s="198">
        <v>0</v>
      </c>
      <c r="M49" s="198">
        <v>0</v>
      </c>
      <c r="N49" s="198">
        <v>0</v>
      </c>
      <c r="O49" s="198">
        <v>5215385</v>
      </c>
      <c r="P49" s="198">
        <v>54384111</v>
      </c>
      <c r="Q49" s="198">
        <v>81006325</v>
      </c>
      <c r="R49" s="198">
        <v>120760187</v>
      </c>
      <c r="S49" s="198">
        <v>135508222</v>
      </c>
      <c r="T49" s="198">
        <v>128854203</v>
      </c>
      <c r="U49" s="198">
        <v>158782511</v>
      </c>
      <c r="V49" s="198">
        <v>144294348</v>
      </c>
      <c r="W49" s="198">
        <v>130754061</v>
      </c>
      <c r="X49" s="198">
        <v>151931954</v>
      </c>
      <c r="Y49" s="198">
        <v>136440059</v>
      </c>
      <c r="Z49" s="198">
        <v>1818058793</v>
      </c>
      <c r="AA49" s="198">
        <v>494011559</v>
      </c>
      <c r="AB49" s="198">
        <v>512428705</v>
      </c>
      <c r="AC49" s="198">
        <v>513524746</v>
      </c>
      <c r="AD49" s="198">
        <v>289805194</v>
      </c>
      <c r="AE49" s="198">
        <v>385726708</v>
      </c>
      <c r="AF49" s="198">
        <v>356542104</v>
      </c>
      <c r="AG49" s="198">
        <v>323320047</v>
      </c>
      <c r="AH49" s="198">
        <v>340009205</v>
      </c>
      <c r="AI49" s="198">
        <v>692274279</v>
      </c>
      <c r="AJ49" s="198">
        <v>332140369</v>
      </c>
      <c r="AK49" s="198">
        <v>324903258</v>
      </c>
      <c r="AL49" s="198">
        <v>323801165</v>
      </c>
      <c r="AM49" s="198">
        <v>331784935</v>
      </c>
      <c r="AN49" s="198">
        <v>189486394</v>
      </c>
      <c r="AO49" s="198">
        <v>225236410</v>
      </c>
      <c r="AP49" s="198">
        <v>229978521</v>
      </c>
      <c r="AQ49" s="198">
        <v>229889992</v>
      </c>
      <c r="AR49" s="198">
        <v>224134296</v>
      </c>
      <c r="AS49" s="198">
        <v>214897048</v>
      </c>
      <c r="AT49" s="198">
        <v>230047625</v>
      </c>
      <c r="AU49" s="198">
        <v>229954420</v>
      </c>
      <c r="AV49" s="198">
        <v>228488322</v>
      </c>
      <c r="AW49" s="198">
        <v>213155072</v>
      </c>
      <c r="AX49" s="198">
        <v>300846378</v>
      </c>
      <c r="AY49" s="198">
        <v>338620473</v>
      </c>
      <c r="AZ49" s="198">
        <v>390880567</v>
      </c>
      <c r="BA49" s="198">
        <v>288060338</v>
      </c>
      <c r="BB49" s="198">
        <v>278341956</v>
      </c>
      <c r="BC49" s="198">
        <v>277195306</v>
      </c>
      <c r="BD49" s="198">
        <v>257971197</v>
      </c>
      <c r="BE49" s="198">
        <v>282882950</v>
      </c>
      <c r="BF49" s="198">
        <v>303895747</v>
      </c>
      <c r="BG49" s="198">
        <v>325151310</v>
      </c>
      <c r="BH49" s="198">
        <v>377683972</v>
      </c>
      <c r="BI49" s="198">
        <v>341492876</v>
      </c>
      <c r="BJ49" s="198">
        <v>395204855</v>
      </c>
      <c r="BK49" s="198">
        <f>'Ket qua kinh doanh'!BK15</f>
        <v>401983082</v>
      </c>
      <c r="BL49" s="198">
        <f>'Ket qua kinh doanh'!BL15</f>
        <v>638193690</v>
      </c>
      <c r="BM49" s="198">
        <f>'Ket qua kinh doanh'!BM15</f>
        <v>962454402</v>
      </c>
      <c r="BN49" s="198">
        <f>'Ket qua kinh doanh'!BN15</f>
        <v>406416217</v>
      </c>
      <c r="BO49" s="198">
        <f>'Ket qua kinh doanh'!BO15</f>
        <v>461512143</v>
      </c>
      <c r="BP49" s="198">
        <f>'Ket qua kinh doanh'!BP15</f>
        <v>429966132</v>
      </c>
      <c r="BQ49" s="198">
        <f>'Ket qua kinh doanh'!BQ15</f>
        <v>0</v>
      </c>
      <c r="BR49" s="198">
        <f>'Ket qua kinh doanh'!BR15</f>
        <v>0</v>
      </c>
      <c r="BS49" s="198">
        <f>'Ket qua kinh doanh'!BS15</f>
        <v>0</v>
      </c>
      <c r="BT49" s="198">
        <f>'Ket qua kinh doanh'!BT15</f>
        <v>0</v>
      </c>
      <c r="BU49" s="198">
        <f>'Ket qua kinh doanh'!BU15</f>
        <v>0</v>
      </c>
      <c r="BV49" s="198">
        <f>'Ket qua kinh doanh'!BV15</f>
        <v>0</v>
      </c>
      <c r="BW49" s="198">
        <f>'Ket qua kinh doanh'!BW15</f>
        <v>0</v>
      </c>
    </row>
    <row r="50" spans="1:75" x14ac:dyDescent="0.25">
      <c r="A50" s="189">
        <v>47</v>
      </c>
      <c r="B50" s="193" t="s">
        <v>454</v>
      </c>
      <c r="C50" s="188">
        <v>6</v>
      </c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>
        <v>1956238745</v>
      </c>
      <c r="AN50" s="202">
        <v>101894397</v>
      </c>
      <c r="AO50" s="202">
        <v>92639169</v>
      </c>
      <c r="AP50" s="202">
        <v>89038665</v>
      </c>
      <c r="AQ50" s="202">
        <v>98945875</v>
      </c>
      <c r="AR50" s="202">
        <v>100688115</v>
      </c>
      <c r="AS50" s="202">
        <v>91145613</v>
      </c>
      <c r="AT50" s="202">
        <v>101188883</v>
      </c>
      <c r="AU50" s="202">
        <v>99144574</v>
      </c>
      <c r="AV50" s="202">
        <v>105324038</v>
      </c>
      <c r="AW50" s="202">
        <v>88970215</v>
      </c>
      <c r="AX50" s="202">
        <v>161956753</v>
      </c>
      <c r="AY50" s="202">
        <v>193747656</v>
      </c>
      <c r="AZ50" s="202">
        <v>164782468</v>
      </c>
      <c r="BA50" s="202">
        <v>149883801</v>
      </c>
      <c r="BB50" s="202">
        <v>133581875</v>
      </c>
      <c r="BC50" s="202">
        <v>141037837</v>
      </c>
      <c r="BD50" s="202">
        <v>123370953</v>
      </c>
      <c r="BE50" s="202">
        <v>119478530</v>
      </c>
      <c r="BF50" s="202">
        <v>114583953</v>
      </c>
      <c r="BG50" s="202">
        <v>114621145</v>
      </c>
      <c r="BH50" s="202">
        <v>118333491</v>
      </c>
      <c r="BI50" s="202">
        <v>121514859</v>
      </c>
      <c r="BJ50" s="202">
        <v>151715799</v>
      </c>
      <c r="BK50" s="202">
        <v>150573990</v>
      </c>
      <c r="BL50" s="202">
        <v>227489543</v>
      </c>
      <c r="BM50" s="202">
        <v>387483049</v>
      </c>
      <c r="BN50" s="202">
        <v>193237447</v>
      </c>
      <c r="BO50" s="202">
        <v>226422027</v>
      </c>
      <c r="BP50" s="202">
        <v>217375650</v>
      </c>
      <c r="BQ50" s="202"/>
      <c r="BR50" s="202"/>
      <c r="BS50" s="202"/>
      <c r="BT50" s="202"/>
      <c r="BU50" s="202"/>
      <c r="BV50" s="202"/>
      <c r="BW50" s="202"/>
    </row>
    <row r="51" spans="1:75" x14ac:dyDescent="0.25">
      <c r="A51" s="189">
        <v>48</v>
      </c>
      <c r="B51" s="193" t="s">
        <v>455</v>
      </c>
      <c r="C51" s="188">
        <v>6</v>
      </c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>
        <v>350322750</v>
      </c>
      <c r="AN51" s="202">
        <v>-15364991</v>
      </c>
      <c r="AO51" s="202">
        <v>29669512</v>
      </c>
      <c r="AP51" s="202">
        <v>31690484</v>
      </c>
      <c r="AQ51" s="202">
        <v>31365484</v>
      </c>
      <c r="AR51" s="202">
        <v>32490632</v>
      </c>
      <c r="AS51" s="202">
        <v>28899832</v>
      </c>
      <c r="AT51" s="202">
        <v>33415632</v>
      </c>
      <c r="AU51" s="202">
        <v>33490632</v>
      </c>
      <c r="AV51" s="202">
        <v>32240632</v>
      </c>
      <c r="AW51" s="202">
        <v>29487306</v>
      </c>
      <c r="AX51" s="202">
        <v>46006266</v>
      </c>
      <c r="AY51" s="202">
        <v>45831266</v>
      </c>
      <c r="AZ51" s="202">
        <v>113835726</v>
      </c>
      <c r="BA51" s="202">
        <v>53609991</v>
      </c>
      <c r="BB51" s="202">
        <v>52176241</v>
      </c>
      <c r="BC51" s="202">
        <v>46075241</v>
      </c>
      <c r="BD51" s="202">
        <v>46600241</v>
      </c>
      <c r="BE51" s="202">
        <v>46500241</v>
      </c>
      <c r="BF51" s="202">
        <v>46525241</v>
      </c>
      <c r="BG51" s="202">
        <v>46600241</v>
      </c>
      <c r="BH51" s="202">
        <v>46225241</v>
      </c>
      <c r="BI51" s="202">
        <v>52351240</v>
      </c>
      <c r="BJ51" s="202">
        <v>60038825</v>
      </c>
      <c r="BK51" s="202">
        <v>75766891</v>
      </c>
      <c r="BL51" s="202">
        <v>244943945</v>
      </c>
      <c r="BM51" s="202">
        <v>79419288</v>
      </c>
      <c r="BN51" s="202">
        <v>74849976</v>
      </c>
      <c r="BO51" s="202">
        <v>69971783</v>
      </c>
      <c r="BP51" s="202">
        <v>73026280</v>
      </c>
      <c r="BQ51" s="202"/>
      <c r="BR51" s="202"/>
      <c r="BS51" s="202"/>
      <c r="BT51" s="202"/>
      <c r="BU51" s="202"/>
      <c r="BV51" s="202"/>
      <c r="BW51" s="202"/>
    </row>
    <row r="52" spans="1:75" x14ac:dyDescent="0.25">
      <c r="A52" s="189">
        <v>49</v>
      </c>
      <c r="B52" s="193" t="s">
        <v>456</v>
      </c>
      <c r="C52" s="188">
        <v>6</v>
      </c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>
        <v>7175122</v>
      </c>
      <c r="BA52" s="202">
        <v>7175122</v>
      </c>
      <c r="BB52" s="202">
        <v>7175123</v>
      </c>
      <c r="BC52" s="202">
        <v>7175122</v>
      </c>
      <c r="BD52" s="202">
        <v>7175122</v>
      </c>
      <c r="BE52" s="202">
        <v>7175122</v>
      </c>
      <c r="BF52" s="202">
        <v>7175122</v>
      </c>
      <c r="BG52" s="202">
        <v>7175122</v>
      </c>
      <c r="BH52" s="202">
        <v>7175123</v>
      </c>
      <c r="BI52" s="202">
        <v>7175122</v>
      </c>
      <c r="BJ52" s="202">
        <v>7175122</v>
      </c>
      <c r="BK52" s="202">
        <v>7175122</v>
      </c>
      <c r="BL52" s="202">
        <v>2643466</v>
      </c>
      <c r="BM52" s="202">
        <v>2643466</v>
      </c>
      <c r="BN52" s="202">
        <v>2643466</v>
      </c>
      <c r="BO52" s="202">
        <v>2643466</v>
      </c>
      <c r="BP52" s="202">
        <v>2643466</v>
      </c>
      <c r="BQ52" s="202"/>
      <c r="BR52" s="202"/>
      <c r="BS52" s="202"/>
      <c r="BT52" s="202"/>
      <c r="BU52" s="202"/>
      <c r="BV52" s="202"/>
      <c r="BW52" s="202"/>
    </row>
    <row r="53" spans="1:75" x14ac:dyDescent="0.25">
      <c r="A53" s="189">
        <v>50</v>
      </c>
      <c r="B53" s="193" t="s">
        <v>457</v>
      </c>
      <c r="C53" s="188">
        <v>6</v>
      </c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>
        <v>102956988</v>
      </c>
      <c r="AO53" s="202">
        <v>102927729</v>
      </c>
      <c r="AP53" s="202">
        <v>109249372</v>
      </c>
      <c r="AQ53" s="202">
        <v>99578633</v>
      </c>
      <c r="AR53" s="202">
        <v>90955549</v>
      </c>
      <c r="AS53" s="202">
        <v>94851603</v>
      </c>
      <c r="AT53" s="202">
        <v>95443110</v>
      </c>
      <c r="AU53" s="202">
        <v>97319214</v>
      </c>
      <c r="AV53" s="202">
        <v>90923652</v>
      </c>
      <c r="AW53" s="202">
        <v>94697551</v>
      </c>
      <c r="AX53" s="202">
        <v>92883359</v>
      </c>
      <c r="AY53" s="202">
        <v>99041551</v>
      </c>
      <c r="AZ53" s="202">
        <v>105087251</v>
      </c>
      <c r="BA53" s="202">
        <v>77391424</v>
      </c>
      <c r="BB53" s="202">
        <v>85408717</v>
      </c>
      <c r="BC53" s="202">
        <v>82907106</v>
      </c>
      <c r="BD53" s="202">
        <v>80824881</v>
      </c>
      <c r="BE53" s="202">
        <v>109729057</v>
      </c>
      <c r="BF53" s="202">
        <v>135611431</v>
      </c>
      <c r="BG53" s="202">
        <v>156754802</v>
      </c>
      <c r="BH53" s="202">
        <v>205950117</v>
      </c>
      <c r="BI53" s="202">
        <v>160451655</v>
      </c>
      <c r="BJ53" s="202">
        <v>176275109</v>
      </c>
      <c r="BK53" s="202">
        <v>168467079</v>
      </c>
      <c r="BL53" s="202">
        <v>163116736</v>
      </c>
      <c r="BM53" s="202">
        <v>492908599</v>
      </c>
      <c r="BN53" s="202">
        <v>135685328</v>
      </c>
      <c r="BO53" s="202">
        <v>162474867</v>
      </c>
      <c r="BP53" s="202">
        <v>136920736</v>
      </c>
      <c r="BQ53" s="202"/>
      <c r="BR53" s="202"/>
      <c r="BS53" s="202"/>
      <c r="BT53" s="202"/>
      <c r="BU53" s="202"/>
      <c r="BV53" s="202"/>
      <c r="BW53" s="202"/>
    </row>
    <row r="54" spans="1:75" x14ac:dyDescent="0.25">
      <c r="A54" s="194">
        <v>51</v>
      </c>
      <c r="B54" s="195" t="s">
        <v>458</v>
      </c>
      <c r="C54" s="186">
        <v>6</v>
      </c>
      <c r="D54" s="200" t="s">
        <v>415</v>
      </c>
      <c r="E54" s="200" t="s">
        <v>415</v>
      </c>
      <c r="F54" s="200" t="s">
        <v>415</v>
      </c>
      <c r="G54" s="200" t="s">
        <v>415</v>
      </c>
      <c r="H54" s="200" t="s">
        <v>415</v>
      </c>
      <c r="I54" s="200" t="s">
        <v>415</v>
      </c>
      <c r="J54" s="200" t="s">
        <v>415</v>
      </c>
      <c r="K54" s="200" t="s">
        <v>415</v>
      </c>
      <c r="L54" s="200" t="s">
        <v>415</v>
      </c>
      <c r="M54" s="200" t="s">
        <v>415</v>
      </c>
      <c r="N54" s="200" t="s">
        <v>415</v>
      </c>
      <c r="O54" s="200" t="s">
        <v>415</v>
      </c>
      <c r="P54" s="200" t="s">
        <v>415</v>
      </c>
      <c r="Q54" s="200" t="s">
        <v>415</v>
      </c>
      <c r="R54" s="200" t="s">
        <v>415</v>
      </c>
      <c r="S54" s="200">
        <v>0.1562730865060323</v>
      </c>
      <c r="T54" s="200">
        <v>7.1323001568113872E-2</v>
      </c>
      <c r="U54" s="200">
        <v>8.7792516467056769E-2</v>
      </c>
      <c r="V54" s="200">
        <v>7.6002075259223048E-2</v>
      </c>
      <c r="W54" s="200">
        <v>3.3188790634223801E-2</v>
      </c>
      <c r="X54" s="200">
        <v>4.4736401220260708E-2</v>
      </c>
      <c r="Y54" s="200">
        <v>1.8929779093717687E-2</v>
      </c>
      <c r="Z54" s="200">
        <v>0.30616064003850657</v>
      </c>
      <c r="AA54" s="200">
        <v>5.4995138838486363E-2</v>
      </c>
      <c r="AB54" s="200">
        <v>0.22740415571145794</v>
      </c>
      <c r="AC54" s="200">
        <v>0.12040183531075463</v>
      </c>
      <c r="AD54" s="200">
        <v>2.7239166569555561E-2</v>
      </c>
      <c r="AE54" s="200">
        <v>5.5503767800888025E-2</v>
      </c>
      <c r="AF54" s="200">
        <v>0.10725536138084793</v>
      </c>
      <c r="AG54" s="200">
        <v>5.7357713723325134E-2</v>
      </c>
      <c r="AH54" s="200">
        <v>9.7117682600059929E-2</v>
      </c>
      <c r="AI54" s="200">
        <v>0.16510530125502029</v>
      </c>
      <c r="AJ54" s="200">
        <v>7.9130503396926941E-2</v>
      </c>
      <c r="AK54" s="200">
        <v>4.2845177976543941E-2</v>
      </c>
      <c r="AL54" s="200">
        <v>4.1345950783300563E-2</v>
      </c>
      <c r="AM54" s="200">
        <v>3.9474570772420767E-2</v>
      </c>
      <c r="AN54" s="200">
        <v>1.0047474667148094E-2</v>
      </c>
      <c r="AO54" s="200">
        <v>4.9295078767849214E-2</v>
      </c>
      <c r="AP54" s="200">
        <v>2.3255599725659416E-2</v>
      </c>
      <c r="AQ54" s="200">
        <v>2.5575886000498902E-2</v>
      </c>
      <c r="AR54" s="200">
        <v>2.6694103354864492E-2</v>
      </c>
      <c r="AS54" s="200">
        <v>1.5369574615825447E-2</v>
      </c>
      <c r="AT54" s="200">
        <v>2.6455952735840824E-2</v>
      </c>
      <c r="AU54" s="200">
        <v>2.536443201385389E-2</v>
      </c>
      <c r="AV54" s="200">
        <v>2.2655448234547088E-2</v>
      </c>
      <c r="AW54" s="200">
        <v>1.6691180707183582E-2</v>
      </c>
      <c r="AX54" s="200">
        <v>2.9090005689416099E-2</v>
      </c>
      <c r="AY54" s="200">
        <v>3.7406143103433452E-2</v>
      </c>
      <c r="AZ54" s="200">
        <v>7.2078974671552165E-2</v>
      </c>
      <c r="BA54" s="200">
        <v>3.2694461544101688E-2</v>
      </c>
      <c r="BB54" s="200">
        <v>1.7097952713416544E-2</v>
      </c>
      <c r="BC54" s="200">
        <v>1.8764314693702197E-2</v>
      </c>
      <c r="BD54" s="200">
        <v>1.4672404440522351E-2</v>
      </c>
      <c r="BE54" s="200">
        <v>1.450978002953184E-2</v>
      </c>
      <c r="BF54" s="200">
        <v>1.3943918372379252E-2</v>
      </c>
      <c r="BG54" s="200">
        <v>1.5522521071297063E-2</v>
      </c>
      <c r="BH54" s="200">
        <v>2.269529780799525E-2</v>
      </c>
      <c r="BI54" s="200">
        <v>2.3502668294806191E-2</v>
      </c>
      <c r="BJ54" s="200">
        <v>5.3593669864920757E-2</v>
      </c>
      <c r="BK54" s="200">
        <f t="shared" ref="BK54:BW54" si="8">IFERROR(BK49/BK12,"")</f>
        <v>3.9047698910508681E-2</v>
      </c>
      <c r="BL54" s="200">
        <f t="shared" si="8"/>
        <v>5.4195541289073737E-2</v>
      </c>
      <c r="BM54" s="200">
        <f t="shared" si="8"/>
        <v>0.11629719384123764</v>
      </c>
      <c r="BN54" s="200">
        <f t="shared" si="8"/>
        <v>2.7733641871799632E-2</v>
      </c>
      <c r="BO54" s="200">
        <f t="shared" si="8"/>
        <v>3.2057267822005811E-2</v>
      </c>
      <c r="BP54" s="200">
        <f t="shared" si="8"/>
        <v>3.2712332833735577E-2</v>
      </c>
      <c r="BQ54" s="200" t="str">
        <f t="shared" si="8"/>
        <v/>
      </c>
      <c r="BR54" s="200" t="str">
        <f t="shared" si="8"/>
        <v/>
      </c>
      <c r="BS54" s="200" t="str">
        <f t="shared" si="8"/>
        <v/>
      </c>
      <c r="BT54" s="200" t="str">
        <f t="shared" si="8"/>
        <v/>
      </c>
      <c r="BU54" s="200" t="str">
        <f t="shared" si="8"/>
        <v/>
      </c>
      <c r="BV54" s="200" t="str">
        <f t="shared" si="8"/>
        <v/>
      </c>
      <c r="BW54" s="200" t="str">
        <f t="shared" si="8"/>
        <v/>
      </c>
    </row>
    <row r="55" spans="1:75" x14ac:dyDescent="0.25">
      <c r="A55" s="191">
        <v>52</v>
      </c>
      <c r="B55" s="192" t="s">
        <v>459</v>
      </c>
      <c r="C55" s="185">
        <v>6</v>
      </c>
      <c r="D55" s="199">
        <v>0</v>
      </c>
      <c r="E55" s="199">
        <v>0</v>
      </c>
      <c r="F55" s="199">
        <v>0</v>
      </c>
      <c r="G55" s="199">
        <v>0</v>
      </c>
      <c r="H55" s="199">
        <v>0</v>
      </c>
      <c r="I55" s="199">
        <v>0</v>
      </c>
      <c r="J55" s="199">
        <v>0</v>
      </c>
      <c r="K55" s="199">
        <v>0</v>
      </c>
      <c r="L55" s="199">
        <v>0</v>
      </c>
      <c r="M55" s="199">
        <v>0</v>
      </c>
      <c r="N55" s="199">
        <v>0</v>
      </c>
      <c r="O55" s="199">
        <v>0</v>
      </c>
      <c r="P55" s="199">
        <v>0</v>
      </c>
      <c r="Q55" s="199">
        <v>0</v>
      </c>
      <c r="R55" s="199">
        <v>0</v>
      </c>
      <c r="S55" s="199">
        <v>0</v>
      </c>
      <c r="T55" s="199">
        <v>0</v>
      </c>
      <c r="U55" s="199">
        <v>0</v>
      </c>
      <c r="V55" s="199">
        <v>0</v>
      </c>
      <c r="W55" s="199">
        <v>0</v>
      </c>
      <c r="X55" s="199">
        <v>0</v>
      </c>
      <c r="Y55" s="199">
        <v>0</v>
      </c>
      <c r="Z55" s="199">
        <v>0</v>
      </c>
      <c r="AA55" s="199">
        <v>0</v>
      </c>
      <c r="AB55" s="199">
        <v>0</v>
      </c>
      <c r="AC55" s="199">
        <v>0</v>
      </c>
      <c r="AD55" s="199">
        <v>0</v>
      </c>
      <c r="AE55" s="199">
        <v>0</v>
      </c>
      <c r="AF55" s="199">
        <v>0</v>
      </c>
      <c r="AG55" s="199">
        <v>0</v>
      </c>
      <c r="AH55" s="199">
        <v>0</v>
      </c>
      <c r="AI55" s="199">
        <v>0</v>
      </c>
      <c r="AJ55" s="199">
        <v>0</v>
      </c>
      <c r="AK55" s="199">
        <v>0</v>
      </c>
      <c r="AL55" s="199">
        <v>0</v>
      </c>
      <c r="AM55" s="199">
        <v>0</v>
      </c>
      <c r="AN55" s="199">
        <v>0</v>
      </c>
      <c r="AO55" s="199">
        <v>0</v>
      </c>
      <c r="AP55" s="199">
        <v>0</v>
      </c>
      <c r="AQ55" s="199">
        <v>0</v>
      </c>
      <c r="AR55" s="199">
        <v>0</v>
      </c>
      <c r="AS55" s="199">
        <v>0</v>
      </c>
      <c r="AT55" s="199">
        <v>0</v>
      </c>
      <c r="AU55" s="199">
        <v>0</v>
      </c>
      <c r="AV55" s="199">
        <v>0</v>
      </c>
      <c r="AW55" s="199">
        <v>0</v>
      </c>
      <c r="AX55" s="199">
        <v>0</v>
      </c>
      <c r="AY55" s="199">
        <v>0</v>
      </c>
      <c r="AZ55" s="199">
        <v>0</v>
      </c>
      <c r="BA55" s="199">
        <v>0</v>
      </c>
      <c r="BB55" s="199">
        <v>0</v>
      </c>
      <c r="BC55" s="199">
        <v>0</v>
      </c>
      <c r="BD55" s="199">
        <v>0</v>
      </c>
      <c r="BE55" s="199">
        <v>0</v>
      </c>
      <c r="BF55" s="199">
        <v>0</v>
      </c>
      <c r="BG55" s="199">
        <v>0</v>
      </c>
      <c r="BH55" s="199">
        <v>0</v>
      </c>
      <c r="BI55" s="199">
        <v>0</v>
      </c>
      <c r="BJ55" s="199">
        <v>0</v>
      </c>
      <c r="BK55" s="199">
        <f>'Ket qua kinh doanh'!BK12</f>
        <v>0</v>
      </c>
      <c r="BL55" s="199">
        <f>'Ket qua kinh doanh'!BL12</f>
        <v>0</v>
      </c>
      <c r="BM55" s="199">
        <f>'Ket qua kinh doanh'!BM12</f>
        <v>9235200</v>
      </c>
      <c r="BN55" s="199">
        <f>'Ket qua kinh doanh'!BN12</f>
        <v>0</v>
      </c>
      <c r="BO55" s="199">
        <f>'Ket qua kinh doanh'!BO12</f>
        <v>419650</v>
      </c>
      <c r="BP55" s="199">
        <f>'Ket qua kinh doanh'!BP12</f>
        <v>345313</v>
      </c>
      <c r="BQ55" s="199">
        <f>'Ket qua kinh doanh'!BQ12</f>
        <v>0</v>
      </c>
      <c r="BR55" s="199">
        <f>'Ket qua kinh doanh'!BR12</f>
        <v>0</v>
      </c>
      <c r="BS55" s="199">
        <f>'Ket qua kinh doanh'!BS12</f>
        <v>0</v>
      </c>
      <c r="BT55" s="199">
        <f>'Ket qua kinh doanh'!BT12</f>
        <v>0</v>
      </c>
      <c r="BU55" s="199">
        <f>'Ket qua kinh doanh'!BU12</f>
        <v>0</v>
      </c>
      <c r="BV55" s="199">
        <f>'Ket qua kinh doanh'!BV12</f>
        <v>0</v>
      </c>
      <c r="BW55" s="199">
        <f>'Ket qua kinh doanh'!BW12</f>
        <v>0</v>
      </c>
    </row>
    <row r="56" spans="1:75" x14ac:dyDescent="0.25">
      <c r="A56" s="177">
        <v>53</v>
      </c>
      <c r="B56" s="178" t="s">
        <v>460</v>
      </c>
      <c r="C56" s="188">
        <v>6</v>
      </c>
      <c r="D56" s="202">
        <v>0</v>
      </c>
      <c r="E56" s="202">
        <v>0</v>
      </c>
      <c r="F56" s="202">
        <v>0</v>
      </c>
      <c r="G56" s="202">
        <v>0</v>
      </c>
      <c r="H56" s="202">
        <v>0</v>
      </c>
      <c r="I56" s="202">
        <v>0</v>
      </c>
      <c r="J56" s="202">
        <v>0</v>
      </c>
      <c r="K56" s="202">
        <v>0</v>
      </c>
      <c r="L56" s="202">
        <v>0</v>
      </c>
      <c r="M56" s="202">
        <v>0</v>
      </c>
      <c r="N56" s="202">
        <v>0</v>
      </c>
      <c r="O56" s="202">
        <v>0</v>
      </c>
      <c r="P56" s="202">
        <v>0</v>
      </c>
      <c r="Q56" s="202">
        <v>0</v>
      </c>
      <c r="R56" s="202">
        <v>0</v>
      </c>
      <c r="S56" s="202">
        <v>0</v>
      </c>
      <c r="T56" s="202">
        <v>0</v>
      </c>
      <c r="U56" s="202">
        <v>0</v>
      </c>
      <c r="V56" s="202">
        <v>0</v>
      </c>
      <c r="W56" s="202">
        <v>0</v>
      </c>
      <c r="X56" s="202">
        <v>0</v>
      </c>
      <c r="Y56" s="202">
        <v>0</v>
      </c>
      <c r="Z56" s="202">
        <v>0</v>
      </c>
      <c r="AA56" s="202">
        <v>0</v>
      </c>
      <c r="AB56" s="202">
        <v>0</v>
      </c>
      <c r="AC56" s="202">
        <v>0</v>
      </c>
      <c r="AD56" s="202">
        <v>0</v>
      </c>
      <c r="AE56" s="202">
        <v>0</v>
      </c>
      <c r="AF56" s="202">
        <v>0</v>
      </c>
      <c r="AG56" s="202">
        <v>0</v>
      </c>
      <c r="AH56" s="202">
        <v>0</v>
      </c>
      <c r="AI56" s="202">
        <v>0</v>
      </c>
      <c r="AJ56" s="202">
        <v>0</v>
      </c>
      <c r="AK56" s="202">
        <v>0</v>
      </c>
      <c r="AL56" s="202">
        <v>0</v>
      </c>
      <c r="AM56" s="202">
        <v>0</v>
      </c>
      <c r="AN56" s="202">
        <v>0</v>
      </c>
      <c r="AO56" s="202">
        <v>0</v>
      </c>
      <c r="AP56" s="202">
        <v>0</v>
      </c>
      <c r="AQ56" s="202">
        <v>0</v>
      </c>
      <c r="AR56" s="202">
        <v>0</v>
      </c>
      <c r="AS56" s="202">
        <v>0</v>
      </c>
      <c r="AT56" s="202">
        <v>0</v>
      </c>
      <c r="AU56" s="202">
        <v>0</v>
      </c>
      <c r="AV56" s="202">
        <v>0</v>
      </c>
      <c r="AW56" s="202">
        <v>0</v>
      </c>
      <c r="AX56" s="202">
        <v>0</v>
      </c>
      <c r="AY56" s="202">
        <v>0</v>
      </c>
      <c r="AZ56" s="202">
        <v>0</v>
      </c>
      <c r="BA56" s="202">
        <v>0</v>
      </c>
      <c r="BB56" s="202">
        <v>0</v>
      </c>
      <c r="BC56" s="202">
        <v>0</v>
      </c>
      <c r="BD56" s="202">
        <v>0</v>
      </c>
      <c r="BE56" s="202">
        <v>0</v>
      </c>
      <c r="BF56" s="202">
        <v>0</v>
      </c>
      <c r="BG56" s="202">
        <v>0</v>
      </c>
      <c r="BH56" s="202">
        <v>0</v>
      </c>
      <c r="BI56" s="202">
        <v>0</v>
      </c>
      <c r="BJ56" s="202">
        <v>0</v>
      </c>
      <c r="BK56" s="202">
        <f>'Ket qua kinh doanh'!BK13</f>
        <v>0</v>
      </c>
      <c r="BL56" s="202">
        <f>'Ket qua kinh doanh'!BL13</f>
        <v>0</v>
      </c>
      <c r="BM56" s="202">
        <f>'Ket qua kinh doanh'!BM13</f>
        <v>0</v>
      </c>
      <c r="BN56" s="202">
        <f>'Ket qua kinh doanh'!BN13</f>
        <v>0</v>
      </c>
      <c r="BO56" s="202">
        <f>'Ket qua kinh doanh'!BO13</f>
        <v>0</v>
      </c>
      <c r="BP56" s="202">
        <f>'Ket qua kinh doanh'!BP13</f>
        <v>0</v>
      </c>
      <c r="BQ56" s="202">
        <f>'Ket qua kinh doanh'!BQ13</f>
        <v>0</v>
      </c>
      <c r="BR56" s="202">
        <f>'Ket qua kinh doanh'!BR13</f>
        <v>0</v>
      </c>
      <c r="BS56" s="202">
        <f>'Ket qua kinh doanh'!BS13</f>
        <v>0</v>
      </c>
      <c r="BT56" s="202">
        <f>'Ket qua kinh doanh'!BT13</f>
        <v>0</v>
      </c>
      <c r="BU56" s="202">
        <f>'Ket qua kinh doanh'!BU13</f>
        <v>0</v>
      </c>
      <c r="BV56" s="202">
        <f>'Ket qua kinh doanh'!BV13</f>
        <v>0</v>
      </c>
      <c r="BW56" s="202">
        <f>'Ket qua kinh doanh'!BW13</f>
        <v>0</v>
      </c>
    </row>
    <row r="57" spans="1:75" x14ac:dyDescent="0.25">
      <c r="A57" s="196">
        <v>54</v>
      </c>
      <c r="B57" s="195" t="s">
        <v>461</v>
      </c>
      <c r="C57" s="186">
        <v>6</v>
      </c>
      <c r="D57" s="200" t="s">
        <v>415</v>
      </c>
      <c r="E57" s="200" t="s">
        <v>415</v>
      </c>
      <c r="F57" s="200" t="s">
        <v>415</v>
      </c>
      <c r="G57" s="200" t="s">
        <v>415</v>
      </c>
      <c r="H57" s="200" t="s">
        <v>415</v>
      </c>
      <c r="I57" s="200" t="s">
        <v>415</v>
      </c>
      <c r="J57" s="200" t="s">
        <v>415</v>
      </c>
      <c r="K57" s="200" t="s">
        <v>415</v>
      </c>
      <c r="L57" s="200" t="s">
        <v>415</v>
      </c>
      <c r="M57" s="200" t="s">
        <v>415</v>
      </c>
      <c r="N57" s="200" t="s">
        <v>415</v>
      </c>
      <c r="O57" s="200" t="s">
        <v>415</v>
      </c>
      <c r="P57" s="200" t="s">
        <v>415</v>
      </c>
      <c r="Q57" s="200" t="s">
        <v>415</v>
      </c>
      <c r="R57" s="200" t="s">
        <v>415</v>
      </c>
      <c r="S57" s="200">
        <v>0</v>
      </c>
      <c r="T57" s="200">
        <v>0</v>
      </c>
      <c r="U57" s="200">
        <v>0</v>
      </c>
      <c r="V57" s="200">
        <v>0</v>
      </c>
      <c r="W57" s="200">
        <v>0</v>
      </c>
      <c r="X57" s="200">
        <v>0</v>
      </c>
      <c r="Y57" s="200">
        <v>0</v>
      </c>
      <c r="Z57" s="200">
        <v>0</v>
      </c>
      <c r="AA57" s="200">
        <v>0</v>
      </c>
      <c r="AB57" s="200">
        <v>0</v>
      </c>
      <c r="AC57" s="200">
        <v>0</v>
      </c>
      <c r="AD57" s="200">
        <v>0</v>
      </c>
      <c r="AE57" s="200">
        <v>0</v>
      </c>
      <c r="AF57" s="200">
        <v>0</v>
      </c>
      <c r="AG57" s="200">
        <v>0</v>
      </c>
      <c r="AH57" s="200">
        <v>0</v>
      </c>
      <c r="AI57" s="200">
        <v>0</v>
      </c>
      <c r="AJ57" s="200">
        <v>0</v>
      </c>
      <c r="AK57" s="200">
        <v>0</v>
      </c>
      <c r="AL57" s="200">
        <v>0</v>
      </c>
      <c r="AM57" s="200">
        <v>0</v>
      </c>
      <c r="AN57" s="200">
        <v>0</v>
      </c>
      <c r="AO57" s="200">
        <v>0</v>
      </c>
      <c r="AP57" s="200">
        <v>0</v>
      </c>
      <c r="AQ57" s="200">
        <v>0</v>
      </c>
      <c r="AR57" s="200">
        <v>0</v>
      </c>
      <c r="AS57" s="200">
        <v>0</v>
      </c>
      <c r="AT57" s="200">
        <v>0</v>
      </c>
      <c r="AU57" s="200">
        <v>0</v>
      </c>
      <c r="AV57" s="200">
        <v>0</v>
      </c>
      <c r="AW57" s="200">
        <v>0</v>
      </c>
      <c r="AX57" s="200">
        <v>0</v>
      </c>
      <c r="AY57" s="200">
        <v>0</v>
      </c>
      <c r="AZ57" s="200">
        <v>0</v>
      </c>
      <c r="BA57" s="200">
        <v>0</v>
      </c>
      <c r="BB57" s="200">
        <v>0</v>
      </c>
      <c r="BC57" s="200">
        <v>0</v>
      </c>
      <c r="BD57" s="200">
        <v>0</v>
      </c>
      <c r="BE57" s="200">
        <v>0</v>
      </c>
      <c r="BF57" s="200">
        <v>0</v>
      </c>
      <c r="BG57" s="200">
        <v>0</v>
      </c>
      <c r="BH57" s="200">
        <v>0</v>
      </c>
      <c r="BI57" s="200">
        <v>0</v>
      </c>
      <c r="BJ57" s="200">
        <v>0</v>
      </c>
      <c r="BK57" s="200">
        <f t="shared" ref="BK57:BW57" si="9">IFERROR(BK56/BK12,"")</f>
        <v>0</v>
      </c>
      <c r="BL57" s="200">
        <f t="shared" si="9"/>
        <v>0</v>
      </c>
      <c r="BM57" s="200">
        <f t="shared" si="9"/>
        <v>0</v>
      </c>
      <c r="BN57" s="200">
        <f t="shared" si="9"/>
        <v>0</v>
      </c>
      <c r="BO57" s="200">
        <f t="shared" si="9"/>
        <v>0</v>
      </c>
      <c r="BP57" s="200">
        <f t="shared" si="9"/>
        <v>0</v>
      </c>
      <c r="BQ57" s="200" t="str">
        <f t="shared" si="9"/>
        <v/>
      </c>
      <c r="BR57" s="200" t="str">
        <f t="shared" si="9"/>
        <v/>
      </c>
      <c r="BS57" s="200" t="str">
        <f t="shared" si="9"/>
        <v/>
      </c>
      <c r="BT57" s="200" t="str">
        <f t="shared" si="9"/>
        <v/>
      </c>
      <c r="BU57" s="200" t="str">
        <f t="shared" si="9"/>
        <v/>
      </c>
      <c r="BV57" s="200" t="str">
        <f t="shared" si="9"/>
        <v/>
      </c>
      <c r="BW57" s="200" t="str">
        <f t="shared" si="9"/>
        <v/>
      </c>
    </row>
  </sheetData>
  <sheetProtection algorithmName="SHA-512" hashValue="aZDT1NhVCxBv9STPTkFkRgEeNhPOPicLkmarFtb5EAPYGnGbQLRUU3LJObOpu/Vg5e5ZivVdSFqYXpYBH1IGGA==" saltValue="7NvCTplom4/LjQuk0IFV1A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9DDBB-C389-487A-849B-7F99AA588997}">
  <sheetPr>
    <tabColor theme="9" tint="0.59999389629810485"/>
  </sheetPr>
  <dimension ref="A1:BW74"/>
  <sheetViews>
    <sheetView showGridLines="0" zoomScale="80" zoomScaleNormal="80" workbookViewId="0">
      <pane xSplit="3" ySplit="3" topLeftCell="AX37" activePane="bottomRight" state="frozen"/>
      <selection pane="topRight" activeCell="AZ4" sqref="AZ4"/>
      <selection pane="bottomLeft" activeCell="AZ4" sqref="AZ4"/>
      <selection pane="bottomRight" activeCell="BP59" sqref="BP59:BP68"/>
    </sheetView>
  </sheetViews>
  <sheetFormatPr defaultRowHeight="15" x14ac:dyDescent="0.25"/>
  <cols>
    <col min="1" max="1" width="7.28515625" hidden="1" customWidth="1"/>
    <col min="2" max="2" width="45.5703125" customWidth="1"/>
    <col min="3" max="3" width="9.140625" hidden="1" customWidth="1"/>
    <col min="4" max="75" width="13.28515625" bestFit="1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206" t="s">
        <v>462</v>
      </c>
      <c r="B3" s="207" t="s">
        <v>463</v>
      </c>
      <c r="C3" s="208" t="s">
        <v>244</v>
      </c>
      <c r="D3" s="209" t="s">
        <v>245</v>
      </c>
      <c r="E3" s="209" t="s">
        <v>246</v>
      </c>
      <c r="F3" s="209" t="s">
        <v>247</v>
      </c>
      <c r="G3" s="209" t="s">
        <v>248</v>
      </c>
      <c r="H3" s="209" t="s">
        <v>249</v>
      </c>
      <c r="I3" s="209" t="s">
        <v>250</v>
      </c>
      <c r="J3" s="209" t="s">
        <v>251</v>
      </c>
      <c r="K3" s="209" t="s">
        <v>252</v>
      </c>
      <c r="L3" s="209" t="s">
        <v>253</v>
      </c>
      <c r="M3" s="209" t="s">
        <v>254</v>
      </c>
      <c r="N3" s="209" t="s">
        <v>255</v>
      </c>
      <c r="O3" s="209" t="s">
        <v>256</v>
      </c>
      <c r="P3" s="209" t="s">
        <v>257</v>
      </c>
      <c r="Q3" s="209" t="s">
        <v>258</v>
      </c>
      <c r="R3" s="209" t="s">
        <v>259</v>
      </c>
      <c r="S3" s="209" t="s">
        <v>260</v>
      </c>
      <c r="T3" s="209" t="s">
        <v>261</v>
      </c>
      <c r="U3" s="209" t="s">
        <v>262</v>
      </c>
      <c r="V3" s="209" t="s">
        <v>263</v>
      </c>
      <c r="W3" s="209" t="s">
        <v>264</v>
      </c>
      <c r="X3" s="209" t="s">
        <v>265</v>
      </c>
      <c r="Y3" s="209" t="s">
        <v>266</v>
      </c>
      <c r="Z3" s="209" t="s">
        <v>267</v>
      </c>
      <c r="AA3" s="209" t="s">
        <v>268</v>
      </c>
      <c r="AB3" s="209" t="s">
        <v>269</v>
      </c>
      <c r="AC3" s="209" t="s">
        <v>270</v>
      </c>
      <c r="AD3" s="209" t="s">
        <v>271</v>
      </c>
      <c r="AE3" s="209" t="s">
        <v>272</v>
      </c>
      <c r="AF3" s="209" t="s">
        <v>273</v>
      </c>
      <c r="AG3" s="209" t="s">
        <v>274</v>
      </c>
      <c r="AH3" s="209" t="s">
        <v>275</v>
      </c>
      <c r="AI3" s="209" t="s">
        <v>276</v>
      </c>
      <c r="AJ3" s="209" t="s">
        <v>277</v>
      </c>
      <c r="AK3" s="209" t="s">
        <v>278</v>
      </c>
      <c r="AL3" s="209" t="s">
        <v>279</v>
      </c>
      <c r="AM3" s="209" t="s">
        <v>280</v>
      </c>
      <c r="AN3" s="209" t="s">
        <v>281</v>
      </c>
      <c r="AO3" s="209" t="s">
        <v>282</v>
      </c>
      <c r="AP3" s="209" t="s">
        <v>283</v>
      </c>
      <c r="AQ3" s="209" t="s">
        <v>284</v>
      </c>
      <c r="AR3" s="209" t="s">
        <v>285</v>
      </c>
      <c r="AS3" s="209" t="s">
        <v>286</v>
      </c>
      <c r="AT3" s="209" t="s">
        <v>287</v>
      </c>
      <c r="AU3" s="209" t="s">
        <v>288</v>
      </c>
      <c r="AV3" s="209" t="s">
        <v>289</v>
      </c>
      <c r="AW3" s="209" t="s">
        <v>290</v>
      </c>
      <c r="AX3" s="209" t="s">
        <v>291</v>
      </c>
      <c r="AY3" s="209" t="s">
        <v>292</v>
      </c>
      <c r="AZ3" s="209" t="s">
        <v>293</v>
      </c>
      <c r="BA3" s="209" t="s">
        <v>294</v>
      </c>
      <c r="BB3" s="209" t="s">
        <v>295</v>
      </c>
      <c r="BC3" s="209" t="s">
        <v>296</v>
      </c>
      <c r="BD3" s="209" t="s">
        <v>297</v>
      </c>
      <c r="BE3" s="209" t="s">
        <v>298</v>
      </c>
      <c r="BF3" s="209" t="s">
        <v>299</v>
      </c>
      <c r="BG3" s="209" t="s">
        <v>300</v>
      </c>
      <c r="BH3" s="209" t="s">
        <v>301</v>
      </c>
      <c r="BI3" s="209" t="s">
        <v>302</v>
      </c>
      <c r="BJ3" s="209" t="s">
        <v>303</v>
      </c>
      <c r="BK3" s="209" t="s">
        <v>304</v>
      </c>
      <c r="BL3" s="209" t="s">
        <v>305</v>
      </c>
      <c r="BM3" s="209" t="s">
        <v>306</v>
      </c>
      <c r="BN3" s="209" t="s">
        <v>307</v>
      </c>
      <c r="BO3" s="209" t="s">
        <v>308</v>
      </c>
      <c r="BP3" s="209" t="s">
        <v>309</v>
      </c>
      <c r="BQ3" s="209" t="s">
        <v>310</v>
      </c>
      <c r="BR3" s="209" t="s">
        <v>311</v>
      </c>
      <c r="BS3" s="209" t="s">
        <v>312</v>
      </c>
      <c r="BT3" s="209" t="s">
        <v>313</v>
      </c>
      <c r="BU3" s="209" t="s">
        <v>314</v>
      </c>
      <c r="BV3" s="209" t="s">
        <v>315</v>
      </c>
      <c r="BW3" s="209" t="s">
        <v>316</v>
      </c>
    </row>
    <row r="4" spans="1:75" x14ac:dyDescent="0.25">
      <c r="A4" s="210">
        <v>1</v>
      </c>
      <c r="B4" s="211" t="s">
        <v>464</v>
      </c>
      <c r="C4" s="212">
        <v>6</v>
      </c>
      <c r="D4" s="218"/>
      <c r="E4" s="218"/>
      <c r="F4" s="218"/>
      <c r="G4" s="218"/>
      <c r="H4" s="218"/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8"/>
      <c r="AP4" s="218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8"/>
      <c r="BL4" s="218"/>
      <c r="BM4" s="218"/>
      <c r="BN4" s="218"/>
      <c r="BO4" s="218"/>
      <c r="BP4" s="218"/>
      <c r="BQ4" s="218"/>
      <c r="BR4" s="218"/>
      <c r="BS4" s="218"/>
      <c r="BT4" s="218"/>
      <c r="BU4" s="218"/>
      <c r="BV4" s="218"/>
      <c r="BW4" s="218"/>
    </row>
    <row r="5" spans="1:75" x14ac:dyDescent="0.25">
      <c r="A5" s="103">
        <v>2</v>
      </c>
      <c r="B5" s="213" t="s">
        <v>465</v>
      </c>
      <c r="C5" s="103">
        <v>6</v>
      </c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9"/>
      <c r="AE5" s="219"/>
      <c r="AF5" s="219"/>
      <c r="AG5" s="219"/>
      <c r="AH5" s="219"/>
      <c r="AI5" s="21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219"/>
      <c r="AU5" s="21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19"/>
      <c r="BG5" s="219"/>
      <c r="BH5" s="219"/>
      <c r="BI5" s="219"/>
      <c r="BJ5" s="219"/>
      <c r="BK5" s="219"/>
      <c r="BL5" s="219"/>
      <c r="BM5" s="219"/>
      <c r="BN5" s="219"/>
      <c r="BO5" s="219"/>
      <c r="BP5" s="219"/>
      <c r="BQ5" s="219"/>
      <c r="BR5" s="219"/>
      <c r="BS5" s="219"/>
      <c r="BT5" s="219"/>
      <c r="BU5" s="219"/>
      <c r="BV5" s="219"/>
      <c r="BW5" s="219"/>
    </row>
    <row r="6" spans="1:75" x14ac:dyDescent="0.25">
      <c r="A6" s="103">
        <v>3</v>
      </c>
      <c r="B6" s="213" t="s">
        <v>466</v>
      </c>
      <c r="C6" s="103">
        <v>6</v>
      </c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  <c r="AA6" s="219"/>
      <c r="AB6" s="219"/>
      <c r="AC6" s="219"/>
      <c r="AD6" s="219"/>
      <c r="AE6" s="219"/>
      <c r="AF6" s="219"/>
      <c r="AG6" s="219"/>
      <c r="AH6" s="219"/>
      <c r="AI6" s="21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19"/>
      <c r="BG6" s="219"/>
      <c r="BH6" s="219"/>
      <c r="BI6" s="219"/>
      <c r="BJ6" s="219"/>
      <c r="BK6" s="219"/>
      <c r="BL6" s="219"/>
      <c r="BM6" s="219"/>
      <c r="BN6" s="219"/>
      <c r="BO6" s="219"/>
      <c r="BP6" s="219"/>
      <c r="BQ6" s="219"/>
      <c r="BR6" s="219"/>
      <c r="BS6" s="219"/>
      <c r="BT6" s="219"/>
      <c r="BU6" s="219"/>
      <c r="BV6" s="219"/>
      <c r="BW6" s="219"/>
    </row>
    <row r="7" spans="1:75" x14ac:dyDescent="0.25">
      <c r="A7" s="103">
        <v>4</v>
      </c>
      <c r="B7" s="213" t="s">
        <v>467</v>
      </c>
      <c r="C7" s="103">
        <v>6</v>
      </c>
      <c r="D7" s="219"/>
      <c r="E7" s="219"/>
      <c r="F7" s="219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  <c r="AU7" s="21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19"/>
      <c r="BG7" s="219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</row>
    <row r="8" spans="1:75" x14ac:dyDescent="0.25">
      <c r="A8" s="103">
        <v>5</v>
      </c>
      <c r="B8" s="213" t="s">
        <v>468</v>
      </c>
      <c r="C8" s="103">
        <v>6</v>
      </c>
      <c r="D8" s="219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  <c r="AU8" s="21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19"/>
      <c r="BG8" s="219"/>
      <c r="BH8" s="219"/>
      <c r="BI8" s="219"/>
      <c r="BJ8" s="219"/>
      <c r="BK8" s="219"/>
      <c r="BL8" s="219"/>
      <c r="BM8" s="219"/>
      <c r="BN8" s="219"/>
      <c r="BO8" s="219"/>
      <c r="BP8" s="219"/>
      <c r="BQ8" s="219"/>
      <c r="BR8" s="219"/>
      <c r="BS8" s="219"/>
      <c r="BT8" s="219"/>
      <c r="BU8" s="219"/>
      <c r="BV8" s="219"/>
      <c r="BW8" s="219"/>
    </row>
    <row r="9" spans="1:75" x14ac:dyDescent="0.25">
      <c r="A9" s="103">
        <v>6</v>
      </c>
      <c r="B9" s="213" t="s">
        <v>469</v>
      </c>
      <c r="C9" s="103">
        <v>6</v>
      </c>
      <c r="D9" s="219"/>
      <c r="E9" s="219"/>
      <c r="F9" s="219"/>
      <c r="G9" s="219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19"/>
      <c r="AU9" s="219"/>
      <c r="AV9" s="219"/>
      <c r="AW9" s="219"/>
      <c r="AX9" s="219"/>
      <c r="AY9" s="219"/>
      <c r="AZ9" s="219"/>
      <c r="BA9" s="219"/>
      <c r="BB9" s="219"/>
      <c r="BC9" s="219"/>
      <c r="BD9" s="219"/>
      <c r="BE9" s="219"/>
      <c r="BF9" s="219"/>
      <c r="BG9" s="219"/>
      <c r="BH9" s="219"/>
      <c r="BI9" s="219"/>
      <c r="BJ9" s="219"/>
      <c r="BK9" s="219"/>
      <c r="BL9" s="219"/>
      <c r="BM9" s="219"/>
      <c r="BN9" s="219"/>
      <c r="BO9" s="219"/>
      <c r="BP9" s="219"/>
      <c r="BQ9" s="219"/>
      <c r="BR9" s="219"/>
      <c r="BS9" s="219"/>
      <c r="BT9" s="219"/>
      <c r="BU9" s="219"/>
      <c r="BV9" s="219"/>
      <c r="BW9" s="219"/>
    </row>
    <row r="10" spans="1:75" x14ac:dyDescent="0.25">
      <c r="A10" s="103">
        <v>7</v>
      </c>
      <c r="B10" s="213" t="s">
        <v>470</v>
      </c>
      <c r="C10" s="103">
        <v>6</v>
      </c>
      <c r="D10" s="219"/>
      <c r="E10" s="219"/>
      <c r="F10" s="219"/>
      <c r="G10" s="219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  <c r="AU10" s="219"/>
      <c r="AV10" s="219"/>
      <c r="AW10" s="219"/>
      <c r="AX10" s="219"/>
      <c r="AY10" s="219"/>
      <c r="AZ10" s="219"/>
      <c r="BA10" s="219"/>
      <c r="BB10" s="219"/>
      <c r="BC10" s="219"/>
      <c r="BD10" s="219"/>
      <c r="BE10" s="219"/>
      <c r="BF10" s="219"/>
      <c r="BG10" s="219"/>
      <c r="BH10" s="219"/>
      <c r="BI10" s="219"/>
      <c r="BJ10" s="219"/>
      <c r="BK10" s="219"/>
      <c r="BL10" s="219"/>
      <c r="BM10" s="219"/>
      <c r="BN10" s="219"/>
      <c r="BO10" s="219"/>
      <c r="BP10" s="219"/>
      <c r="BQ10" s="219"/>
      <c r="BR10" s="219"/>
      <c r="BS10" s="219"/>
      <c r="BT10" s="219"/>
      <c r="BU10" s="219"/>
      <c r="BV10" s="219"/>
      <c r="BW10" s="219"/>
    </row>
    <row r="11" spans="1:75" x14ac:dyDescent="0.25">
      <c r="A11" s="103">
        <v>8</v>
      </c>
      <c r="B11" s="213" t="s">
        <v>471</v>
      </c>
      <c r="C11" s="103">
        <v>6</v>
      </c>
      <c r="D11" s="219"/>
      <c r="E11" s="219"/>
      <c r="F11" s="219"/>
      <c r="G11" s="219"/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19"/>
      <c r="AU11" s="219"/>
      <c r="AV11" s="219"/>
      <c r="AW11" s="219"/>
      <c r="AX11" s="219"/>
      <c r="AY11" s="219"/>
      <c r="AZ11" s="219"/>
      <c r="BA11" s="219"/>
      <c r="BB11" s="219"/>
      <c r="BC11" s="219"/>
      <c r="BD11" s="219"/>
      <c r="BE11" s="219"/>
      <c r="BF11" s="219"/>
      <c r="BG11" s="219"/>
      <c r="BH11" s="219"/>
      <c r="BI11" s="219"/>
      <c r="BJ11" s="219"/>
      <c r="BK11" s="219"/>
      <c r="BL11" s="219"/>
      <c r="BM11" s="219"/>
      <c r="BN11" s="219"/>
      <c r="BO11" s="219"/>
      <c r="BP11" s="219"/>
      <c r="BQ11" s="219"/>
      <c r="BR11" s="219"/>
      <c r="BS11" s="219"/>
      <c r="BT11" s="219"/>
      <c r="BU11" s="219"/>
      <c r="BV11" s="219"/>
      <c r="BW11" s="219"/>
    </row>
    <row r="12" spans="1:75" x14ac:dyDescent="0.25">
      <c r="A12" s="103">
        <v>9</v>
      </c>
      <c r="B12" s="87"/>
      <c r="C12" s="103">
        <v>6</v>
      </c>
      <c r="D12" s="219"/>
      <c r="E12" s="219"/>
      <c r="F12" s="219"/>
      <c r="G12" s="219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  <c r="AU12" s="21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19"/>
      <c r="BG12" s="219"/>
      <c r="BH12" s="219"/>
      <c r="BI12" s="219"/>
      <c r="BJ12" s="219"/>
      <c r="BK12" s="219"/>
      <c r="BL12" s="219"/>
      <c r="BM12" s="219"/>
      <c r="BN12" s="219"/>
      <c r="BO12" s="219"/>
      <c r="BP12" s="219"/>
      <c r="BQ12" s="219"/>
      <c r="BR12" s="219"/>
      <c r="BS12" s="219"/>
      <c r="BT12" s="219"/>
      <c r="BU12" s="219"/>
      <c r="BV12" s="219"/>
      <c r="BW12" s="219"/>
    </row>
    <row r="13" spans="1:75" x14ac:dyDescent="0.25">
      <c r="A13" s="210">
        <v>10</v>
      </c>
      <c r="B13" s="211" t="s">
        <v>472</v>
      </c>
      <c r="C13" s="212">
        <v>6</v>
      </c>
      <c r="D13" s="218"/>
      <c r="E13" s="218"/>
      <c r="F13" s="218"/>
      <c r="G13" s="218"/>
      <c r="H13" s="218"/>
      <c r="I13" s="218"/>
      <c r="J13" s="218"/>
      <c r="K13" s="218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  <c r="AG13" s="218"/>
      <c r="AH13" s="218"/>
      <c r="AI13" s="218"/>
      <c r="AJ13" s="218"/>
      <c r="AK13" s="218"/>
      <c r="AL13" s="218"/>
      <c r="AM13" s="218"/>
      <c r="AN13" s="218"/>
      <c r="AO13" s="218"/>
      <c r="AP13" s="218"/>
      <c r="AQ13" s="218"/>
      <c r="AR13" s="218"/>
      <c r="AS13" s="218"/>
      <c r="AT13" s="218"/>
      <c r="AU13" s="218"/>
      <c r="AV13" s="218"/>
      <c r="AW13" s="218"/>
      <c r="AX13" s="218"/>
      <c r="AY13" s="218"/>
      <c r="AZ13" s="218"/>
      <c r="BA13" s="218"/>
      <c r="BB13" s="218"/>
      <c r="BC13" s="218"/>
      <c r="BD13" s="218"/>
      <c r="BE13" s="218"/>
      <c r="BF13" s="218"/>
      <c r="BG13" s="218"/>
      <c r="BH13" s="218"/>
      <c r="BI13" s="218"/>
      <c r="BJ13" s="218"/>
      <c r="BK13" s="218"/>
      <c r="BL13" s="218"/>
      <c r="BM13" s="218"/>
      <c r="BN13" s="218"/>
      <c r="BO13" s="218"/>
      <c r="BP13" s="218"/>
      <c r="BQ13" s="218"/>
      <c r="BR13" s="218"/>
      <c r="BS13" s="218"/>
      <c r="BT13" s="218"/>
      <c r="BU13" s="218"/>
      <c r="BV13" s="218"/>
      <c r="BW13" s="218"/>
    </row>
    <row r="14" spans="1:75" x14ac:dyDescent="0.25">
      <c r="A14" s="103">
        <v>11</v>
      </c>
      <c r="B14" s="213" t="s">
        <v>465</v>
      </c>
      <c r="C14" s="103">
        <v>6</v>
      </c>
      <c r="D14" s="219"/>
      <c r="E14" s="219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19"/>
      <c r="BG14" s="219"/>
      <c r="BH14" s="219"/>
      <c r="BI14" s="219"/>
      <c r="BJ14" s="219"/>
      <c r="BK14" s="219"/>
      <c r="BL14" s="219"/>
      <c r="BM14" s="219"/>
      <c r="BN14" s="219"/>
      <c r="BO14" s="219"/>
      <c r="BP14" s="219"/>
      <c r="BQ14" s="219"/>
      <c r="BR14" s="219"/>
      <c r="BS14" s="219"/>
      <c r="BT14" s="219"/>
      <c r="BU14" s="219"/>
      <c r="BV14" s="219"/>
      <c r="BW14" s="219"/>
    </row>
    <row r="15" spans="1:75" x14ac:dyDescent="0.25">
      <c r="A15" s="103">
        <v>12</v>
      </c>
      <c r="B15" s="213" t="s">
        <v>466</v>
      </c>
      <c r="C15" s="103">
        <v>6</v>
      </c>
      <c r="D15" s="219"/>
      <c r="E15" s="219"/>
      <c r="F15" s="219"/>
      <c r="G15" s="219"/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  <c r="AU15" s="21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19"/>
      <c r="BG15" s="219"/>
      <c r="BH15" s="219"/>
      <c r="BI15" s="219"/>
      <c r="BJ15" s="219"/>
      <c r="BK15" s="219"/>
      <c r="BL15" s="219"/>
      <c r="BM15" s="219"/>
      <c r="BN15" s="219"/>
      <c r="BO15" s="219"/>
      <c r="BP15" s="219"/>
      <c r="BQ15" s="219"/>
      <c r="BR15" s="219"/>
      <c r="BS15" s="219"/>
      <c r="BT15" s="219"/>
      <c r="BU15" s="219"/>
      <c r="BV15" s="219"/>
      <c r="BW15" s="219"/>
    </row>
    <row r="16" spans="1:75" x14ac:dyDescent="0.25">
      <c r="A16" s="103">
        <v>13</v>
      </c>
      <c r="B16" s="213" t="s">
        <v>467</v>
      </c>
      <c r="C16" s="103">
        <v>6</v>
      </c>
      <c r="D16" s="219"/>
      <c r="E16" s="219"/>
      <c r="F16" s="219"/>
      <c r="G16" s="219"/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  <c r="AU16" s="21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19"/>
      <c r="BG16" s="219"/>
      <c r="BH16" s="219"/>
      <c r="BI16" s="219"/>
      <c r="BJ16" s="219"/>
      <c r="BK16" s="219"/>
      <c r="BL16" s="219"/>
      <c r="BM16" s="219"/>
      <c r="BN16" s="219"/>
      <c r="BO16" s="219"/>
      <c r="BP16" s="219"/>
      <c r="BQ16" s="219"/>
      <c r="BR16" s="219"/>
      <c r="BS16" s="219"/>
      <c r="BT16" s="219"/>
      <c r="BU16" s="219"/>
      <c r="BV16" s="219"/>
      <c r="BW16" s="219"/>
    </row>
    <row r="17" spans="1:75" x14ac:dyDescent="0.25">
      <c r="A17" s="103">
        <v>14</v>
      </c>
      <c r="B17" s="213" t="s">
        <v>468</v>
      </c>
      <c r="C17" s="103">
        <v>6</v>
      </c>
      <c r="D17" s="219"/>
      <c r="E17" s="219"/>
      <c r="F17" s="219"/>
      <c r="G17" s="219"/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  <c r="AU17" s="219"/>
      <c r="AV17" s="219"/>
      <c r="AW17" s="219"/>
      <c r="AX17" s="219"/>
      <c r="AY17" s="219"/>
      <c r="AZ17" s="219"/>
      <c r="BA17" s="219"/>
      <c r="BB17" s="219"/>
      <c r="BC17" s="219"/>
      <c r="BD17" s="219"/>
      <c r="BE17" s="219"/>
      <c r="BF17" s="219"/>
      <c r="BG17" s="219"/>
      <c r="BH17" s="219"/>
      <c r="BI17" s="219"/>
      <c r="BJ17" s="219"/>
      <c r="BK17" s="219"/>
      <c r="BL17" s="219"/>
      <c r="BM17" s="219"/>
      <c r="BN17" s="219"/>
      <c r="BO17" s="219"/>
      <c r="BP17" s="219"/>
      <c r="BQ17" s="219"/>
      <c r="BR17" s="219"/>
      <c r="BS17" s="219"/>
      <c r="BT17" s="219"/>
      <c r="BU17" s="219"/>
      <c r="BV17" s="219"/>
      <c r="BW17" s="219"/>
    </row>
    <row r="18" spans="1:75" x14ac:dyDescent="0.25">
      <c r="A18" s="103">
        <v>15</v>
      </c>
      <c r="B18" s="213" t="s">
        <v>469</v>
      </c>
      <c r="C18" s="103">
        <v>6</v>
      </c>
      <c r="D18" s="219"/>
      <c r="E18" s="219"/>
      <c r="F18" s="219"/>
      <c r="G18" s="219"/>
      <c r="H18" s="219"/>
      <c r="I18" s="219"/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  <c r="AU18" s="219"/>
      <c r="AV18" s="219"/>
      <c r="AW18" s="219"/>
      <c r="AX18" s="219"/>
      <c r="AY18" s="219"/>
      <c r="AZ18" s="219"/>
      <c r="BA18" s="219"/>
      <c r="BB18" s="219"/>
      <c r="BC18" s="219"/>
      <c r="BD18" s="219"/>
      <c r="BE18" s="219"/>
      <c r="BF18" s="219"/>
      <c r="BG18" s="219"/>
      <c r="BH18" s="219"/>
      <c r="BI18" s="219"/>
      <c r="BJ18" s="219"/>
      <c r="BK18" s="219"/>
      <c r="BL18" s="219"/>
      <c r="BM18" s="219"/>
      <c r="BN18" s="219"/>
      <c r="BO18" s="219"/>
      <c r="BP18" s="219"/>
      <c r="BQ18" s="219"/>
      <c r="BR18" s="219"/>
      <c r="BS18" s="219"/>
      <c r="BT18" s="219"/>
      <c r="BU18" s="219"/>
      <c r="BV18" s="219"/>
      <c r="BW18" s="219"/>
    </row>
    <row r="19" spans="1:75" x14ac:dyDescent="0.25">
      <c r="A19" s="103">
        <v>16</v>
      </c>
      <c r="B19" s="213" t="s">
        <v>470</v>
      </c>
      <c r="C19" s="103">
        <v>6</v>
      </c>
      <c r="D19" s="219"/>
      <c r="E19" s="219"/>
      <c r="F19" s="219"/>
      <c r="G19" s="219"/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  <c r="AA19" s="219"/>
      <c r="AB19" s="219"/>
      <c r="AC19" s="219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19"/>
      <c r="AU19" s="219"/>
      <c r="AV19" s="219"/>
      <c r="AW19" s="219"/>
      <c r="AX19" s="219"/>
      <c r="AY19" s="219"/>
      <c r="AZ19" s="219"/>
      <c r="BA19" s="219"/>
      <c r="BB19" s="219"/>
      <c r="BC19" s="219"/>
      <c r="BD19" s="219"/>
      <c r="BE19" s="219"/>
      <c r="BF19" s="219"/>
      <c r="BG19" s="219"/>
      <c r="BH19" s="219"/>
      <c r="BI19" s="219"/>
      <c r="BJ19" s="219"/>
      <c r="BK19" s="219"/>
      <c r="BL19" s="219"/>
      <c r="BM19" s="219"/>
      <c r="BN19" s="219"/>
      <c r="BO19" s="219"/>
      <c r="BP19" s="219"/>
      <c r="BQ19" s="219"/>
      <c r="BR19" s="219"/>
      <c r="BS19" s="219"/>
      <c r="BT19" s="219"/>
      <c r="BU19" s="219"/>
      <c r="BV19" s="219"/>
      <c r="BW19" s="219"/>
    </row>
    <row r="20" spans="1:75" x14ac:dyDescent="0.25">
      <c r="A20" s="103">
        <v>17</v>
      </c>
      <c r="B20" s="213" t="s">
        <v>471</v>
      </c>
      <c r="C20" s="103">
        <v>6</v>
      </c>
      <c r="D20" s="219"/>
      <c r="E20" s="219"/>
      <c r="F20" s="219"/>
      <c r="G20" s="219"/>
      <c r="H20" s="219"/>
      <c r="I20" s="219"/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  <c r="AA20" s="219"/>
      <c r="AB20" s="219"/>
      <c r="AC20" s="219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19"/>
      <c r="AU20" s="21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19"/>
      <c r="BG20" s="219"/>
      <c r="BH20" s="219"/>
      <c r="BI20" s="219"/>
      <c r="BJ20" s="219"/>
      <c r="BK20" s="219"/>
      <c r="BL20" s="219"/>
      <c r="BM20" s="219"/>
      <c r="BN20" s="219"/>
      <c r="BO20" s="219"/>
      <c r="BP20" s="219"/>
      <c r="BQ20" s="219"/>
      <c r="BR20" s="219"/>
      <c r="BS20" s="219"/>
      <c r="BT20" s="219"/>
      <c r="BU20" s="219"/>
      <c r="BV20" s="219"/>
      <c r="BW20" s="219"/>
    </row>
    <row r="21" spans="1:75" x14ac:dyDescent="0.25">
      <c r="A21" s="103">
        <v>18</v>
      </c>
      <c r="B21" s="87"/>
      <c r="C21" s="103">
        <v>6</v>
      </c>
      <c r="D21" s="219"/>
      <c r="E21" s="219"/>
      <c r="F21" s="219"/>
      <c r="G21" s="219"/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219"/>
      <c r="AU21" s="21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19"/>
      <c r="BG21" s="219"/>
      <c r="BH21" s="219"/>
      <c r="BI21" s="219"/>
      <c r="BJ21" s="219"/>
      <c r="BK21" s="219"/>
      <c r="BL21" s="219"/>
      <c r="BM21" s="219"/>
      <c r="BN21" s="219"/>
      <c r="BO21" s="219"/>
      <c r="BP21" s="219"/>
      <c r="BQ21" s="219"/>
      <c r="BR21" s="219"/>
      <c r="BS21" s="219"/>
      <c r="BT21" s="219"/>
      <c r="BU21" s="219"/>
      <c r="BV21" s="219"/>
      <c r="BW21" s="219"/>
    </row>
    <row r="22" spans="1:75" x14ac:dyDescent="0.25">
      <c r="A22" s="214">
        <v>19</v>
      </c>
      <c r="B22" s="215" t="s">
        <v>473</v>
      </c>
      <c r="C22" s="103">
        <v>6</v>
      </c>
      <c r="D22" s="219"/>
      <c r="E22" s="219"/>
      <c r="F22" s="219"/>
      <c r="G22" s="219"/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  <c r="AU22" s="21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19"/>
      <c r="BG22" s="219"/>
      <c r="BH22" s="219"/>
      <c r="BI22" s="219"/>
      <c r="BJ22" s="219"/>
      <c r="BK22" s="219"/>
      <c r="BL22" s="219"/>
      <c r="BM22" s="219"/>
      <c r="BN22" s="219"/>
      <c r="BO22" s="219"/>
      <c r="BP22" s="219"/>
      <c r="BQ22" s="219"/>
      <c r="BR22" s="219"/>
      <c r="BS22" s="219"/>
      <c r="BT22" s="219"/>
      <c r="BU22" s="219"/>
      <c r="BV22" s="219"/>
      <c r="BW22" s="219"/>
    </row>
    <row r="23" spans="1:75" x14ac:dyDescent="0.25">
      <c r="A23" s="103">
        <v>20</v>
      </c>
      <c r="B23" s="213" t="str">
        <f t="shared" ref="B23:B29" si="0">B14</f>
        <v>ACB</v>
      </c>
      <c r="C23" s="103">
        <v>6</v>
      </c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219"/>
      <c r="AU23" s="21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19"/>
      <c r="BG23" s="219"/>
      <c r="BH23" s="219"/>
      <c r="BI23" s="219"/>
      <c r="BJ23" s="219"/>
      <c r="BK23" s="219"/>
      <c r="BL23" s="219"/>
      <c r="BM23" s="219"/>
      <c r="BN23" s="219"/>
      <c r="BO23" s="219"/>
      <c r="BP23" s="219"/>
      <c r="BQ23" s="219"/>
      <c r="BR23" s="219"/>
      <c r="BS23" s="219"/>
      <c r="BT23" s="219"/>
      <c r="BU23" s="219"/>
      <c r="BV23" s="219"/>
      <c r="BW23" s="219"/>
    </row>
    <row r="24" spans="1:75" x14ac:dyDescent="0.25">
      <c r="A24" s="103">
        <v>21</v>
      </c>
      <c r="B24" s="213" t="str">
        <f t="shared" si="0"/>
        <v>VietinBank</v>
      </c>
      <c r="C24" s="103">
        <v>6</v>
      </c>
      <c r="D24" s="219"/>
      <c r="E24" s="219"/>
      <c r="F24" s="219"/>
      <c r="G24" s="219"/>
      <c r="H24" s="219"/>
      <c r="I24" s="219"/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  <c r="AA24" s="219"/>
      <c r="AB24" s="219"/>
      <c r="AC24" s="219"/>
      <c r="AD24" s="219"/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19"/>
      <c r="AQ24" s="219"/>
      <c r="AR24" s="219"/>
      <c r="AS24" s="219"/>
      <c r="AT24" s="219"/>
      <c r="AU24" s="219"/>
      <c r="AV24" s="219"/>
      <c r="AW24" s="219"/>
      <c r="AX24" s="219"/>
      <c r="AY24" s="219"/>
      <c r="AZ24" s="219"/>
      <c r="BA24" s="219"/>
      <c r="BB24" s="219"/>
      <c r="BC24" s="219"/>
      <c r="BD24" s="219"/>
      <c r="BE24" s="219"/>
      <c r="BF24" s="219"/>
      <c r="BG24" s="219"/>
      <c r="BH24" s="219"/>
      <c r="BI24" s="219"/>
      <c r="BJ24" s="219"/>
      <c r="BK24" s="219"/>
      <c r="BL24" s="219"/>
      <c r="BM24" s="219"/>
      <c r="BN24" s="219"/>
      <c r="BO24" s="219"/>
      <c r="BP24" s="219"/>
      <c r="BQ24" s="219"/>
      <c r="BR24" s="219"/>
      <c r="BS24" s="219"/>
      <c r="BT24" s="219"/>
      <c r="BU24" s="219"/>
      <c r="BV24" s="219"/>
      <c r="BW24" s="219"/>
    </row>
    <row r="25" spans="1:75" x14ac:dyDescent="0.25">
      <c r="A25" s="103">
        <v>22</v>
      </c>
      <c r="B25" s="213" t="str">
        <f t="shared" si="0"/>
        <v>Vietcombank</v>
      </c>
      <c r="C25" s="103">
        <v>6</v>
      </c>
      <c r="D25" s="219"/>
      <c r="E25" s="219"/>
      <c r="F25" s="219"/>
      <c r="G25" s="219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19"/>
      <c r="AS25" s="219"/>
      <c r="AT25" s="219"/>
      <c r="AU25" s="219"/>
      <c r="AV25" s="219"/>
      <c r="AW25" s="219"/>
      <c r="AX25" s="219"/>
      <c r="AY25" s="219"/>
      <c r="AZ25" s="219"/>
      <c r="BA25" s="219"/>
      <c r="BB25" s="219"/>
      <c r="BC25" s="219"/>
      <c r="BD25" s="219"/>
      <c r="BE25" s="219"/>
      <c r="BF25" s="219"/>
      <c r="BG25" s="219"/>
      <c r="BH25" s="219"/>
      <c r="BI25" s="219"/>
      <c r="BJ25" s="219"/>
      <c r="BK25" s="219"/>
      <c r="BL25" s="219"/>
      <c r="BM25" s="219"/>
      <c r="BN25" s="219"/>
      <c r="BO25" s="219"/>
      <c r="BP25" s="219"/>
      <c r="BQ25" s="219"/>
      <c r="BR25" s="219"/>
      <c r="BS25" s="219"/>
      <c r="BT25" s="219"/>
      <c r="BU25" s="219"/>
      <c r="BV25" s="219"/>
      <c r="BW25" s="219"/>
    </row>
    <row r="26" spans="1:75" x14ac:dyDescent="0.25">
      <c r="A26" s="103">
        <v>23</v>
      </c>
      <c r="B26" s="213" t="str">
        <f t="shared" si="0"/>
        <v>BIDV</v>
      </c>
      <c r="C26" s="103">
        <v>6</v>
      </c>
      <c r="D26" s="219"/>
      <c r="E26" s="219"/>
      <c r="F26" s="219"/>
      <c r="G26" s="219"/>
      <c r="H26" s="219"/>
      <c r="I26" s="219"/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  <c r="AA26" s="219"/>
      <c r="AB26" s="219"/>
      <c r="AC26" s="219"/>
      <c r="AD26" s="219"/>
      <c r="AE26" s="219"/>
      <c r="AF26" s="219"/>
      <c r="AG26" s="219"/>
      <c r="AH26" s="219"/>
      <c r="AI26" s="219"/>
      <c r="AJ26" s="219"/>
      <c r="AK26" s="219"/>
      <c r="AL26" s="219"/>
      <c r="AM26" s="219"/>
      <c r="AN26" s="219"/>
      <c r="AO26" s="219"/>
      <c r="AP26" s="219"/>
      <c r="AQ26" s="219"/>
      <c r="AR26" s="219"/>
      <c r="AS26" s="219"/>
      <c r="AT26" s="219"/>
      <c r="AU26" s="219"/>
      <c r="AV26" s="219"/>
      <c r="AW26" s="219"/>
      <c r="AX26" s="219"/>
      <c r="AY26" s="219"/>
      <c r="AZ26" s="219"/>
      <c r="BA26" s="219"/>
      <c r="BB26" s="219"/>
      <c r="BC26" s="219"/>
      <c r="BD26" s="219"/>
      <c r="BE26" s="219"/>
      <c r="BF26" s="219"/>
      <c r="BG26" s="219"/>
      <c r="BH26" s="219"/>
      <c r="BI26" s="219"/>
      <c r="BJ26" s="219"/>
      <c r="BK26" s="219"/>
      <c r="BL26" s="219"/>
      <c r="BM26" s="219"/>
      <c r="BN26" s="219"/>
      <c r="BO26" s="219"/>
      <c r="BP26" s="219"/>
      <c r="BQ26" s="219"/>
      <c r="BR26" s="219"/>
      <c r="BS26" s="219"/>
      <c r="BT26" s="219"/>
      <c r="BU26" s="219"/>
      <c r="BV26" s="219"/>
      <c r="BW26" s="219"/>
    </row>
    <row r="27" spans="1:75" x14ac:dyDescent="0.25">
      <c r="A27" s="103">
        <v>24</v>
      </c>
      <c r="B27" s="213" t="str">
        <f t="shared" si="0"/>
        <v>Standard Chartered</v>
      </c>
      <c r="C27" s="103">
        <v>6</v>
      </c>
      <c r="D27" s="219"/>
      <c r="E27" s="219"/>
      <c r="F27" s="219"/>
      <c r="G27" s="219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  <c r="AA27" s="219"/>
      <c r="AB27" s="219"/>
      <c r="AC27" s="219"/>
      <c r="AD27" s="219"/>
      <c r="AE27" s="219"/>
      <c r="AF27" s="219"/>
      <c r="AG27" s="219"/>
      <c r="AH27" s="219"/>
      <c r="AI27" s="21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219"/>
      <c r="AU27" s="21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19"/>
      <c r="BG27" s="219"/>
      <c r="BH27" s="219"/>
      <c r="BI27" s="219"/>
      <c r="BJ27" s="219"/>
      <c r="BK27" s="219"/>
      <c r="BL27" s="219"/>
      <c r="BM27" s="219"/>
      <c r="BN27" s="219"/>
      <c r="BO27" s="219"/>
      <c r="BP27" s="219"/>
      <c r="BQ27" s="219"/>
      <c r="BR27" s="219"/>
      <c r="BS27" s="219"/>
      <c r="BT27" s="219"/>
      <c r="BU27" s="219"/>
      <c r="BV27" s="219"/>
      <c r="BW27" s="219"/>
    </row>
    <row r="28" spans="1:75" x14ac:dyDescent="0.25">
      <c r="A28" s="103">
        <v>25</v>
      </c>
      <c r="B28" s="213" t="str">
        <f t="shared" si="0"/>
        <v>VILC</v>
      </c>
      <c r="C28" s="103">
        <v>6</v>
      </c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  <c r="AA28" s="219"/>
      <c r="AB28" s="219"/>
      <c r="AC28" s="219"/>
      <c r="AD28" s="219"/>
      <c r="AE28" s="219"/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219"/>
      <c r="AU28" s="21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19"/>
      <c r="BG28" s="219"/>
      <c r="BH28" s="219"/>
      <c r="BI28" s="219"/>
      <c r="BJ28" s="219"/>
      <c r="BK28" s="219"/>
      <c r="BL28" s="219"/>
      <c r="BM28" s="219"/>
      <c r="BN28" s="219"/>
      <c r="BO28" s="219"/>
      <c r="BP28" s="219"/>
      <c r="BQ28" s="219"/>
      <c r="BR28" s="219"/>
      <c r="BS28" s="219"/>
      <c r="BT28" s="219"/>
      <c r="BU28" s="219"/>
      <c r="BV28" s="219"/>
      <c r="BW28" s="219"/>
    </row>
    <row r="29" spans="1:75" x14ac:dyDescent="0.25">
      <c r="A29" s="103">
        <v>26</v>
      </c>
      <c r="B29" s="213" t="str">
        <f t="shared" si="0"/>
        <v>IVB</v>
      </c>
      <c r="C29" s="103">
        <v>6</v>
      </c>
      <c r="D29" s="219"/>
      <c r="E29" s="219"/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  <c r="AA29" s="219"/>
      <c r="AB29" s="219"/>
      <c r="AC29" s="219"/>
      <c r="AD29" s="219"/>
      <c r="AE29" s="219"/>
      <c r="AF29" s="219"/>
      <c r="AG29" s="219"/>
      <c r="AH29" s="219"/>
      <c r="AI29" s="21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219"/>
      <c r="AU29" s="21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19"/>
      <c r="BG29" s="219"/>
      <c r="BH29" s="219"/>
      <c r="BI29" s="219"/>
      <c r="BJ29" s="219"/>
      <c r="BK29" s="219"/>
      <c r="BL29" s="219"/>
      <c r="BM29" s="219"/>
      <c r="BN29" s="219"/>
      <c r="BO29" s="219"/>
      <c r="BP29" s="219"/>
      <c r="BQ29" s="219"/>
      <c r="BR29" s="219"/>
      <c r="BS29" s="219"/>
      <c r="BT29" s="219"/>
      <c r="BU29" s="219"/>
      <c r="BV29" s="219"/>
      <c r="BW29" s="219"/>
    </row>
    <row r="30" spans="1:75" x14ac:dyDescent="0.25">
      <c r="A30" s="103">
        <v>27</v>
      </c>
      <c r="B30" s="213"/>
      <c r="C30" s="103">
        <v>6</v>
      </c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219"/>
      <c r="AU30" s="21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19"/>
      <c r="BG30" s="219"/>
      <c r="BH30" s="219"/>
      <c r="BI30" s="219"/>
      <c r="BJ30" s="219"/>
      <c r="BK30" s="219"/>
      <c r="BL30" s="219"/>
      <c r="BM30" s="219"/>
      <c r="BN30" s="219"/>
      <c r="BO30" s="219"/>
      <c r="BP30" s="219"/>
      <c r="BQ30" s="219"/>
      <c r="BR30" s="219"/>
      <c r="BS30" s="219"/>
      <c r="BT30" s="219"/>
      <c r="BU30" s="219"/>
      <c r="BV30" s="219"/>
      <c r="BW30" s="219"/>
    </row>
    <row r="31" spans="1:75" x14ac:dyDescent="0.25">
      <c r="A31" s="210">
        <v>28</v>
      </c>
      <c r="B31" s="211" t="s">
        <v>474</v>
      </c>
      <c r="C31" s="210">
        <v>6</v>
      </c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/>
      <c r="AI31" s="218"/>
      <c r="AJ31" s="218"/>
      <c r="AK31" s="218"/>
      <c r="AL31" s="218"/>
      <c r="AM31" s="218"/>
      <c r="AN31" s="218"/>
      <c r="AO31" s="218"/>
      <c r="AP31" s="218"/>
      <c r="AQ31" s="218"/>
      <c r="AR31" s="218"/>
      <c r="AS31" s="218"/>
      <c r="AT31" s="218"/>
      <c r="AU31" s="218"/>
      <c r="AV31" s="218"/>
      <c r="AW31" s="218"/>
      <c r="AX31" s="218"/>
      <c r="AY31" s="218"/>
      <c r="AZ31" s="218"/>
      <c r="BA31" s="218"/>
      <c r="BB31" s="218"/>
      <c r="BC31" s="218"/>
      <c r="BD31" s="218"/>
      <c r="BE31" s="218"/>
      <c r="BF31" s="218"/>
      <c r="BG31" s="218"/>
      <c r="BH31" s="218"/>
      <c r="BI31" s="218"/>
      <c r="BJ31" s="218"/>
      <c r="BK31" s="218"/>
      <c r="BL31" s="218"/>
      <c r="BM31" s="218"/>
      <c r="BN31" s="218"/>
      <c r="BO31" s="218"/>
      <c r="BP31" s="218"/>
      <c r="BQ31" s="218"/>
      <c r="BR31" s="218"/>
      <c r="BS31" s="218"/>
      <c r="BT31" s="218"/>
      <c r="BU31" s="218"/>
      <c r="BV31" s="218"/>
      <c r="BW31" s="218"/>
    </row>
    <row r="32" spans="1:75" x14ac:dyDescent="0.25">
      <c r="A32" s="103">
        <v>29</v>
      </c>
      <c r="B32" s="213" t="str">
        <f>B14</f>
        <v>ACB</v>
      </c>
      <c r="C32" s="103">
        <v>6</v>
      </c>
      <c r="D32" s="219"/>
      <c r="E32" s="219"/>
      <c r="F32" s="219"/>
      <c r="G32" s="219"/>
      <c r="H32" s="219"/>
      <c r="I32" s="219"/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  <c r="AA32" s="219"/>
      <c r="AB32" s="219"/>
      <c r="AC32" s="219"/>
      <c r="AD32" s="219"/>
      <c r="AE32" s="219"/>
      <c r="AF32" s="219"/>
      <c r="AG32" s="219"/>
      <c r="AH32" s="219"/>
      <c r="AI32" s="219"/>
      <c r="AJ32" s="219"/>
      <c r="AK32" s="219"/>
      <c r="AL32" s="219"/>
      <c r="AM32" s="219"/>
      <c r="AN32" s="219"/>
      <c r="AO32" s="219"/>
      <c r="AP32" s="219"/>
      <c r="AQ32" s="219"/>
      <c r="AR32" s="219"/>
      <c r="AS32" s="219"/>
      <c r="AT32" s="219"/>
      <c r="AU32" s="219"/>
      <c r="AV32" s="219"/>
      <c r="AW32" s="219"/>
      <c r="AX32" s="219"/>
      <c r="AY32" s="219"/>
      <c r="AZ32" s="219"/>
      <c r="BA32" s="219"/>
      <c r="BB32" s="219"/>
      <c r="BC32" s="219"/>
      <c r="BD32" s="219"/>
      <c r="BE32" s="219"/>
      <c r="BF32" s="219"/>
      <c r="BG32" s="219"/>
      <c r="BH32" s="219"/>
      <c r="BI32" s="219"/>
      <c r="BJ32" s="219"/>
      <c r="BK32" s="219"/>
      <c r="BL32" s="219"/>
      <c r="BM32" s="219"/>
      <c r="BN32" s="219"/>
      <c r="BO32" s="219"/>
      <c r="BP32" s="219"/>
      <c r="BQ32" s="219"/>
      <c r="BR32" s="219"/>
      <c r="BS32" s="219"/>
      <c r="BT32" s="219"/>
      <c r="BU32" s="219"/>
      <c r="BV32" s="219"/>
      <c r="BW32" s="219"/>
    </row>
    <row r="33" spans="1:75" x14ac:dyDescent="0.25">
      <c r="A33" s="103">
        <v>30</v>
      </c>
      <c r="B33" s="213" t="str">
        <f>B15</f>
        <v>VietinBank</v>
      </c>
      <c r="C33" s="103">
        <v>6</v>
      </c>
      <c r="D33" s="219"/>
      <c r="E33" s="219"/>
      <c r="F33" s="219"/>
      <c r="G33" s="219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  <c r="AA33" s="219"/>
      <c r="AB33" s="219"/>
      <c r="AC33" s="219"/>
      <c r="AD33" s="219"/>
      <c r="AE33" s="219"/>
      <c r="AF33" s="219"/>
      <c r="AG33" s="219"/>
      <c r="AH33" s="219"/>
      <c r="AI33" s="219"/>
      <c r="AJ33" s="219"/>
      <c r="AK33" s="219"/>
      <c r="AL33" s="219"/>
      <c r="AM33" s="219"/>
      <c r="AN33" s="219"/>
      <c r="AO33" s="219"/>
      <c r="AP33" s="219"/>
      <c r="AQ33" s="219"/>
      <c r="AR33" s="219"/>
      <c r="AS33" s="219"/>
      <c r="AT33" s="219"/>
      <c r="AU33" s="219"/>
      <c r="AV33" s="219"/>
      <c r="AW33" s="219"/>
      <c r="AX33" s="219"/>
      <c r="AY33" s="219"/>
      <c r="AZ33" s="219"/>
      <c r="BA33" s="219"/>
      <c r="BB33" s="219"/>
      <c r="BC33" s="219"/>
      <c r="BD33" s="219"/>
      <c r="BE33" s="219"/>
      <c r="BF33" s="219"/>
      <c r="BG33" s="219"/>
      <c r="BH33" s="219"/>
      <c r="BI33" s="219"/>
      <c r="BJ33" s="219"/>
      <c r="BK33" s="219"/>
      <c r="BL33" s="219"/>
      <c r="BM33" s="219"/>
      <c r="BN33" s="219"/>
      <c r="BO33" s="219"/>
      <c r="BP33" s="219"/>
      <c r="BQ33" s="219"/>
      <c r="BR33" s="219"/>
      <c r="BS33" s="219"/>
      <c r="BT33" s="219"/>
      <c r="BU33" s="219"/>
      <c r="BV33" s="219"/>
      <c r="BW33" s="219"/>
    </row>
    <row r="34" spans="1:75" x14ac:dyDescent="0.25">
      <c r="A34" s="103">
        <v>31</v>
      </c>
      <c r="B34" s="213" t="str">
        <f>B16</f>
        <v>Vietcombank</v>
      </c>
      <c r="C34" s="103">
        <v>6</v>
      </c>
      <c r="D34" s="219"/>
      <c r="E34" s="219"/>
      <c r="F34" s="219"/>
      <c r="G34" s="219"/>
      <c r="H34" s="219"/>
      <c r="I34" s="219"/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  <c r="AA34" s="219"/>
      <c r="AB34" s="219"/>
      <c r="AC34" s="219"/>
      <c r="AD34" s="219"/>
      <c r="AE34" s="219"/>
      <c r="AF34" s="219"/>
      <c r="AG34" s="219"/>
      <c r="AH34" s="219"/>
      <c r="AI34" s="21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219"/>
      <c r="AU34" s="21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19"/>
      <c r="BG34" s="219"/>
      <c r="BH34" s="219"/>
      <c r="BI34" s="219"/>
      <c r="BJ34" s="219"/>
      <c r="BK34" s="219"/>
      <c r="BL34" s="219"/>
      <c r="BM34" s="219"/>
      <c r="BN34" s="219"/>
      <c r="BO34" s="219"/>
      <c r="BP34" s="219"/>
      <c r="BQ34" s="219"/>
      <c r="BR34" s="219"/>
      <c r="BS34" s="219"/>
      <c r="BT34" s="219"/>
      <c r="BU34" s="219"/>
      <c r="BV34" s="219"/>
      <c r="BW34" s="219"/>
    </row>
    <row r="35" spans="1:75" x14ac:dyDescent="0.25">
      <c r="A35" s="103">
        <v>32</v>
      </c>
      <c r="B35" s="213" t="s">
        <v>468</v>
      </c>
      <c r="C35" s="103">
        <v>6</v>
      </c>
      <c r="D35" s="219"/>
      <c r="E35" s="219"/>
      <c r="F35" s="219"/>
      <c r="G35" s="219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  <c r="AA35" s="219"/>
      <c r="AB35" s="219"/>
      <c r="AC35" s="219"/>
      <c r="AD35" s="219"/>
      <c r="AE35" s="219"/>
      <c r="AF35" s="219"/>
      <c r="AG35" s="219"/>
      <c r="AH35" s="219"/>
      <c r="AI35" s="21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219"/>
      <c r="AU35" s="21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19"/>
      <c r="BG35" s="219"/>
      <c r="BH35" s="219"/>
      <c r="BI35" s="219"/>
      <c r="BJ35" s="219"/>
      <c r="BK35" s="219"/>
      <c r="BL35" s="219"/>
      <c r="BM35" s="219"/>
      <c r="BN35" s="219"/>
      <c r="BO35" s="219"/>
      <c r="BP35" s="219"/>
      <c r="BQ35" s="219"/>
      <c r="BR35" s="219"/>
      <c r="BS35" s="219"/>
      <c r="BT35" s="219"/>
      <c r="BU35" s="219"/>
      <c r="BV35" s="219"/>
      <c r="BW35" s="219"/>
    </row>
    <row r="36" spans="1:75" x14ac:dyDescent="0.25">
      <c r="A36" s="103">
        <v>33</v>
      </c>
      <c r="B36" s="213" t="str">
        <f>B18</f>
        <v>Standard Chartered</v>
      </c>
      <c r="C36" s="103">
        <v>6</v>
      </c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  <c r="AA36" s="219"/>
      <c r="AB36" s="219"/>
      <c r="AC36" s="219"/>
      <c r="AD36" s="219"/>
      <c r="AE36" s="219"/>
      <c r="AF36" s="219"/>
      <c r="AG36" s="219"/>
      <c r="AH36" s="219"/>
      <c r="AI36" s="21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219"/>
      <c r="AU36" s="21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19"/>
      <c r="BG36" s="219"/>
      <c r="BH36" s="219"/>
      <c r="BI36" s="219"/>
      <c r="BJ36" s="219"/>
      <c r="BK36" s="219"/>
      <c r="BL36" s="219"/>
      <c r="BM36" s="219"/>
      <c r="BN36" s="219"/>
      <c r="BO36" s="219"/>
      <c r="BP36" s="219"/>
      <c r="BQ36" s="219"/>
      <c r="BR36" s="219"/>
      <c r="BS36" s="219"/>
      <c r="BT36" s="219"/>
      <c r="BU36" s="219"/>
      <c r="BV36" s="219"/>
      <c r="BW36" s="219"/>
    </row>
    <row r="37" spans="1:75" x14ac:dyDescent="0.25">
      <c r="A37" s="103">
        <v>34</v>
      </c>
      <c r="B37" s="213" t="s">
        <v>470</v>
      </c>
      <c r="C37" s="103">
        <v>6</v>
      </c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  <c r="AA37" s="219"/>
      <c r="AB37" s="219"/>
      <c r="AC37" s="219"/>
      <c r="AD37" s="219"/>
      <c r="AE37" s="219"/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219"/>
      <c r="AU37" s="21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19"/>
      <c r="BG37" s="219"/>
      <c r="BH37" s="219"/>
      <c r="BI37" s="219"/>
      <c r="BJ37" s="219"/>
      <c r="BK37" s="219"/>
      <c r="BL37" s="219"/>
      <c r="BM37" s="219"/>
      <c r="BN37" s="219"/>
      <c r="BO37" s="219"/>
      <c r="BP37" s="219"/>
      <c r="BQ37" s="219"/>
      <c r="BR37" s="219"/>
      <c r="BS37" s="219"/>
      <c r="BT37" s="219"/>
      <c r="BU37" s="219"/>
      <c r="BV37" s="219"/>
      <c r="BW37" s="219"/>
    </row>
    <row r="38" spans="1:75" x14ac:dyDescent="0.25">
      <c r="A38" s="103">
        <v>35</v>
      </c>
      <c r="B38" s="213" t="s">
        <v>471</v>
      </c>
      <c r="C38" s="103">
        <v>6</v>
      </c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  <c r="AA38" s="219"/>
      <c r="AB38" s="219"/>
      <c r="AC38" s="219"/>
      <c r="AD38" s="219"/>
      <c r="AE38" s="219"/>
      <c r="AF38" s="219"/>
      <c r="AG38" s="219"/>
      <c r="AH38" s="219"/>
      <c r="AI38" s="219"/>
      <c r="AJ38" s="219"/>
      <c r="AK38" s="219"/>
      <c r="AL38" s="219"/>
      <c r="AM38" s="219"/>
      <c r="AN38" s="219"/>
      <c r="AO38" s="219"/>
      <c r="AP38" s="219"/>
      <c r="AQ38" s="219"/>
      <c r="AR38" s="219"/>
      <c r="AS38" s="219"/>
      <c r="AT38" s="219"/>
      <c r="AU38" s="219"/>
      <c r="AV38" s="219"/>
      <c r="AW38" s="219"/>
      <c r="AX38" s="219"/>
      <c r="AY38" s="219"/>
      <c r="AZ38" s="219"/>
      <c r="BA38" s="219"/>
      <c r="BB38" s="219"/>
      <c r="BC38" s="219"/>
      <c r="BD38" s="219"/>
      <c r="BE38" s="219"/>
      <c r="BF38" s="219"/>
      <c r="BG38" s="219"/>
      <c r="BH38" s="219"/>
      <c r="BI38" s="219"/>
      <c r="BJ38" s="219"/>
      <c r="BK38" s="219"/>
      <c r="BL38" s="219"/>
      <c r="BM38" s="219"/>
      <c r="BN38" s="219"/>
      <c r="BO38" s="219"/>
      <c r="BP38" s="219"/>
      <c r="BQ38" s="219"/>
      <c r="BR38" s="219"/>
      <c r="BS38" s="219"/>
      <c r="BT38" s="219"/>
      <c r="BU38" s="219"/>
      <c r="BV38" s="219"/>
      <c r="BW38" s="219"/>
    </row>
    <row r="39" spans="1:75" x14ac:dyDescent="0.25">
      <c r="A39" s="103">
        <v>36</v>
      </c>
      <c r="B39" s="87"/>
      <c r="C39" s="103">
        <v>6</v>
      </c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  <c r="AA39" s="219"/>
      <c r="AB39" s="219"/>
      <c r="AC39" s="219"/>
      <c r="AD39" s="219"/>
      <c r="AE39" s="219"/>
      <c r="AF39" s="219"/>
      <c r="AG39" s="219"/>
      <c r="AH39" s="219"/>
      <c r="AI39" s="219"/>
      <c r="AJ39" s="219"/>
      <c r="AK39" s="219"/>
      <c r="AL39" s="219"/>
      <c r="AM39" s="219"/>
      <c r="AN39" s="219"/>
      <c r="AO39" s="219"/>
      <c r="AP39" s="219"/>
      <c r="AQ39" s="219"/>
      <c r="AR39" s="219"/>
      <c r="AS39" s="219"/>
      <c r="AT39" s="219"/>
      <c r="AU39" s="219"/>
      <c r="AV39" s="219"/>
      <c r="AW39" s="219"/>
      <c r="AX39" s="219"/>
      <c r="AY39" s="219"/>
      <c r="AZ39" s="219"/>
      <c r="BA39" s="219"/>
      <c r="BB39" s="219"/>
      <c r="BC39" s="219"/>
      <c r="BD39" s="219"/>
      <c r="BE39" s="219"/>
      <c r="BF39" s="219"/>
      <c r="BG39" s="219"/>
      <c r="BH39" s="219"/>
      <c r="BI39" s="219"/>
      <c r="BJ39" s="219"/>
      <c r="BK39" s="219"/>
      <c r="BL39" s="219"/>
      <c r="BM39" s="219"/>
      <c r="BN39" s="219"/>
      <c r="BO39" s="219"/>
      <c r="BP39" s="219"/>
      <c r="BQ39" s="219"/>
      <c r="BR39" s="219"/>
      <c r="BS39" s="219"/>
      <c r="BT39" s="219"/>
      <c r="BU39" s="219"/>
      <c r="BV39" s="219"/>
      <c r="BW39" s="219"/>
    </row>
    <row r="40" spans="1:75" x14ac:dyDescent="0.25">
      <c r="A40" s="214">
        <v>37</v>
      </c>
      <c r="B40" s="215" t="s">
        <v>475</v>
      </c>
      <c r="C40" s="103">
        <v>6</v>
      </c>
      <c r="D40" s="219"/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  <c r="AA40" s="219"/>
      <c r="AB40" s="219"/>
      <c r="AC40" s="219"/>
      <c r="AD40" s="219"/>
      <c r="AE40" s="219"/>
      <c r="AF40" s="219"/>
      <c r="AG40" s="219"/>
      <c r="AH40" s="219"/>
      <c r="AI40" s="219"/>
      <c r="AJ40" s="219"/>
      <c r="AK40" s="219"/>
      <c r="AL40" s="219"/>
      <c r="AM40" s="219"/>
      <c r="AN40" s="219"/>
      <c r="AO40" s="219"/>
      <c r="AP40" s="219"/>
      <c r="AQ40" s="219"/>
      <c r="AR40" s="219"/>
      <c r="AS40" s="219"/>
      <c r="AT40" s="219"/>
      <c r="AU40" s="219"/>
      <c r="AV40" s="219"/>
      <c r="AW40" s="219"/>
      <c r="AX40" s="219"/>
      <c r="AY40" s="219"/>
      <c r="AZ40" s="219"/>
      <c r="BA40" s="219"/>
      <c r="BB40" s="219"/>
      <c r="BC40" s="219"/>
      <c r="BD40" s="219"/>
      <c r="BE40" s="219"/>
      <c r="BF40" s="219"/>
      <c r="BG40" s="219"/>
      <c r="BH40" s="219"/>
      <c r="BI40" s="219"/>
      <c r="BJ40" s="219"/>
      <c r="BK40" s="219"/>
      <c r="BL40" s="219"/>
      <c r="BM40" s="219"/>
      <c r="BN40" s="219"/>
      <c r="BO40" s="219"/>
      <c r="BP40" s="219"/>
      <c r="BQ40" s="219"/>
      <c r="BR40" s="219"/>
      <c r="BS40" s="219"/>
      <c r="BT40" s="219"/>
      <c r="BU40" s="219"/>
      <c r="BV40" s="219"/>
      <c r="BW40" s="219"/>
    </row>
    <row r="41" spans="1:75" x14ac:dyDescent="0.25">
      <c r="A41" s="103">
        <v>38</v>
      </c>
      <c r="B41" s="213" t="str">
        <f t="shared" ref="B41:B47" si="1">B32</f>
        <v>ACB</v>
      </c>
      <c r="C41" s="103">
        <v>6</v>
      </c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  <c r="AA41" s="219"/>
      <c r="AB41" s="219"/>
      <c r="AC41" s="219"/>
      <c r="AD41" s="219"/>
      <c r="AE41" s="219"/>
      <c r="AF41" s="219"/>
      <c r="AG41" s="219"/>
      <c r="AH41" s="219"/>
      <c r="AI41" s="21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219"/>
      <c r="AU41" s="21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19"/>
      <c r="BG41" s="219"/>
      <c r="BH41" s="219"/>
      <c r="BI41" s="219"/>
      <c r="BJ41" s="219"/>
      <c r="BK41" s="219"/>
      <c r="BL41" s="219"/>
      <c r="BM41" s="219"/>
      <c r="BN41" s="219"/>
      <c r="BO41" s="219"/>
      <c r="BP41" s="219"/>
      <c r="BQ41" s="219"/>
      <c r="BR41" s="219"/>
      <c r="BS41" s="219"/>
      <c r="BT41" s="219"/>
      <c r="BU41" s="219"/>
      <c r="BV41" s="219"/>
      <c r="BW41" s="219"/>
    </row>
    <row r="42" spans="1:75" x14ac:dyDescent="0.25">
      <c r="A42" s="103">
        <v>39</v>
      </c>
      <c r="B42" s="213" t="str">
        <f t="shared" si="1"/>
        <v>VietinBank</v>
      </c>
      <c r="C42" s="103">
        <v>6</v>
      </c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  <c r="AA42" s="219"/>
      <c r="AB42" s="219"/>
      <c r="AC42" s="219"/>
      <c r="AD42" s="219"/>
      <c r="AE42" s="219"/>
      <c r="AF42" s="219"/>
      <c r="AG42" s="219"/>
      <c r="AH42" s="219"/>
      <c r="AI42" s="21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219"/>
      <c r="AU42" s="21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19"/>
      <c r="BG42" s="219"/>
      <c r="BH42" s="219"/>
      <c r="BI42" s="219"/>
      <c r="BJ42" s="219"/>
      <c r="BK42" s="219"/>
      <c r="BL42" s="219"/>
      <c r="BM42" s="219"/>
      <c r="BN42" s="219"/>
      <c r="BO42" s="219"/>
      <c r="BP42" s="219"/>
      <c r="BQ42" s="219"/>
      <c r="BR42" s="219"/>
      <c r="BS42" s="219"/>
      <c r="BT42" s="219"/>
      <c r="BU42" s="219"/>
      <c r="BV42" s="219"/>
      <c r="BW42" s="219"/>
    </row>
    <row r="43" spans="1:75" x14ac:dyDescent="0.25">
      <c r="A43" s="103">
        <v>40</v>
      </c>
      <c r="B43" s="213" t="str">
        <f t="shared" si="1"/>
        <v>Vietcombank</v>
      </c>
      <c r="C43" s="103">
        <v>6</v>
      </c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19"/>
      <c r="BG43" s="219"/>
      <c r="BH43" s="219"/>
      <c r="BI43" s="219"/>
      <c r="BJ43" s="219"/>
      <c r="BK43" s="219"/>
      <c r="BL43" s="219"/>
      <c r="BM43" s="219"/>
      <c r="BN43" s="219"/>
      <c r="BO43" s="219"/>
      <c r="BP43" s="219"/>
      <c r="BQ43" s="219"/>
      <c r="BR43" s="219"/>
      <c r="BS43" s="219"/>
      <c r="BT43" s="219"/>
      <c r="BU43" s="219"/>
      <c r="BV43" s="219"/>
      <c r="BW43" s="219"/>
    </row>
    <row r="44" spans="1:75" x14ac:dyDescent="0.25">
      <c r="A44" s="103">
        <v>41</v>
      </c>
      <c r="B44" s="213" t="str">
        <f t="shared" si="1"/>
        <v>BIDV</v>
      </c>
      <c r="C44" s="103">
        <v>6</v>
      </c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  <c r="AA44" s="219"/>
      <c r="AB44" s="219"/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219"/>
      <c r="AU44" s="21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19"/>
      <c r="BG44" s="219"/>
      <c r="BH44" s="219"/>
      <c r="BI44" s="219"/>
      <c r="BJ44" s="219"/>
      <c r="BK44" s="219"/>
      <c r="BL44" s="219"/>
      <c r="BM44" s="219"/>
      <c r="BN44" s="219"/>
      <c r="BO44" s="219"/>
      <c r="BP44" s="219"/>
      <c r="BQ44" s="219"/>
      <c r="BR44" s="219"/>
      <c r="BS44" s="219"/>
      <c r="BT44" s="219"/>
      <c r="BU44" s="219"/>
      <c r="BV44" s="219"/>
      <c r="BW44" s="219"/>
    </row>
    <row r="45" spans="1:75" x14ac:dyDescent="0.25">
      <c r="A45" s="103">
        <v>42</v>
      </c>
      <c r="B45" s="213" t="str">
        <f t="shared" si="1"/>
        <v>Standard Chartered</v>
      </c>
      <c r="C45" s="103">
        <v>6</v>
      </c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  <c r="AA45" s="219"/>
      <c r="AB45" s="219"/>
      <c r="AC45" s="219"/>
      <c r="AD45" s="219"/>
      <c r="AE45" s="219"/>
      <c r="AF45" s="219"/>
      <c r="AG45" s="219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19"/>
      <c r="AT45" s="219"/>
      <c r="AU45" s="219"/>
      <c r="AV45" s="219"/>
      <c r="AW45" s="219"/>
      <c r="AX45" s="219"/>
      <c r="AY45" s="219"/>
      <c r="AZ45" s="219"/>
      <c r="BA45" s="219"/>
      <c r="BB45" s="219"/>
      <c r="BC45" s="219"/>
      <c r="BD45" s="219"/>
      <c r="BE45" s="219"/>
      <c r="BF45" s="219"/>
      <c r="BG45" s="219"/>
      <c r="BH45" s="219"/>
      <c r="BI45" s="219"/>
      <c r="BJ45" s="219"/>
      <c r="BK45" s="219"/>
      <c r="BL45" s="219"/>
      <c r="BM45" s="219"/>
      <c r="BN45" s="219"/>
      <c r="BO45" s="219"/>
      <c r="BP45" s="219"/>
      <c r="BQ45" s="219"/>
      <c r="BR45" s="219"/>
      <c r="BS45" s="219"/>
      <c r="BT45" s="219"/>
      <c r="BU45" s="219"/>
      <c r="BV45" s="219"/>
      <c r="BW45" s="219"/>
    </row>
    <row r="46" spans="1:75" x14ac:dyDescent="0.25">
      <c r="A46" s="103">
        <v>43</v>
      </c>
      <c r="B46" s="213" t="str">
        <f t="shared" si="1"/>
        <v>VILC</v>
      </c>
      <c r="C46" s="103">
        <v>6</v>
      </c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  <c r="AB46" s="219"/>
      <c r="AC46" s="219"/>
      <c r="AD46" s="219"/>
      <c r="AE46" s="219"/>
      <c r="AF46" s="219"/>
      <c r="AG46" s="219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19"/>
      <c r="AT46" s="219"/>
      <c r="AU46" s="219"/>
      <c r="AV46" s="219"/>
      <c r="AW46" s="219"/>
      <c r="AX46" s="219"/>
      <c r="AY46" s="219"/>
      <c r="AZ46" s="219"/>
      <c r="BA46" s="219"/>
      <c r="BB46" s="219"/>
      <c r="BC46" s="219"/>
      <c r="BD46" s="219"/>
      <c r="BE46" s="219"/>
      <c r="BF46" s="219"/>
      <c r="BG46" s="219"/>
      <c r="BH46" s="219"/>
      <c r="BI46" s="219"/>
      <c r="BJ46" s="219"/>
      <c r="BK46" s="219"/>
      <c r="BL46" s="219"/>
      <c r="BM46" s="219"/>
      <c r="BN46" s="219"/>
      <c r="BO46" s="219"/>
      <c r="BP46" s="219"/>
      <c r="BQ46" s="219"/>
      <c r="BR46" s="219"/>
      <c r="BS46" s="219"/>
      <c r="BT46" s="219"/>
      <c r="BU46" s="219"/>
      <c r="BV46" s="219"/>
      <c r="BW46" s="219"/>
    </row>
    <row r="47" spans="1:75" x14ac:dyDescent="0.25">
      <c r="A47" s="103">
        <v>44</v>
      </c>
      <c r="B47" s="213" t="str">
        <f t="shared" si="1"/>
        <v>IVB</v>
      </c>
      <c r="C47" s="103">
        <v>6</v>
      </c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  <c r="AC47" s="219"/>
      <c r="AD47" s="219"/>
      <c r="AE47" s="219"/>
      <c r="AF47" s="219"/>
      <c r="AG47" s="219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19"/>
      <c r="AT47" s="219"/>
      <c r="AU47" s="219"/>
      <c r="AV47" s="219"/>
      <c r="AW47" s="219"/>
      <c r="AX47" s="219"/>
      <c r="AY47" s="219"/>
      <c r="AZ47" s="219"/>
      <c r="BA47" s="219"/>
      <c r="BB47" s="219"/>
      <c r="BC47" s="219"/>
      <c r="BD47" s="219"/>
      <c r="BE47" s="219"/>
      <c r="BF47" s="219"/>
      <c r="BG47" s="219"/>
      <c r="BH47" s="219"/>
      <c r="BI47" s="219"/>
      <c r="BJ47" s="219"/>
      <c r="BK47" s="219"/>
      <c r="BL47" s="219"/>
      <c r="BM47" s="219"/>
      <c r="BN47" s="219"/>
      <c r="BO47" s="219"/>
      <c r="BP47" s="219"/>
      <c r="BQ47" s="219"/>
      <c r="BR47" s="219"/>
      <c r="BS47" s="219"/>
      <c r="BT47" s="219"/>
      <c r="BU47" s="219"/>
      <c r="BV47" s="219"/>
      <c r="BW47" s="219"/>
    </row>
    <row r="48" spans="1:75" x14ac:dyDescent="0.25">
      <c r="A48" s="103">
        <v>45</v>
      </c>
      <c r="B48" s="213"/>
      <c r="C48" s="103">
        <v>6</v>
      </c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  <c r="AA48" s="219"/>
      <c r="AB48" s="219"/>
      <c r="AC48" s="219"/>
      <c r="AD48" s="219"/>
      <c r="AE48" s="219"/>
      <c r="AF48" s="219"/>
      <c r="AG48" s="219"/>
      <c r="AH48" s="219"/>
      <c r="AI48" s="21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219"/>
      <c r="AU48" s="21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19"/>
      <c r="BG48" s="219"/>
      <c r="BH48" s="219"/>
      <c r="BI48" s="219"/>
      <c r="BJ48" s="219"/>
      <c r="BK48" s="219"/>
      <c r="BL48" s="219"/>
      <c r="BM48" s="219"/>
      <c r="BN48" s="219"/>
      <c r="BO48" s="219"/>
      <c r="BP48" s="219"/>
      <c r="BQ48" s="219"/>
      <c r="BR48" s="219"/>
      <c r="BS48" s="219"/>
      <c r="BT48" s="219"/>
      <c r="BU48" s="219"/>
      <c r="BV48" s="219"/>
      <c r="BW48" s="219"/>
    </row>
    <row r="49" spans="1:75" ht="15.75" thickBot="1" x14ac:dyDescent="0.3">
      <c r="A49" s="216">
        <v>46</v>
      </c>
      <c r="B49" s="217" t="s">
        <v>476</v>
      </c>
      <c r="C49" s="216">
        <v>6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  <c r="AD49" s="220"/>
      <c r="AE49" s="220"/>
      <c r="AF49" s="220"/>
      <c r="AG49" s="220"/>
      <c r="AH49" s="220"/>
      <c r="AI49" s="220"/>
      <c r="AJ49" s="220"/>
      <c r="AK49" s="220"/>
      <c r="AL49" s="220"/>
      <c r="AM49" s="220"/>
      <c r="AN49" s="220"/>
      <c r="AO49" s="220"/>
      <c r="AP49" s="220"/>
      <c r="AQ49" s="220"/>
      <c r="AR49" s="220"/>
      <c r="AS49" s="220"/>
      <c r="AT49" s="220"/>
      <c r="AU49" s="220"/>
      <c r="AV49" s="220"/>
      <c r="AW49" s="220"/>
      <c r="AX49" s="220"/>
      <c r="AY49" s="220"/>
      <c r="AZ49" s="220"/>
      <c r="BA49" s="220"/>
      <c r="BB49" s="220"/>
      <c r="BC49" s="220"/>
      <c r="BD49" s="220"/>
      <c r="BE49" s="220"/>
      <c r="BF49" s="220"/>
      <c r="BG49" s="220"/>
      <c r="BH49" s="220"/>
      <c r="BI49" s="220"/>
      <c r="BJ49" s="220"/>
      <c r="BK49" s="220"/>
      <c r="BL49" s="220"/>
      <c r="BM49" s="220"/>
      <c r="BN49" s="220"/>
      <c r="BO49" s="220"/>
      <c r="BP49" s="220"/>
      <c r="BQ49" s="220"/>
      <c r="BR49" s="220"/>
      <c r="BS49" s="220"/>
      <c r="BT49" s="220"/>
      <c r="BU49" s="220"/>
      <c r="BV49" s="220"/>
      <c r="BW49" s="220"/>
    </row>
    <row r="50" spans="1:75" ht="15.75" thickTop="1" x14ac:dyDescent="0.25">
      <c r="A50" s="103">
        <v>47</v>
      </c>
      <c r="B50" s="213" t="str">
        <f t="shared" ref="B50:B55" si="2">B32</f>
        <v>ACB</v>
      </c>
      <c r="C50" s="103">
        <v>6</v>
      </c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  <c r="AA50" s="219"/>
      <c r="AB50" s="219"/>
      <c r="AC50" s="219"/>
      <c r="AD50" s="219"/>
      <c r="AE50" s="219"/>
      <c r="AF50" s="219"/>
      <c r="AG50" s="219"/>
      <c r="AH50" s="219"/>
      <c r="AI50" s="21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219"/>
      <c r="AU50" s="21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19"/>
      <c r="BG50" s="219"/>
      <c r="BH50" s="219"/>
      <c r="BI50" s="219"/>
      <c r="BJ50" s="219"/>
      <c r="BK50" s="219"/>
      <c r="BL50" s="219"/>
      <c r="BM50" s="219"/>
      <c r="BN50" s="219"/>
      <c r="BO50" s="219"/>
      <c r="BP50" s="219"/>
      <c r="BQ50" s="219"/>
      <c r="BR50" s="219"/>
      <c r="BS50" s="219"/>
      <c r="BT50" s="219"/>
      <c r="BU50" s="219"/>
      <c r="BV50" s="219"/>
      <c r="BW50" s="219"/>
    </row>
    <row r="51" spans="1:75" x14ac:dyDescent="0.25">
      <c r="A51" s="103">
        <v>48</v>
      </c>
      <c r="B51" s="213" t="str">
        <f t="shared" si="2"/>
        <v>VietinBank</v>
      </c>
      <c r="C51" s="103">
        <v>6</v>
      </c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  <c r="AA51" s="219"/>
      <c r="AB51" s="219"/>
      <c r="AC51" s="219"/>
      <c r="AD51" s="219"/>
      <c r="AE51" s="219"/>
      <c r="AF51" s="219"/>
      <c r="AG51" s="219"/>
      <c r="AH51" s="219"/>
      <c r="AI51" s="21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219"/>
      <c r="AU51" s="21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19"/>
      <c r="BG51" s="219"/>
      <c r="BH51" s="219"/>
      <c r="BI51" s="219"/>
      <c r="BJ51" s="219"/>
      <c r="BK51" s="219"/>
      <c r="BL51" s="219"/>
      <c r="BM51" s="219"/>
      <c r="BN51" s="219"/>
      <c r="BO51" s="219"/>
      <c r="BP51" s="219"/>
      <c r="BQ51" s="219"/>
      <c r="BR51" s="219"/>
      <c r="BS51" s="219"/>
      <c r="BT51" s="219"/>
      <c r="BU51" s="219"/>
      <c r="BV51" s="219"/>
      <c r="BW51" s="219"/>
    </row>
    <row r="52" spans="1:75" x14ac:dyDescent="0.25">
      <c r="A52" s="103">
        <v>49</v>
      </c>
      <c r="B52" s="213" t="str">
        <f t="shared" si="2"/>
        <v>Vietcombank</v>
      </c>
      <c r="C52" s="103">
        <v>6</v>
      </c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  <c r="AA52" s="219"/>
      <c r="AB52" s="219"/>
      <c r="AC52" s="219"/>
      <c r="AD52" s="219"/>
      <c r="AE52" s="219"/>
      <c r="AF52" s="219"/>
      <c r="AG52" s="219"/>
      <c r="AH52" s="219"/>
      <c r="AI52" s="219"/>
      <c r="AJ52" s="219"/>
      <c r="AK52" s="219"/>
      <c r="AL52" s="219"/>
      <c r="AM52" s="219"/>
      <c r="AN52" s="219"/>
      <c r="AO52" s="219"/>
      <c r="AP52" s="219"/>
      <c r="AQ52" s="219"/>
      <c r="AR52" s="219"/>
      <c r="AS52" s="219"/>
      <c r="AT52" s="219"/>
      <c r="AU52" s="219"/>
      <c r="AV52" s="219"/>
      <c r="AW52" s="219"/>
      <c r="AX52" s="219"/>
      <c r="AY52" s="219"/>
      <c r="AZ52" s="219"/>
      <c r="BA52" s="219"/>
      <c r="BB52" s="219"/>
      <c r="BC52" s="219"/>
      <c r="BD52" s="219"/>
      <c r="BE52" s="219"/>
      <c r="BF52" s="219"/>
      <c r="BG52" s="219"/>
      <c r="BH52" s="219"/>
      <c r="BI52" s="219"/>
      <c r="BJ52" s="219"/>
      <c r="BK52" s="219"/>
      <c r="BL52" s="219"/>
      <c r="BM52" s="219"/>
      <c r="BN52" s="219"/>
      <c r="BO52" s="219"/>
      <c r="BP52" s="219"/>
      <c r="BQ52" s="219"/>
      <c r="BR52" s="219"/>
      <c r="BS52" s="219"/>
      <c r="BT52" s="219"/>
      <c r="BU52" s="219"/>
      <c r="BV52" s="219"/>
      <c r="BW52" s="219"/>
    </row>
    <row r="53" spans="1:75" x14ac:dyDescent="0.25">
      <c r="A53" s="103">
        <v>50</v>
      </c>
      <c r="B53" s="213" t="str">
        <f t="shared" si="2"/>
        <v>BIDV</v>
      </c>
      <c r="C53" s="103">
        <v>6</v>
      </c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  <c r="AA53" s="219"/>
      <c r="AB53" s="219"/>
      <c r="AC53" s="219"/>
      <c r="AD53" s="219"/>
      <c r="AE53" s="219"/>
      <c r="AF53" s="219"/>
      <c r="AG53" s="219"/>
      <c r="AH53" s="219"/>
      <c r="AI53" s="219"/>
      <c r="AJ53" s="219"/>
      <c r="AK53" s="219"/>
      <c r="AL53" s="219"/>
      <c r="AM53" s="219"/>
      <c r="AN53" s="219"/>
      <c r="AO53" s="219"/>
      <c r="AP53" s="219"/>
      <c r="AQ53" s="219"/>
      <c r="AR53" s="219"/>
      <c r="AS53" s="219"/>
      <c r="AT53" s="219"/>
      <c r="AU53" s="219"/>
      <c r="AV53" s="219"/>
      <c r="AW53" s="219"/>
      <c r="AX53" s="219"/>
      <c r="AY53" s="219"/>
      <c r="AZ53" s="219"/>
      <c r="BA53" s="219"/>
      <c r="BB53" s="219"/>
      <c r="BC53" s="219"/>
      <c r="BD53" s="219"/>
      <c r="BE53" s="219"/>
      <c r="BF53" s="219"/>
      <c r="BG53" s="219"/>
      <c r="BH53" s="219"/>
      <c r="BI53" s="219"/>
      <c r="BJ53" s="219"/>
      <c r="BK53" s="219"/>
      <c r="BL53" s="219"/>
      <c r="BM53" s="219"/>
      <c r="BN53" s="219"/>
      <c r="BO53" s="219"/>
      <c r="BP53" s="219"/>
      <c r="BQ53" s="219"/>
      <c r="BR53" s="219"/>
      <c r="BS53" s="219"/>
      <c r="BT53" s="219"/>
      <c r="BU53" s="219"/>
      <c r="BV53" s="219"/>
      <c r="BW53" s="219"/>
    </row>
    <row r="54" spans="1:75" x14ac:dyDescent="0.25">
      <c r="A54" s="103">
        <v>51</v>
      </c>
      <c r="B54" s="213" t="str">
        <f t="shared" si="2"/>
        <v>Standard Chartered</v>
      </c>
      <c r="C54" s="103">
        <v>6</v>
      </c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19"/>
      <c r="AT54" s="219"/>
      <c r="AU54" s="219"/>
      <c r="AV54" s="219"/>
      <c r="AW54" s="219"/>
      <c r="AX54" s="219"/>
      <c r="AY54" s="219"/>
      <c r="AZ54" s="219"/>
      <c r="BA54" s="219"/>
      <c r="BB54" s="219"/>
      <c r="BC54" s="219"/>
      <c r="BD54" s="219"/>
      <c r="BE54" s="219"/>
      <c r="BF54" s="219"/>
      <c r="BG54" s="219"/>
      <c r="BH54" s="219"/>
      <c r="BI54" s="219"/>
      <c r="BJ54" s="219"/>
      <c r="BK54" s="219"/>
      <c r="BL54" s="219"/>
      <c r="BM54" s="219"/>
      <c r="BN54" s="219"/>
      <c r="BO54" s="219"/>
      <c r="BP54" s="219"/>
      <c r="BQ54" s="219"/>
      <c r="BR54" s="219"/>
      <c r="BS54" s="219"/>
      <c r="BT54" s="219"/>
      <c r="BU54" s="219"/>
      <c r="BV54" s="219"/>
      <c r="BW54" s="219"/>
    </row>
    <row r="55" spans="1:75" x14ac:dyDescent="0.25">
      <c r="A55" s="103">
        <v>52</v>
      </c>
      <c r="B55" s="213" t="str">
        <f t="shared" si="2"/>
        <v>VILC</v>
      </c>
      <c r="C55" s="103">
        <v>6</v>
      </c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  <c r="AA55" s="219"/>
      <c r="AB55" s="219"/>
      <c r="AC55" s="219"/>
      <c r="AD55" s="219"/>
      <c r="AE55" s="219"/>
      <c r="AF55" s="219"/>
      <c r="AG55" s="219"/>
      <c r="AH55" s="219"/>
      <c r="AI55" s="21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219"/>
      <c r="AU55" s="21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19"/>
      <c r="BG55" s="219"/>
      <c r="BH55" s="219"/>
      <c r="BI55" s="219"/>
      <c r="BJ55" s="219"/>
      <c r="BK55" s="219"/>
      <c r="BL55" s="219"/>
      <c r="BM55" s="219"/>
      <c r="BN55" s="219"/>
      <c r="BO55" s="219"/>
      <c r="BP55" s="219"/>
      <c r="BQ55" s="219"/>
      <c r="BR55" s="219"/>
      <c r="BS55" s="219"/>
      <c r="BT55" s="219"/>
      <c r="BU55" s="219"/>
      <c r="BV55" s="219"/>
      <c r="BW55" s="219"/>
    </row>
    <row r="56" spans="1:75" x14ac:dyDescent="0.25">
      <c r="A56" s="103">
        <v>53</v>
      </c>
      <c r="B56" s="213" t="s">
        <v>471</v>
      </c>
      <c r="C56" s="103">
        <v>6</v>
      </c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  <c r="AA56" s="219"/>
      <c r="AB56" s="219"/>
      <c r="AC56" s="219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219"/>
      <c r="AU56" s="21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19"/>
      <c r="BG56" s="219"/>
      <c r="BH56" s="219"/>
      <c r="BI56" s="219"/>
      <c r="BJ56" s="219"/>
      <c r="BK56" s="219"/>
      <c r="BL56" s="219"/>
      <c r="BM56" s="219"/>
      <c r="BN56" s="219"/>
      <c r="BO56" s="219"/>
      <c r="BP56" s="219"/>
      <c r="BQ56" s="219"/>
      <c r="BR56" s="219"/>
      <c r="BS56" s="219"/>
      <c r="BT56" s="219"/>
      <c r="BU56" s="219"/>
      <c r="BV56" s="219"/>
      <c r="BW56" s="219"/>
    </row>
    <row r="57" spans="1:75" x14ac:dyDescent="0.25">
      <c r="A57" s="103">
        <v>54</v>
      </c>
      <c r="B57" s="87"/>
      <c r="C57" s="103">
        <v>6</v>
      </c>
      <c r="D57" s="221"/>
      <c r="E57" s="221"/>
      <c r="F57" s="221"/>
      <c r="G57" s="221"/>
      <c r="H57" s="221"/>
      <c r="I57" s="221"/>
      <c r="J57" s="221"/>
      <c r="K57" s="221"/>
      <c r="L57" s="221"/>
      <c r="M57" s="221"/>
      <c r="N57" s="221"/>
      <c r="O57" s="221"/>
      <c r="P57" s="221"/>
      <c r="Q57" s="221"/>
      <c r="R57" s="221"/>
      <c r="S57" s="221"/>
      <c r="T57" s="221"/>
      <c r="U57" s="221"/>
      <c r="V57" s="221"/>
      <c r="W57" s="221"/>
      <c r="X57" s="221"/>
      <c r="Y57" s="221"/>
      <c r="Z57" s="221"/>
      <c r="AA57" s="221"/>
      <c r="AB57" s="221"/>
      <c r="AC57" s="221"/>
      <c r="AD57" s="221"/>
      <c r="AE57" s="221"/>
      <c r="AF57" s="221"/>
      <c r="AG57" s="221"/>
      <c r="AH57" s="221"/>
      <c r="AI57" s="221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1"/>
      <c r="AU57" s="221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1"/>
      <c r="BG57" s="221"/>
      <c r="BH57" s="221"/>
      <c r="BI57" s="221"/>
      <c r="BJ57" s="221"/>
      <c r="BK57" s="221"/>
      <c r="BL57" s="221"/>
      <c r="BM57" s="221"/>
      <c r="BN57" s="221"/>
      <c r="BO57" s="221"/>
      <c r="BP57" s="221"/>
      <c r="BQ57" s="221"/>
      <c r="BR57" s="221"/>
      <c r="BS57" s="221"/>
      <c r="BT57" s="221"/>
      <c r="BU57" s="221"/>
      <c r="BV57" s="221"/>
      <c r="BW57" s="221"/>
    </row>
    <row r="58" spans="1:75" ht="15.75" thickBot="1" x14ac:dyDescent="0.3">
      <c r="A58" s="216">
        <v>55</v>
      </c>
      <c r="B58" s="217" t="s">
        <v>477</v>
      </c>
      <c r="C58" s="103">
        <v>6</v>
      </c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  <c r="S58" s="561"/>
      <c r="T58" s="561"/>
      <c r="U58" s="561"/>
      <c r="V58" s="561"/>
      <c r="W58" s="561"/>
      <c r="X58" s="561"/>
      <c r="Y58" s="561"/>
      <c r="Z58" s="561"/>
      <c r="AA58" s="561"/>
      <c r="AB58" s="561"/>
      <c r="AC58" s="561"/>
      <c r="AD58" s="561"/>
      <c r="AE58" s="561"/>
      <c r="AF58" s="561"/>
      <c r="AG58" s="561"/>
      <c r="AH58" s="561"/>
      <c r="AI58" s="561"/>
      <c r="AJ58" s="561"/>
      <c r="AK58" s="561"/>
      <c r="AL58" s="561"/>
      <c r="AM58" s="561"/>
      <c r="AN58" s="561"/>
      <c r="AO58" s="561"/>
      <c r="AP58" s="561"/>
      <c r="AQ58" s="561"/>
      <c r="AR58" s="561"/>
      <c r="AS58" s="561"/>
      <c r="AT58" s="561"/>
      <c r="AU58" s="561"/>
      <c r="AV58" s="561"/>
      <c r="AW58" s="561"/>
      <c r="AX58" s="561"/>
      <c r="AY58" s="561"/>
      <c r="AZ58" s="561">
        <f>SUM(AZ59:AZ65)</f>
        <v>2490854993</v>
      </c>
      <c r="BA58" s="561">
        <f t="shared" ref="BA58:BW58" si="3">SUM(BA59:BA65)</f>
        <v>185294992</v>
      </c>
      <c r="BB58" s="561">
        <f t="shared" si="3"/>
        <v>1965557775</v>
      </c>
      <c r="BC58" s="561">
        <f t="shared" si="3"/>
        <v>2763415028</v>
      </c>
      <c r="BD58" s="561">
        <f t="shared" si="3"/>
        <v>1067640621</v>
      </c>
      <c r="BE58" s="561">
        <f t="shared" si="3"/>
        <v>451065154</v>
      </c>
      <c r="BF58" s="561">
        <f t="shared" si="3"/>
        <v>1634425568</v>
      </c>
      <c r="BG58" s="561">
        <f t="shared" si="3"/>
        <v>2579320451</v>
      </c>
      <c r="BH58" s="561">
        <f t="shared" si="3"/>
        <v>6126662129</v>
      </c>
      <c r="BI58" s="561">
        <f t="shared" si="3"/>
        <v>3698290774</v>
      </c>
      <c r="BJ58" s="561">
        <f t="shared" si="3"/>
        <v>721260007</v>
      </c>
      <c r="BK58" s="561">
        <f t="shared" si="3"/>
        <v>4238403093</v>
      </c>
      <c r="BL58" s="561">
        <f t="shared" si="3"/>
        <v>1407173093</v>
      </c>
      <c r="BM58" s="561">
        <f t="shared" si="3"/>
        <v>631745340</v>
      </c>
      <c r="BN58" s="561">
        <f t="shared" si="3"/>
        <v>3935697259</v>
      </c>
      <c r="BO58" s="561">
        <f t="shared" si="3"/>
        <v>4877236461</v>
      </c>
      <c r="BP58" s="561">
        <f t="shared" si="3"/>
        <v>3586686577</v>
      </c>
      <c r="BQ58" s="561">
        <f t="shared" si="3"/>
        <v>0</v>
      </c>
      <c r="BR58" s="561">
        <f t="shared" si="3"/>
        <v>0</v>
      </c>
      <c r="BS58" s="561">
        <f t="shared" si="3"/>
        <v>0</v>
      </c>
      <c r="BT58" s="561">
        <f t="shared" si="3"/>
        <v>0</v>
      </c>
      <c r="BU58" s="561">
        <f t="shared" si="3"/>
        <v>0</v>
      </c>
      <c r="BV58" s="561">
        <f t="shared" si="3"/>
        <v>0</v>
      </c>
      <c r="BW58" s="561">
        <f t="shared" si="3"/>
        <v>0</v>
      </c>
    </row>
    <row r="59" spans="1:75" ht="15.75" thickTop="1" x14ac:dyDescent="0.25">
      <c r="A59" s="103">
        <v>56</v>
      </c>
      <c r="B59" s="213" t="str">
        <f t="shared" ref="B59:B64" si="4">B50</f>
        <v>ACB</v>
      </c>
      <c r="C59" s="103">
        <v>6</v>
      </c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  <c r="AA59" s="219"/>
      <c r="AB59" s="219"/>
      <c r="AC59" s="219"/>
      <c r="AD59" s="219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19"/>
      <c r="AT59" s="219"/>
      <c r="AU59" s="219"/>
      <c r="AV59" s="219"/>
      <c r="AW59" s="219"/>
      <c r="AX59" s="219"/>
      <c r="AY59" s="219"/>
      <c r="AZ59" s="219">
        <v>2490854993</v>
      </c>
      <c r="BA59" s="219">
        <v>185294992</v>
      </c>
      <c r="BB59" s="219">
        <v>1965557775</v>
      </c>
      <c r="BC59" s="219">
        <v>2763415028</v>
      </c>
      <c r="BD59" s="219">
        <v>1067640621</v>
      </c>
      <c r="BE59" s="219">
        <v>451065154</v>
      </c>
      <c r="BF59" s="219">
        <v>1634425568</v>
      </c>
      <c r="BG59" s="219">
        <v>2579320451</v>
      </c>
      <c r="BH59" s="219">
        <v>6126662129</v>
      </c>
      <c r="BI59" s="219">
        <v>3698290774</v>
      </c>
      <c r="BJ59" s="219">
        <v>721260007</v>
      </c>
      <c r="BK59" s="219">
        <v>4238403093</v>
      </c>
      <c r="BL59" s="219">
        <v>1407173093</v>
      </c>
      <c r="BM59" s="219">
        <v>631745340</v>
      </c>
      <c r="BN59" s="219">
        <v>3935697259</v>
      </c>
      <c r="BO59" s="219">
        <v>4877236461</v>
      </c>
      <c r="BP59" s="219">
        <f>3229455139+357231438</f>
        <v>3586686577</v>
      </c>
      <c r="BQ59" s="219"/>
      <c r="BR59" s="219"/>
      <c r="BS59" s="219"/>
      <c r="BT59" s="219"/>
      <c r="BU59" s="219"/>
      <c r="BV59" s="219"/>
      <c r="BW59" s="219"/>
    </row>
    <row r="60" spans="1:75" x14ac:dyDescent="0.25">
      <c r="A60" s="103">
        <v>57</v>
      </c>
      <c r="B60" s="213" t="str">
        <f t="shared" si="4"/>
        <v>VietinBank</v>
      </c>
      <c r="C60" s="103">
        <v>6</v>
      </c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  <c r="AA60" s="219"/>
      <c r="AB60" s="219"/>
      <c r="AC60" s="219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19"/>
      <c r="AT60" s="219"/>
      <c r="AU60" s="219"/>
      <c r="AV60" s="219"/>
      <c r="AW60" s="219"/>
      <c r="AX60" s="219"/>
      <c r="AY60" s="219"/>
      <c r="AZ60" s="219"/>
      <c r="BA60" s="219"/>
      <c r="BB60" s="219"/>
      <c r="BC60" s="219"/>
      <c r="BD60" s="219"/>
      <c r="BE60" s="219"/>
      <c r="BF60" s="219"/>
      <c r="BG60" s="219"/>
      <c r="BH60" s="219"/>
      <c r="BI60" s="219"/>
      <c r="BJ60" s="219"/>
      <c r="BK60" s="219"/>
      <c r="BL60" s="219"/>
      <c r="BM60" s="219"/>
      <c r="BN60" s="219"/>
      <c r="BO60" s="219"/>
      <c r="BP60" s="219"/>
      <c r="BQ60" s="219"/>
      <c r="BR60" s="219"/>
      <c r="BS60" s="219"/>
      <c r="BT60" s="219"/>
      <c r="BU60" s="219"/>
      <c r="BV60" s="219"/>
      <c r="BW60" s="219"/>
    </row>
    <row r="61" spans="1:75" x14ac:dyDescent="0.25">
      <c r="A61" s="103">
        <v>58</v>
      </c>
      <c r="B61" s="213" t="str">
        <f t="shared" si="4"/>
        <v>Vietcombank</v>
      </c>
      <c r="C61" s="103">
        <v>6</v>
      </c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  <c r="AA61" s="219"/>
      <c r="AB61" s="219"/>
      <c r="AC61" s="219"/>
      <c r="AD61" s="219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19"/>
      <c r="AT61" s="219"/>
      <c r="AU61" s="219"/>
      <c r="AV61" s="219"/>
      <c r="AW61" s="219"/>
      <c r="AX61" s="219"/>
      <c r="AY61" s="219"/>
      <c r="AZ61" s="219"/>
      <c r="BA61" s="219"/>
      <c r="BB61" s="219"/>
      <c r="BC61" s="219"/>
      <c r="BD61" s="219"/>
      <c r="BE61" s="219"/>
      <c r="BF61" s="219"/>
      <c r="BG61" s="219"/>
      <c r="BH61" s="219"/>
      <c r="BI61" s="219"/>
      <c r="BJ61" s="219"/>
      <c r="BK61" s="219"/>
      <c r="BL61" s="219"/>
      <c r="BM61" s="219"/>
      <c r="BN61" s="219"/>
      <c r="BO61" s="219"/>
      <c r="BP61" s="219"/>
      <c r="BQ61" s="219"/>
      <c r="BR61" s="219"/>
      <c r="BS61" s="219"/>
      <c r="BT61" s="219"/>
      <c r="BU61" s="219"/>
      <c r="BV61" s="219"/>
      <c r="BW61" s="219"/>
    </row>
    <row r="62" spans="1:75" x14ac:dyDescent="0.25">
      <c r="A62" s="103">
        <v>59</v>
      </c>
      <c r="B62" s="213" t="str">
        <f t="shared" si="4"/>
        <v>BIDV</v>
      </c>
      <c r="C62" s="103">
        <v>6</v>
      </c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  <c r="AA62" s="219"/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19"/>
      <c r="AT62" s="219"/>
      <c r="AU62" s="219"/>
      <c r="AV62" s="219"/>
      <c r="AW62" s="219"/>
      <c r="AX62" s="219"/>
      <c r="AY62" s="219"/>
      <c r="AZ62" s="219"/>
      <c r="BA62" s="219"/>
      <c r="BB62" s="219"/>
      <c r="BC62" s="219"/>
      <c r="BD62" s="219"/>
      <c r="BE62" s="219"/>
      <c r="BF62" s="219"/>
      <c r="BG62" s="219"/>
      <c r="BH62" s="219"/>
      <c r="BI62" s="219"/>
      <c r="BJ62" s="219"/>
      <c r="BK62" s="219"/>
      <c r="BL62" s="219"/>
      <c r="BM62" s="219"/>
      <c r="BN62" s="219"/>
      <c r="BO62" s="219"/>
      <c r="BP62" s="219"/>
      <c r="BQ62" s="219"/>
      <c r="BR62" s="219"/>
      <c r="BS62" s="219"/>
      <c r="BT62" s="219"/>
      <c r="BU62" s="219"/>
      <c r="BV62" s="219"/>
      <c r="BW62" s="219"/>
    </row>
    <row r="63" spans="1:75" x14ac:dyDescent="0.25">
      <c r="A63" s="103">
        <v>60</v>
      </c>
      <c r="B63" s="213" t="str">
        <f t="shared" si="4"/>
        <v>Standard Chartered</v>
      </c>
      <c r="C63" s="103">
        <v>6</v>
      </c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19"/>
      <c r="AT63" s="219"/>
      <c r="AU63" s="219"/>
      <c r="AV63" s="219"/>
      <c r="AW63" s="219"/>
      <c r="AX63" s="219"/>
      <c r="AY63" s="219"/>
      <c r="AZ63" s="219"/>
      <c r="BA63" s="219"/>
      <c r="BB63" s="219"/>
      <c r="BC63" s="219"/>
      <c r="BD63" s="219"/>
      <c r="BE63" s="219"/>
      <c r="BF63" s="219"/>
      <c r="BG63" s="219"/>
      <c r="BH63" s="219"/>
      <c r="BI63" s="219"/>
      <c r="BJ63" s="219"/>
      <c r="BK63" s="219"/>
      <c r="BL63" s="219"/>
      <c r="BM63" s="219"/>
      <c r="BN63" s="219"/>
      <c r="BO63" s="219"/>
      <c r="BP63" s="219"/>
      <c r="BQ63" s="219"/>
      <c r="BR63" s="219"/>
      <c r="BS63" s="219"/>
      <c r="BT63" s="219"/>
      <c r="BU63" s="219"/>
      <c r="BV63" s="219"/>
      <c r="BW63" s="219"/>
    </row>
    <row r="64" spans="1:75" x14ac:dyDescent="0.25">
      <c r="A64" s="103">
        <v>61</v>
      </c>
      <c r="B64" s="213" t="str">
        <f t="shared" si="4"/>
        <v>VILC</v>
      </c>
      <c r="C64" s="103">
        <v>6</v>
      </c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19"/>
      <c r="AT64" s="219"/>
      <c r="AU64" s="219"/>
      <c r="AV64" s="219"/>
      <c r="AW64" s="219"/>
      <c r="AX64" s="219"/>
      <c r="AY64" s="219"/>
      <c r="AZ64" s="219"/>
      <c r="BA64" s="219"/>
      <c r="BB64" s="219"/>
      <c r="BC64" s="219"/>
      <c r="BD64" s="219"/>
      <c r="BE64" s="219"/>
      <c r="BF64" s="219"/>
      <c r="BG64" s="219"/>
      <c r="BH64" s="219"/>
      <c r="BI64" s="219"/>
      <c r="BJ64" s="219"/>
      <c r="BK64" s="219"/>
      <c r="BL64" s="219"/>
      <c r="BM64" s="219"/>
      <c r="BN64" s="219"/>
      <c r="BO64" s="219"/>
      <c r="BP64" s="219"/>
      <c r="BQ64" s="219"/>
      <c r="BR64" s="219"/>
      <c r="BS64" s="219"/>
      <c r="BT64" s="219"/>
      <c r="BU64" s="219"/>
      <c r="BV64" s="219"/>
      <c r="BW64" s="219"/>
    </row>
    <row r="65" spans="1:75" x14ac:dyDescent="0.25">
      <c r="A65" s="103">
        <v>62</v>
      </c>
      <c r="B65" s="213" t="s">
        <v>471</v>
      </c>
      <c r="C65" s="103">
        <v>6</v>
      </c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19"/>
      <c r="AT65" s="219"/>
      <c r="AU65" s="219"/>
      <c r="AV65" s="219"/>
      <c r="AW65" s="219"/>
      <c r="AX65" s="219"/>
      <c r="AY65" s="219"/>
      <c r="AZ65" s="219"/>
      <c r="BA65" s="219"/>
      <c r="BB65" s="219"/>
      <c r="BC65" s="219"/>
      <c r="BD65" s="219"/>
      <c r="BE65" s="219"/>
      <c r="BF65" s="219"/>
      <c r="BG65" s="219"/>
      <c r="BH65" s="219"/>
      <c r="BI65" s="219"/>
      <c r="BJ65" s="219"/>
      <c r="BK65" s="219"/>
      <c r="BL65" s="219"/>
      <c r="BM65" s="219"/>
      <c r="BN65" s="219"/>
      <c r="BO65" s="219"/>
      <c r="BP65" s="219"/>
      <c r="BQ65" s="219"/>
      <c r="BR65" s="219"/>
      <c r="BS65" s="219"/>
      <c r="BT65" s="219"/>
      <c r="BU65" s="219"/>
      <c r="BV65" s="219"/>
      <c r="BW65" s="219"/>
    </row>
    <row r="66" spans="1:75" x14ac:dyDescent="0.25">
      <c r="A66" s="103">
        <v>63</v>
      </c>
      <c r="B66" s="213"/>
      <c r="C66" s="103">
        <v>6</v>
      </c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19"/>
      <c r="AT66" s="219"/>
      <c r="AU66" s="219"/>
      <c r="AV66" s="219"/>
      <c r="AW66" s="219"/>
      <c r="AX66" s="219"/>
      <c r="AY66" s="219"/>
      <c r="AZ66" s="219"/>
      <c r="BA66" s="219"/>
      <c r="BB66" s="219"/>
      <c r="BC66" s="219"/>
      <c r="BD66" s="219"/>
      <c r="BE66" s="219"/>
      <c r="BF66" s="219"/>
      <c r="BG66" s="219"/>
      <c r="BH66" s="219"/>
      <c r="BI66" s="219"/>
      <c r="BJ66" s="219"/>
      <c r="BK66" s="219"/>
      <c r="BL66" s="219"/>
      <c r="BM66" s="219"/>
      <c r="BN66" s="219"/>
      <c r="BO66" s="219"/>
      <c r="BP66" s="219"/>
      <c r="BQ66" s="219"/>
      <c r="BR66" s="219"/>
      <c r="BS66" s="219"/>
      <c r="BT66" s="219"/>
      <c r="BU66" s="219"/>
      <c r="BV66" s="219"/>
      <c r="BW66" s="219"/>
    </row>
    <row r="67" spans="1:75" ht="15.75" thickBot="1" x14ac:dyDescent="0.3">
      <c r="A67" s="216">
        <v>64</v>
      </c>
      <c r="B67" s="217" t="s">
        <v>478</v>
      </c>
      <c r="C67" s="103">
        <v>6</v>
      </c>
      <c r="D67" s="561"/>
      <c r="E67" s="561"/>
      <c r="F67" s="561"/>
      <c r="G67" s="561"/>
      <c r="H67" s="561"/>
      <c r="I67" s="561"/>
      <c r="J67" s="561"/>
      <c r="K67" s="561"/>
      <c r="L67" s="561"/>
      <c r="M67" s="561"/>
      <c r="N67" s="561"/>
      <c r="O67" s="561"/>
      <c r="P67" s="561"/>
      <c r="Q67" s="561"/>
      <c r="R67" s="561"/>
      <c r="S67" s="561"/>
      <c r="T67" s="561"/>
      <c r="U67" s="561"/>
      <c r="V67" s="561"/>
      <c r="W67" s="561"/>
      <c r="X67" s="561"/>
      <c r="Y67" s="561"/>
      <c r="Z67" s="561"/>
      <c r="AA67" s="561"/>
      <c r="AB67" s="561"/>
      <c r="AC67" s="561"/>
      <c r="AD67" s="561"/>
      <c r="AE67" s="561"/>
      <c r="AF67" s="561"/>
      <c r="AG67" s="561"/>
      <c r="AH67" s="561"/>
      <c r="AI67" s="561"/>
      <c r="AJ67" s="561"/>
      <c r="AK67" s="561"/>
      <c r="AL67" s="561"/>
      <c r="AM67" s="561"/>
      <c r="AN67" s="561"/>
      <c r="AO67" s="561"/>
      <c r="AP67" s="561"/>
      <c r="AQ67" s="561"/>
      <c r="AR67" s="561"/>
      <c r="AS67" s="561"/>
      <c r="AT67" s="561"/>
      <c r="AU67" s="561"/>
      <c r="AV67" s="561"/>
      <c r="AW67" s="561"/>
      <c r="AX67" s="561"/>
      <c r="AY67" s="561"/>
      <c r="AZ67" s="561">
        <f>SUM(AZ68:AZ74)</f>
        <v>202000000</v>
      </c>
      <c r="BA67" s="561">
        <f t="shared" ref="BA67:BK67" si="5">SUM(BA68:BA74)</f>
        <v>202000000</v>
      </c>
      <c r="BB67" s="561">
        <f t="shared" si="5"/>
        <v>202000000</v>
      </c>
      <c r="BC67" s="561">
        <f t="shared" si="5"/>
        <v>202000000</v>
      </c>
      <c r="BD67" s="561">
        <f t="shared" si="5"/>
        <v>202000000</v>
      </c>
      <c r="BE67" s="561">
        <f t="shared" si="5"/>
        <v>202000000</v>
      </c>
      <c r="BF67" s="561">
        <f t="shared" si="5"/>
        <v>202000000</v>
      </c>
      <c r="BG67" s="561">
        <f t="shared" si="5"/>
        <v>202000000</v>
      </c>
      <c r="BH67" s="561">
        <f t="shared" si="5"/>
        <v>202000000</v>
      </c>
      <c r="BI67" s="561">
        <f t="shared" si="5"/>
        <v>202000000</v>
      </c>
      <c r="BJ67" s="561">
        <f t="shared" si="5"/>
        <v>202000000</v>
      </c>
      <c r="BK67" s="561">
        <f t="shared" si="5"/>
        <v>202000000</v>
      </c>
      <c r="BL67" s="561">
        <f>SUM(BL68:BL74)</f>
        <v>202000000</v>
      </c>
      <c r="BM67" s="561">
        <f t="shared" ref="BM67:BW67" si="6">SUM(BM68:BM74)</f>
        <v>202000000</v>
      </c>
      <c r="BN67" s="561">
        <f t="shared" si="6"/>
        <v>202000000</v>
      </c>
      <c r="BO67" s="561">
        <f t="shared" si="6"/>
        <v>202000000</v>
      </c>
      <c r="BP67" s="561">
        <f t="shared" si="6"/>
        <v>202000000</v>
      </c>
      <c r="BQ67" s="561">
        <f t="shared" si="6"/>
        <v>0</v>
      </c>
      <c r="BR67" s="561">
        <f t="shared" si="6"/>
        <v>0</v>
      </c>
      <c r="BS67" s="561">
        <f t="shared" si="6"/>
        <v>0</v>
      </c>
      <c r="BT67" s="561">
        <f t="shared" si="6"/>
        <v>0</v>
      </c>
      <c r="BU67" s="561">
        <f t="shared" si="6"/>
        <v>0</v>
      </c>
      <c r="BV67" s="561">
        <f t="shared" si="6"/>
        <v>0</v>
      </c>
      <c r="BW67" s="561">
        <f t="shared" si="6"/>
        <v>0</v>
      </c>
    </row>
    <row r="68" spans="1:75" ht="15.75" thickTop="1" x14ac:dyDescent="0.25">
      <c r="A68" s="103">
        <v>65</v>
      </c>
      <c r="B68" s="213" t="str">
        <f t="shared" ref="B68:B73" si="7">B50</f>
        <v>ACB</v>
      </c>
      <c r="C68" s="103">
        <v>6</v>
      </c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19"/>
      <c r="AT68" s="219"/>
      <c r="AU68" s="219"/>
      <c r="AV68" s="219"/>
      <c r="AW68" s="219"/>
      <c r="AX68" s="219"/>
      <c r="AY68" s="219"/>
      <c r="AZ68" s="219">
        <v>202000000</v>
      </c>
      <c r="BA68" s="219">
        <v>202000000</v>
      </c>
      <c r="BB68" s="219">
        <v>202000000</v>
      </c>
      <c r="BC68" s="219">
        <v>202000000</v>
      </c>
      <c r="BD68" s="219">
        <v>202000000</v>
      </c>
      <c r="BE68" s="219">
        <v>202000000</v>
      </c>
      <c r="BF68" s="219">
        <v>202000000</v>
      </c>
      <c r="BG68" s="219">
        <v>202000000</v>
      </c>
      <c r="BH68" s="219">
        <v>202000000</v>
      </c>
      <c r="BI68" s="219">
        <f>202000000</f>
        <v>202000000</v>
      </c>
      <c r="BJ68" s="219">
        <f>202000000</f>
        <v>202000000</v>
      </c>
      <c r="BK68" s="219">
        <v>202000000</v>
      </c>
      <c r="BL68" s="219">
        <v>202000000</v>
      </c>
      <c r="BM68" s="219">
        <v>202000000</v>
      </c>
      <c r="BN68" s="219">
        <v>202000000</v>
      </c>
      <c r="BO68" s="219">
        <v>202000000</v>
      </c>
      <c r="BP68" s="219">
        <v>202000000</v>
      </c>
      <c r="BQ68" s="219"/>
      <c r="BR68" s="219"/>
      <c r="BS68" s="219"/>
      <c r="BT68" s="219"/>
      <c r="BU68" s="219"/>
      <c r="BV68" s="219"/>
      <c r="BW68" s="219"/>
    </row>
    <row r="69" spans="1:75" x14ac:dyDescent="0.25">
      <c r="A69" s="103">
        <v>66</v>
      </c>
      <c r="B69" s="213" t="str">
        <f t="shared" si="7"/>
        <v>VietinBank</v>
      </c>
      <c r="C69" s="103">
        <v>6</v>
      </c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219"/>
      <c r="BG69" s="219"/>
      <c r="BH69" s="219"/>
      <c r="BI69" s="219"/>
      <c r="BJ69" s="219"/>
      <c r="BK69" s="219"/>
      <c r="BL69" s="219"/>
      <c r="BM69" s="219"/>
      <c r="BN69" s="219"/>
      <c r="BO69" s="219"/>
      <c r="BP69" s="219"/>
      <c r="BQ69" s="219"/>
      <c r="BR69" s="219"/>
      <c r="BS69" s="219"/>
      <c r="BT69" s="219"/>
      <c r="BU69" s="219"/>
      <c r="BV69" s="219"/>
      <c r="BW69" s="219"/>
    </row>
    <row r="70" spans="1:75" x14ac:dyDescent="0.25">
      <c r="A70" s="103">
        <v>67</v>
      </c>
      <c r="B70" s="213" t="str">
        <f t="shared" si="7"/>
        <v>Vietcombank</v>
      </c>
      <c r="C70" s="103">
        <v>6</v>
      </c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219"/>
      <c r="BG70" s="219"/>
      <c r="BH70" s="219"/>
      <c r="BI70" s="219"/>
      <c r="BJ70" s="219"/>
      <c r="BK70" s="219"/>
      <c r="BL70" s="219"/>
      <c r="BM70" s="219"/>
      <c r="BN70" s="219"/>
      <c r="BO70" s="219"/>
      <c r="BP70" s="219"/>
      <c r="BQ70" s="219"/>
      <c r="BR70" s="219"/>
      <c r="BS70" s="219"/>
      <c r="BT70" s="219"/>
      <c r="BU70" s="219"/>
      <c r="BV70" s="219"/>
      <c r="BW70" s="219"/>
    </row>
    <row r="71" spans="1:75" x14ac:dyDescent="0.25">
      <c r="A71" s="103">
        <v>68</v>
      </c>
      <c r="B71" s="213" t="str">
        <f t="shared" si="7"/>
        <v>BIDV</v>
      </c>
      <c r="C71" s="103">
        <v>6</v>
      </c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219"/>
      <c r="BG71" s="219"/>
      <c r="BH71" s="219"/>
      <c r="BI71" s="219"/>
      <c r="BJ71" s="219"/>
      <c r="BK71" s="219"/>
      <c r="BL71" s="219"/>
      <c r="BM71" s="219"/>
      <c r="BN71" s="219"/>
      <c r="BO71" s="219"/>
      <c r="BP71" s="219"/>
      <c r="BQ71" s="219"/>
      <c r="BR71" s="219"/>
      <c r="BS71" s="219"/>
      <c r="BT71" s="219"/>
      <c r="BU71" s="219"/>
      <c r="BV71" s="219"/>
      <c r="BW71" s="219"/>
    </row>
    <row r="72" spans="1:75" x14ac:dyDescent="0.25">
      <c r="A72" s="103">
        <v>69</v>
      </c>
      <c r="B72" s="213" t="str">
        <f t="shared" si="7"/>
        <v>Standard Chartered</v>
      </c>
      <c r="C72" s="103">
        <v>6</v>
      </c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219"/>
      <c r="BG72" s="219"/>
      <c r="BH72" s="219"/>
      <c r="BI72" s="219"/>
      <c r="BJ72" s="219"/>
      <c r="BK72" s="219"/>
      <c r="BL72" s="219"/>
      <c r="BM72" s="219"/>
      <c r="BN72" s="219"/>
      <c r="BO72" s="219"/>
      <c r="BP72" s="219"/>
      <c r="BQ72" s="219"/>
      <c r="BR72" s="219"/>
      <c r="BS72" s="219"/>
      <c r="BT72" s="219"/>
      <c r="BU72" s="219"/>
      <c r="BV72" s="219"/>
      <c r="BW72" s="219"/>
    </row>
    <row r="73" spans="1:75" x14ac:dyDescent="0.25">
      <c r="A73" s="103">
        <v>70</v>
      </c>
      <c r="B73" s="213" t="str">
        <f t="shared" si="7"/>
        <v>VILC</v>
      </c>
      <c r="C73" s="103">
        <v>6</v>
      </c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219"/>
      <c r="BG73" s="219"/>
      <c r="BH73" s="219"/>
      <c r="BI73" s="219"/>
      <c r="BJ73" s="219"/>
      <c r="BK73" s="219"/>
      <c r="BL73" s="219"/>
      <c r="BM73" s="219"/>
      <c r="BN73" s="219"/>
      <c r="BO73" s="219"/>
      <c r="BP73" s="219"/>
      <c r="BQ73" s="219"/>
      <c r="BR73" s="219"/>
      <c r="BS73" s="219"/>
      <c r="BT73" s="219"/>
      <c r="BU73" s="219"/>
      <c r="BV73" s="219"/>
      <c r="BW73" s="219"/>
    </row>
    <row r="74" spans="1:75" x14ac:dyDescent="0.25">
      <c r="A74" s="103">
        <v>71</v>
      </c>
      <c r="B74" s="213" t="s">
        <v>471</v>
      </c>
      <c r="C74" s="103">
        <v>6</v>
      </c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219"/>
      <c r="BG74" s="219"/>
      <c r="BH74" s="219"/>
      <c r="BI74" s="219"/>
      <c r="BJ74" s="219"/>
      <c r="BK74" s="219"/>
      <c r="BL74" s="219"/>
      <c r="BM74" s="219"/>
      <c r="BN74" s="219"/>
      <c r="BO74" s="219"/>
      <c r="BP74" s="219"/>
      <c r="BQ74" s="219"/>
      <c r="BR74" s="219"/>
      <c r="BS74" s="219"/>
      <c r="BT74" s="219"/>
      <c r="BU74" s="219"/>
      <c r="BV74" s="219"/>
      <c r="BW74" s="219"/>
    </row>
  </sheetData>
  <sheetProtection algorithmName="SHA-512" hashValue="FjxAFawjF5WiwGCLNYSZdkv6HtUH6s97uGfuGn/BKNvVAm1Uv0GNnXCCMoPPAg1NVEvcrlrOY1P26f99LEea/w==" saltValue="Jh7hXerppKSY9HtGwX5muQ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E0A8-380F-4138-9773-037391CE1112}">
  <sheetPr>
    <tabColor theme="9" tint="0.59999389629810485"/>
  </sheetPr>
  <dimension ref="A1:AG481"/>
  <sheetViews>
    <sheetView showGridLines="0" zoomScale="90" zoomScaleNormal="90" workbookViewId="0">
      <pane xSplit="5" ySplit="6" topLeftCell="V462" activePane="bottomRight" state="frozen"/>
      <selection pane="topRight" activeCell="AZ4" sqref="AZ4"/>
      <selection pane="bottomLeft" activeCell="AZ4" sqref="AZ4"/>
      <selection pane="bottomRight" activeCell="V476" sqref="V476:W476"/>
    </sheetView>
  </sheetViews>
  <sheetFormatPr defaultColWidth="8.7109375" defaultRowHeight="12.75" outlineLevelRow="1" x14ac:dyDescent="0.2"/>
  <cols>
    <col min="1" max="1" width="3.42578125" style="406" customWidth="1"/>
    <col min="2" max="2" width="49.85546875" style="404" customWidth="1"/>
    <col min="3" max="3" width="12.140625" style="404" bestFit="1" customWidth="1"/>
    <col min="4" max="4" width="26" style="404" customWidth="1"/>
    <col min="5" max="5" width="7.85546875" style="404" customWidth="1"/>
    <col min="6" max="17" width="14.85546875" style="405" bestFit="1" customWidth="1"/>
    <col min="18" max="18" width="19" style="405" customWidth="1"/>
    <col min="19" max="19" width="14.85546875" style="405" bestFit="1" customWidth="1"/>
    <col min="20" max="21" width="14.85546875" style="404" bestFit="1" customWidth="1"/>
    <col min="22" max="30" width="15.42578125" style="404" customWidth="1"/>
    <col min="31" max="31" width="17.5703125" style="405" bestFit="1" customWidth="1"/>
    <col min="32" max="32" width="16.28515625" style="404" customWidth="1"/>
    <col min="33" max="33" width="11.28515625" style="404" bestFit="1" customWidth="1"/>
    <col min="34" max="16384" width="8.7109375" style="404"/>
  </cols>
  <sheetData>
    <row r="1" spans="1:31" x14ac:dyDescent="0.2">
      <c r="A1" s="403" t="str">
        <f>'Thong tin'!A1</f>
        <v>CÔNG TY TNHH THU MUA PHẾ LIỆU ĐẠI LỘC</v>
      </c>
    </row>
    <row r="2" spans="1:31" ht="13.35" customHeight="1" x14ac:dyDescent="0.2">
      <c r="B2" s="407" t="s">
        <v>479</v>
      </c>
      <c r="C2" s="407"/>
      <c r="D2" s="407"/>
      <c r="E2" s="407"/>
    </row>
    <row r="4" spans="1:31" x14ac:dyDescent="0.2">
      <c r="A4" s="408" t="s">
        <v>480</v>
      </c>
      <c r="B4" s="409" t="s">
        <v>481</v>
      </c>
      <c r="C4" s="409"/>
      <c r="D4" s="410"/>
      <c r="E4" s="410"/>
    </row>
    <row r="5" spans="1:31" x14ac:dyDescent="0.2">
      <c r="F5" s="411" t="s">
        <v>482</v>
      </c>
      <c r="G5" s="411"/>
      <c r="H5" s="411"/>
      <c r="I5" s="411"/>
      <c r="J5" s="411"/>
      <c r="K5" s="411"/>
      <c r="L5" s="411"/>
      <c r="M5" s="411"/>
      <c r="N5" s="411"/>
      <c r="O5" s="411"/>
      <c r="P5" s="411"/>
      <c r="Q5" s="411"/>
      <c r="R5" s="413"/>
      <c r="S5" s="411" t="s">
        <v>482</v>
      </c>
      <c r="T5" s="412"/>
      <c r="U5" s="412"/>
      <c r="V5" s="412"/>
      <c r="W5" s="412"/>
      <c r="X5" s="412"/>
      <c r="Y5" s="412"/>
      <c r="Z5" s="412"/>
      <c r="AA5" s="412"/>
      <c r="AB5" s="412"/>
      <c r="AC5" s="412"/>
      <c r="AD5" s="412"/>
      <c r="AE5" s="413"/>
    </row>
    <row r="6" spans="1:31" s="414" customFormat="1" ht="22.5" customHeight="1" x14ac:dyDescent="0.25">
      <c r="A6" s="531"/>
      <c r="B6" s="532" t="s">
        <v>483</v>
      </c>
      <c r="C6" s="532" t="s">
        <v>484</v>
      </c>
      <c r="D6" s="532" t="s">
        <v>485</v>
      </c>
      <c r="E6" s="533" t="s">
        <v>486</v>
      </c>
      <c r="F6" s="534" t="s">
        <v>487</v>
      </c>
      <c r="G6" s="534" t="s">
        <v>488</v>
      </c>
      <c r="H6" s="534" t="s">
        <v>489</v>
      </c>
      <c r="I6" s="534" t="s">
        <v>490</v>
      </c>
      <c r="J6" s="534" t="s">
        <v>491</v>
      </c>
      <c r="K6" s="534" t="s">
        <v>492</v>
      </c>
      <c r="L6" s="534" t="s">
        <v>493</v>
      </c>
      <c r="M6" s="534" t="s">
        <v>494</v>
      </c>
      <c r="N6" s="534" t="s">
        <v>495</v>
      </c>
      <c r="O6" s="534" t="s">
        <v>496</v>
      </c>
      <c r="P6" s="534" t="s">
        <v>497</v>
      </c>
      <c r="Q6" s="534" t="s">
        <v>498</v>
      </c>
      <c r="R6" s="535" t="s">
        <v>499</v>
      </c>
      <c r="S6" s="534" t="s">
        <v>487</v>
      </c>
      <c r="T6" s="534" t="s">
        <v>488</v>
      </c>
      <c r="U6" s="534" t="s">
        <v>489</v>
      </c>
      <c r="V6" s="534" t="s">
        <v>490</v>
      </c>
      <c r="W6" s="534" t="s">
        <v>491</v>
      </c>
      <c r="X6" s="534" t="s">
        <v>492</v>
      </c>
      <c r="Y6" s="534" t="s">
        <v>493</v>
      </c>
      <c r="Z6" s="534" t="s">
        <v>494</v>
      </c>
      <c r="AA6" s="534" t="s">
        <v>495</v>
      </c>
      <c r="AB6" s="534" t="s">
        <v>496</v>
      </c>
      <c r="AC6" s="534" t="s">
        <v>497</v>
      </c>
      <c r="AD6" s="534" t="s">
        <v>498</v>
      </c>
      <c r="AE6" s="535" t="s">
        <v>500</v>
      </c>
    </row>
    <row r="7" spans="1:31" s="414" customFormat="1" x14ac:dyDescent="0.2">
      <c r="A7" s="415" t="s">
        <v>501</v>
      </c>
      <c r="B7" s="536" t="s">
        <v>502</v>
      </c>
      <c r="C7" s="536"/>
      <c r="D7" s="532"/>
      <c r="E7" s="537"/>
      <c r="F7" s="538"/>
      <c r="G7" s="538"/>
      <c r="H7" s="538"/>
      <c r="I7" s="538"/>
      <c r="J7" s="538"/>
      <c r="K7" s="538"/>
      <c r="L7" s="538"/>
      <c r="M7" s="538"/>
      <c r="N7" s="538"/>
      <c r="O7" s="538"/>
      <c r="P7" s="538"/>
      <c r="Q7" s="538"/>
      <c r="R7" s="563"/>
      <c r="S7" s="538"/>
      <c r="T7" s="538"/>
      <c r="U7" s="538"/>
      <c r="V7" s="538"/>
      <c r="W7" s="538"/>
      <c r="X7" s="538"/>
      <c r="Y7" s="538"/>
      <c r="Z7" s="538"/>
      <c r="AA7" s="538"/>
      <c r="AB7" s="538"/>
      <c r="AC7" s="538"/>
      <c r="AD7" s="538"/>
      <c r="AE7" s="563"/>
    </row>
    <row r="8" spans="1:31" outlineLevel="1" x14ac:dyDescent="0.2">
      <c r="A8" s="416">
        <v>1</v>
      </c>
      <c r="B8" s="417" t="s">
        <v>503</v>
      </c>
      <c r="C8" s="417" t="s">
        <v>504</v>
      </c>
      <c r="D8" s="418" t="s">
        <v>505</v>
      </c>
      <c r="E8" s="419">
        <v>511</v>
      </c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564"/>
      <c r="S8" s="420"/>
      <c r="T8" s="420"/>
      <c r="U8" s="420"/>
      <c r="V8" s="420"/>
      <c r="W8" s="421"/>
      <c r="X8" s="420"/>
      <c r="Y8" s="420"/>
      <c r="Z8" s="420"/>
      <c r="AA8" s="420"/>
      <c r="AB8" s="420"/>
      <c r="AC8" s="420"/>
      <c r="AD8" s="420"/>
      <c r="AE8" s="564">
        <f>SUM(S8:AD8)</f>
        <v>0</v>
      </c>
    </row>
    <row r="9" spans="1:31" outlineLevel="1" x14ac:dyDescent="0.2">
      <c r="A9" s="422"/>
      <c r="B9" s="423"/>
      <c r="C9" s="423"/>
      <c r="D9" s="424" t="s">
        <v>506</v>
      </c>
      <c r="E9" s="425">
        <v>511</v>
      </c>
      <c r="F9" s="420"/>
      <c r="G9" s="420"/>
      <c r="H9" s="420"/>
      <c r="I9" s="420"/>
      <c r="J9" s="420"/>
      <c r="K9" s="420"/>
      <c r="L9" s="420"/>
      <c r="M9" s="420"/>
      <c r="N9" s="420"/>
      <c r="O9" s="420"/>
      <c r="P9" s="420"/>
      <c r="Q9" s="420"/>
      <c r="R9" s="564"/>
      <c r="S9" s="420"/>
      <c r="T9" s="420"/>
      <c r="U9" s="420"/>
      <c r="V9" s="420"/>
      <c r="W9" s="420"/>
      <c r="X9" s="420"/>
      <c r="Y9" s="420"/>
      <c r="Z9" s="420"/>
      <c r="AA9" s="420"/>
      <c r="AB9" s="420"/>
      <c r="AC9" s="420"/>
      <c r="AD9" s="420"/>
      <c r="AE9" s="564">
        <f t="shared" ref="AE9:AE80" si="0">SUM(S9:AD9)</f>
        <v>0</v>
      </c>
    </row>
    <row r="10" spans="1:31" outlineLevel="1" x14ac:dyDescent="0.2">
      <c r="A10" s="422"/>
      <c r="B10" s="423"/>
      <c r="C10" s="426"/>
      <c r="D10" s="426" t="s">
        <v>507</v>
      </c>
      <c r="E10" s="427">
        <v>711</v>
      </c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564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564">
        <f t="shared" si="0"/>
        <v>0</v>
      </c>
    </row>
    <row r="11" spans="1:31" outlineLevel="1" x14ac:dyDescent="0.2">
      <c r="A11" s="428"/>
      <c r="B11" s="423"/>
      <c r="C11" s="423"/>
      <c r="D11" s="423" t="s">
        <v>508</v>
      </c>
      <c r="E11" s="427">
        <v>515</v>
      </c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564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564">
        <f t="shared" si="0"/>
        <v>0</v>
      </c>
    </row>
    <row r="12" spans="1:31" outlineLevel="1" x14ac:dyDescent="0.2">
      <c r="A12" s="428"/>
      <c r="B12" s="423"/>
      <c r="C12" s="423"/>
      <c r="D12" s="423" t="s">
        <v>509</v>
      </c>
      <c r="E12" s="427">
        <v>112</v>
      </c>
      <c r="F12" s="420"/>
      <c r="G12" s="420"/>
      <c r="H12" s="420"/>
      <c r="I12" s="420"/>
      <c r="J12" s="420"/>
      <c r="K12" s="420"/>
      <c r="L12" s="420"/>
      <c r="M12" s="420"/>
      <c r="N12" s="420"/>
      <c r="O12" s="420"/>
      <c r="P12" s="420"/>
      <c r="Q12" s="420"/>
      <c r="R12" s="564"/>
      <c r="S12" s="420"/>
      <c r="T12" s="420"/>
      <c r="U12" s="420"/>
      <c r="V12" s="420"/>
      <c r="W12" s="420"/>
      <c r="X12" s="420"/>
      <c r="Y12" s="420"/>
      <c r="Z12" s="420"/>
      <c r="AA12" s="420"/>
      <c r="AB12" s="420"/>
      <c r="AC12" s="420"/>
      <c r="AD12" s="420"/>
      <c r="AE12" s="564">
        <f t="shared" si="0"/>
        <v>0</v>
      </c>
    </row>
    <row r="13" spans="1:31" outlineLevel="1" x14ac:dyDescent="0.2">
      <c r="A13" s="428"/>
      <c r="B13" s="423"/>
      <c r="C13" s="423"/>
      <c r="D13" s="429" t="s">
        <v>510</v>
      </c>
      <c r="E13" s="430">
        <v>511</v>
      </c>
      <c r="F13" s="420"/>
      <c r="G13" s="420"/>
      <c r="H13" s="420"/>
      <c r="I13" s="420"/>
      <c r="J13" s="420"/>
      <c r="K13" s="420"/>
      <c r="L13" s="420"/>
      <c r="M13" s="420"/>
      <c r="N13" s="420"/>
      <c r="O13" s="420"/>
      <c r="P13" s="420"/>
      <c r="Q13" s="420"/>
      <c r="R13" s="564"/>
      <c r="S13" s="420"/>
      <c r="T13" s="420"/>
      <c r="U13" s="420"/>
      <c r="V13" s="420"/>
      <c r="W13" s="420"/>
      <c r="X13" s="420"/>
      <c r="Y13" s="420"/>
      <c r="Z13" s="420"/>
      <c r="AA13" s="420"/>
      <c r="AB13" s="420"/>
      <c r="AC13" s="420"/>
      <c r="AD13" s="420"/>
      <c r="AE13" s="564">
        <f t="shared" si="0"/>
        <v>0</v>
      </c>
    </row>
    <row r="14" spans="1:31" outlineLevel="1" x14ac:dyDescent="0.2">
      <c r="A14" s="431"/>
      <c r="B14" s="432"/>
      <c r="C14" s="470"/>
      <c r="D14" s="433" t="s">
        <v>511</v>
      </c>
      <c r="E14" s="434" t="s">
        <v>512</v>
      </c>
      <c r="F14" s="435"/>
      <c r="G14" s="435"/>
      <c r="H14" s="435"/>
      <c r="I14" s="435"/>
      <c r="J14" s="435"/>
      <c r="K14" s="435"/>
      <c r="L14" s="435"/>
      <c r="M14" s="435"/>
      <c r="N14" s="435"/>
      <c r="O14" s="435"/>
      <c r="P14" s="435"/>
      <c r="Q14" s="435"/>
      <c r="R14" s="565"/>
      <c r="S14" s="435"/>
      <c r="T14" s="435"/>
      <c r="U14" s="435"/>
      <c r="V14" s="435"/>
      <c r="W14" s="435"/>
      <c r="X14" s="435"/>
      <c r="Y14" s="435"/>
      <c r="Z14" s="435"/>
      <c r="AA14" s="435"/>
      <c r="AB14" s="435"/>
      <c r="AC14" s="435"/>
      <c r="AD14" s="435"/>
      <c r="AE14" s="565">
        <f t="shared" si="0"/>
        <v>0</v>
      </c>
    </row>
    <row r="15" spans="1:31" s="585" customFormat="1" x14ac:dyDescent="0.2">
      <c r="A15" s="595">
        <v>2</v>
      </c>
      <c r="B15" s="596" t="s">
        <v>513</v>
      </c>
      <c r="C15" s="596" t="s">
        <v>514</v>
      </c>
      <c r="D15" s="597" t="s">
        <v>505</v>
      </c>
      <c r="E15" s="598">
        <v>511</v>
      </c>
      <c r="F15" s="583">
        <v>5415513442</v>
      </c>
      <c r="G15" s="583">
        <v>8720676928</v>
      </c>
      <c r="H15" s="583">
        <v>16369256392</v>
      </c>
      <c r="I15" s="583">
        <v>14727378536</v>
      </c>
      <c r="J15" s="583">
        <v>17551654527</v>
      </c>
      <c r="K15" s="583">
        <v>19081828667</v>
      </c>
      <c r="L15" s="583">
        <v>21677727714</v>
      </c>
      <c r="M15" s="583">
        <v>20888018360</v>
      </c>
      <c r="N15" s="583">
        <v>16605273560</v>
      </c>
      <c r="O15" s="583">
        <v>14447843500</v>
      </c>
      <c r="P15" s="583">
        <v>7332618600</v>
      </c>
      <c r="Q15" s="583">
        <v>10274722190</v>
      </c>
      <c r="R15" s="584">
        <f>SUM(F15:Q15)</f>
        <v>173092512416</v>
      </c>
      <c r="S15" s="583">
        <v>11764343250</v>
      </c>
      <c r="T15" s="583">
        <f>7872944250+381083780</f>
        <v>8254028030</v>
      </c>
      <c r="U15" s="583">
        <v>14408426000</v>
      </c>
      <c r="V15" s="583">
        <v>14376519350</v>
      </c>
      <c r="W15" s="421">
        <v>13118451780</v>
      </c>
      <c r="X15" s="583"/>
      <c r="Y15" s="583"/>
      <c r="Z15" s="583"/>
      <c r="AA15" s="583"/>
      <c r="AB15" s="583"/>
      <c r="AC15" s="583"/>
      <c r="AD15" s="583"/>
      <c r="AE15" s="584">
        <f t="shared" si="0"/>
        <v>61921768410</v>
      </c>
    </row>
    <row r="16" spans="1:31" x14ac:dyDescent="0.2">
      <c r="A16" s="416"/>
      <c r="B16" s="437"/>
      <c r="C16" s="437"/>
      <c r="D16" s="429" t="s">
        <v>515</v>
      </c>
      <c r="E16" s="425">
        <v>511</v>
      </c>
      <c r="F16" s="438"/>
      <c r="G16" s="438"/>
      <c r="H16" s="438"/>
      <c r="I16" s="438"/>
      <c r="J16" s="438"/>
      <c r="K16" s="438"/>
      <c r="L16" s="438"/>
      <c r="M16" s="438"/>
      <c r="N16" s="438"/>
      <c r="O16" s="438"/>
      <c r="P16" s="438"/>
      <c r="Q16" s="438"/>
      <c r="R16" s="564"/>
      <c r="S16" s="438"/>
      <c r="T16" s="439"/>
      <c r="U16" s="439"/>
      <c r="V16" s="439"/>
      <c r="W16" s="439"/>
      <c r="X16" s="439"/>
      <c r="Y16" s="439"/>
      <c r="Z16" s="439"/>
      <c r="AA16" s="439"/>
      <c r="AB16" s="439"/>
      <c r="AC16" s="439"/>
      <c r="AD16" s="439"/>
      <c r="AE16" s="564">
        <f t="shared" si="0"/>
        <v>0</v>
      </c>
    </row>
    <row r="17" spans="1:31" x14ac:dyDescent="0.2">
      <c r="A17" s="416"/>
      <c r="B17" s="437"/>
      <c r="C17" s="437"/>
      <c r="D17" s="429" t="s">
        <v>506</v>
      </c>
      <c r="E17" s="425">
        <v>511</v>
      </c>
      <c r="F17" s="439"/>
      <c r="G17" s="439"/>
      <c r="H17" s="439"/>
      <c r="I17" s="439"/>
      <c r="J17" s="439"/>
      <c r="K17" s="439"/>
      <c r="L17" s="439"/>
      <c r="M17" s="439"/>
      <c r="N17" s="439"/>
      <c r="O17" s="439"/>
      <c r="P17" s="439"/>
      <c r="Q17" s="439"/>
      <c r="R17" s="564"/>
      <c r="S17" s="439"/>
      <c r="T17" s="439"/>
      <c r="U17" s="439"/>
      <c r="V17" s="439"/>
      <c r="W17" s="439"/>
      <c r="X17" s="439"/>
      <c r="Y17" s="439"/>
      <c r="Z17" s="439"/>
      <c r="AA17" s="439"/>
      <c r="AB17" s="439"/>
      <c r="AC17" s="439"/>
      <c r="AD17" s="439"/>
      <c r="AE17" s="564">
        <f t="shared" si="0"/>
        <v>0</v>
      </c>
    </row>
    <row r="18" spans="1:31" x14ac:dyDescent="0.2">
      <c r="A18" s="440"/>
      <c r="B18" s="437"/>
      <c r="C18" s="437"/>
      <c r="D18" s="429" t="s">
        <v>516</v>
      </c>
      <c r="E18" s="430">
        <v>511</v>
      </c>
      <c r="F18" s="439"/>
      <c r="G18" s="439"/>
      <c r="H18" s="439"/>
      <c r="I18" s="439"/>
      <c r="J18" s="439"/>
      <c r="K18" s="439"/>
      <c r="L18" s="439"/>
      <c r="M18" s="439"/>
      <c r="N18" s="439"/>
      <c r="O18" s="439"/>
      <c r="P18" s="439"/>
      <c r="Q18" s="439"/>
      <c r="R18" s="564"/>
      <c r="S18" s="439"/>
      <c r="T18" s="439"/>
      <c r="U18" s="439"/>
      <c r="V18" s="439"/>
      <c r="W18" s="439"/>
      <c r="X18" s="439"/>
      <c r="Y18" s="439"/>
      <c r="Z18" s="439"/>
      <c r="AA18" s="439"/>
      <c r="AB18" s="439"/>
      <c r="AC18" s="439"/>
      <c r="AD18" s="439"/>
      <c r="AE18" s="564">
        <f t="shared" si="0"/>
        <v>0</v>
      </c>
    </row>
    <row r="19" spans="1:31" x14ac:dyDescent="0.2">
      <c r="A19" s="440"/>
      <c r="B19" s="437"/>
      <c r="C19" s="437"/>
      <c r="D19" s="429" t="s">
        <v>517</v>
      </c>
      <c r="E19" s="430">
        <v>511</v>
      </c>
      <c r="F19" s="439"/>
      <c r="G19" s="439"/>
      <c r="H19" s="439"/>
      <c r="I19" s="439"/>
      <c r="J19" s="439"/>
      <c r="K19" s="439"/>
      <c r="L19" s="439"/>
      <c r="M19" s="439"/>
      <c r="N19" s="439"/>
      <c r="O19" s="439"/>
      <c r="P19" s="439"/>
      <c r="Q19" s="439"/>
      <c r="R19" s="564"/>
      <c r="S19" s="439"/>
      <c r="T19" s="439"/>
      <c r="U19" s="439"/>
      <c r="V19" s="439"/>
      <c r="W19" s="439"/>
      <c r="X19" s="439"/>
      <c r="Y19" s="439"/>
      <c r="Z19" s="439"/>
      <c r="AA19" s="439"/>
      <c r="AB19" s="439"/>
      <c r="AC19" s="439"/>
      <c r="AD19" s="439"/>
      <c r="AE19" s="564">
        <f t="shared" si="0"/>
        <v>0</v>
      </c>
    </row>
    <row r="20" spans="1:31" x14ac:dyDescent="0.2">
      <c r="A20" s="440"/>
      <c r="B20" s="437"/>
      <c r="C20" s="437"/>
      <c r="D20" s="429" t="s">
        <v>507</v>
      </c>
      <c r="E20" s="430">
        <v>711</v>
      </c>
      <c r="F20" s="439"/>
      <c r="G20" s="439"/>
      <c r="H20" s="439"/>
      <c r="I20" s="439"/>
      <c r="J20" s="439"/>
      <c r="K20" s="439">
        <v>719543620</v>
      </c>
      <c r="L20" s="439"/>
      <c r="M20" s="439"/>
      <c r="N20" s="439"/>
      <c r="O20" s="439"/>
      <c r="P20" s="439"/>
      <c r="Q20" s="439"/>
      <c r="R20" s="564"/>
      <c r="S20" s="439"/>
      <c r="T20" s="439"/>
      <c r="U20" s="439"/>
      <c r="V20" s="439"/>
      <c r="W20" s="439"/>
      <c r="X20" s="439"/>
      <c r="Y20" s="439"/>
      <c r="Z20" s="439"/>
      <c r="AA20" s="439"/>
      <c r="AB20" s="439"/>
      <c r="AC20" s="439"/>
      <c r="AD20" s="439"/>
      <c r="AE20" s="564">
        <f t="shared" si="0"/>
        <v>0</v>
      </c>
    </row>
    <row r="21" spans="1:31" x14ac:dyDescent="0.2">
      <c r="A21" s="440"/>
      <c r="B21" s="437"/>
      <c r="C21" s="522"/>
      <c r="D21" s="441" t="s">
        <v>518</v>
      </c>
      <c r="E21" s="425">
        <v>511</v>
      </c>
      <c r="F21" s="439"/>
      <c r="G21" s="439"/>
      <c r="H21" s="439"/>
      <c r="I21" s="439"/>
      <c r="J21" s="439"/>
      <c r="K21" s="439"/>
      <c r="L21" s="439"/>
      <c r="M21" s="439"/>
      <c r="N21" s="439"/>
      <c r="O21" s="439"/>
      <c r="P21" s="439"/>
      <c r="Q21" s="439"/>
      <c r="R21" s="564"/>
      <c r="S21" s="439"/>
      <c r="T21" s="439"/>
      <c r="U21" s="439"/>
      <c r="V21" s="439"/>
      <c r="W21" s="439"/>
      <c r="X21" s="439"/>
      <c r="Y21" s="439"/>
      <c r="Z21" s="439"/>
      <c r="AA21" s="439"/>
      <c r="AB21" s="439"/>
      <c r="AC21" s="439"/>
      <c r="AD21" s="439"/>
      <c r="AE21" s="564">
        <f t="shared" si="0"/>
        <v>0</v>
      </c>
    </row>
    <row r="22" spans="1:31" x14ac:dyDescent="0.2">
      <c r="A22" s="442"/>
      <c r="B22" s="443"/>
      <c r="C22" s="523"/>
      <c r="D22" s="444" t="s">
        <v>511</v>
      </c>
      <c r="E22" s="434" t="s">
        <v>512</v>
      </c>
      <c r="F22" s="445"/>
      <c r="G22" s="445"/>
      <c r="H22" s="445"/>
      <c r="I22" s="445"/>
      <c r="J22" s="445"/>
      <c r="K22" s="445"/>
      <c r="L22" s="445"/>
      <c r="M22" s="445"/>
      <c r="N22" s="445"/>
      <c r="O22" s="445"/>
      <c r="P22" s="445"/>
      <c r="Q22" s="445"/>
      <c r="R22" s="566"/>
      <c r="S22" s="445"/>
      <c r="T22" s="445"/>
      <c r="U22" s="445">
        <v>215730060</v>
      </c>
      <c r="V22" s="445"/>
      <c r="W22" s="445"/>
      <c r="X22" s="445"/>
      <c r="Y22" s="445"/>
      <c r="Z22" s="445"/>
      <c r="AA22" s="445"/>
      <c r="AB22" s="445"/>
      <c r="AC22" s="445"/>
      <c r="AD22" s="445"/>
      <c r="AE22" s="566">
        <f t="shared" si="0"/>
        <v>215730060</v>
      </c>
    </row>
    <row r="23" spans="1:31" outlineLevel="1" x14ac:dyDescent="0.2">
      <c r="A23" s="599">
        <v>3</v>
      </c>
      <c r="B23" s="600" t="s">
        <v>519</v>
      </c>
      <c r="C23" s="600" t="s">
        <v>520</v>
      </c>
      <c r="D23" s="601" t="s">
        <v>505</v>
      </c>
      <c r="E23" s="602">
        <v>511</v>
      </c>
      <c r="F23" s="603"/>
      <c r="G23" s="603"/>
      <c r="H23" s="603"/>
      <c r="I23" s="603"/>
      <c r="J23" s="603"/>
      <c r="K23" s="603"/>
      <c r="L23" s="603"/>
      <c r="M23" s="603"/>
      <c r="N23" s="603"/>
      <c r="O23" s="603"/>
      <c r="P23" s="603"/>
      <c r="Q23" s="603"/>
      <c r="R23" s="604"/>
      <c r="S23" s="603"/>
      <c r="T23" s="603"/>
      <c r="U23" s="603"/>
      <c r="V23" s="603"/>
      <c r="W23" s="603"/>
      <c r="X23" s="603"/>
      <c r="Y23" s="603"/>
      <c r="Z23" s="603"/>
      <c r="AA23" s="603"/>
      <c r="AB23" s="603"/>
      <c r="AC23" s="603"/>
      <c r="AD23" s="603"/>
      <c r="AE23" s="604">
        <f t="shared" si="0"/>
        <v>0</v>
      </c>
    </row>
    <row r="24" spans="1:31" outlineLevel="1" x14ac:dyDescent="0.2">
      <c r="A24" s="440"/>
      <c r="B24" s="437"/>
      <c r="C24" s="437"/>
      <c r="D24" s="429" t="s">
        <v>515</v>
      </c>
      <c r="E24" s="425">
        <v>511</v>
      </c>
      <c r="F24" s="438"/>
      <c r="G24" s="438"/>
      <c r="H24" s="438"/>
      <c r="I24" s="438"/>
      <c r="J24" s="438"/>
      <c r="K24" s="438"/>
      <c r="L24" s="438"/>
      <c r="M24" s="438"/>
      <c r="N24" s="438"/>
      <c r="O24" s="438"/>
      <c r="P24" s="438"/>
      <c r="Q24" s="438"/>
      <c r="R24" s="564"/>
      <c r="S24" s="438"/>
      <c r="T24" s="439"/>
      <c r="U24" s="439"/>
      <c r="V24" s="439"/>
      <c r="W24" s="439"/>
      <c r="X24" s="439"/>
      <c r="Y24" s="439"/>
      <c r="Z24" s="439"/>
      <c r="AA24" s="439"/>
      <c r="AB24" s="439"/>
      <c r="AC24" s="439"/>
      <c r="AD24" s="439"/>
      <c r="AE24" s="564">
        <f t="shared" si="0"/>
        <v>0</v>
      </c>
    </row>
    <row r="25" spans="1:31" outlineLevel="1" x14ac:dyDescent="0.2">
      <c r="A25" s="440"/>
      <c r="B25" s="437"/>
      <c r="C25" s="437"/>
      <c r="D25" s="429" t="s">
        <v>506</v>
      </c>
      <c r="E25" s="425">
        <v>511</v>
      </c>
      <c r="F25" s="439"/>
      <c r="G25" s="439"/>
      <c r="H25" s="439"/>
      <c r="I25" s="439"/>
      <c r="J25" s="439"/>
      <c r="K25" s="439"/>
      <c r="L25" s="439"/>
      <c r="M25" s="439"/>
      <c r="N25" s="439"/>
      <c r="O25" s="439"/>
      <c r="P25" s="439"/>
      <c r="Q25" s="439"/>
      <c r="R25" s="564"/>
      <c r="S25" s="439"/>
      <c r="T25" s="439"/>
      <c r="U25" s="439"/>
      <c r="V25" s="439"/>
      <c r="W25" s="439"/>
      <c r="X25" s="439"/>
      <c r="Y25" s="439"/>
      <c r="Z25" s="439"/>
      <c r="AA25" s="439"/>
      <c r="AB25" s="439"/>
      <c r="AC25" s="439"/>
      <c r="AD25" s="439"/>
      <c r="AE25" s="564">
        <f t="shared" si="0"/>
        <v>0</v>
      </c>
    </row>
    <row r="26" spans="1:31" outlineLevel="1" x14ac:dyDescent="0.2">
      <c r="A26" s="440"/>
      <c r="B26" s="437"/>
      <c r="C26" s="437"/>
      <c r="D26" s="429" t="s">
        <v>521</v>
      </c>
      <c r="E26" s="430">
        <v>511</v>
      </c>
      <c r="F26" s="439"/>
      <c r="G26" s="439"/>
      <c r="H26" s="439"/>
      <c r="I26" s="439"/>
      <c r="J26" s="439"/>
      <c r="K26" s="439"/>
      <c r="L26" s="439"/>
      <c r="M26" s="439"/>
      <c r="N26" s="439"/>
      <c r="O26" s="439"/>
      <c r="P26" s="439"/>
      <c r="Q26" s="439"/>
      <c r="R26" s="564"/>
      <c r="S26" s="439"/>
      <c r="T26" s="439"/>
      <c r="U26" s="439"/>
      <c r="V26" s="439"/>
      <c r="W26" s="439"/>
      <c r="X26" s="439"/>
      <c r="Y26" s="439"/>
      <c r="Z26" s="439"/>
      <c r="AA26" s="439"/>
      <c r="AB26" s="439"/>
      <c r="AC26" s="439"/>
      <c r="AD26" s="439"/>
      <c r="AE26" s="564">
        <f t="shared" si="0"/>
        <v>0</v>
      </c>
    </row>
    <row r="27" spans="1:31" outlineLevel="1" x14ac:dyDescent="0.2">
      <c r="A27" s="440"/>
      <c r="B27" s="437"/>
      <c r="C27" s="437"/>
      <c r="D27" s="429" t="s">
        <v>517</v>
      </c>
      <c r="E27" s="430">
        <v>511</v>
      </c>
      <c r="F27" s="439"/>
      <c r="G27" s="439"/>
      <c r="H27" s="439"/>
      <c r="I27" s="439"/>
      <c r="J27" s="439"/>
      <c r="K27" s="439"/>
      <c r="L27" s="439"/>
      <c r="M27" s="439"/>
      <c r="N27" s="439"/>
      <c r="O27" s="439"/>
      <c r="P27" s="439"/>
      <c r="Q27" s="439"/>
      <c r="R27" s="564"/>
      <c r="S27" s="439"/>
      <c r="T27" s="439"/>
      <c r="U27" s="439"/>
      <c r="V27" s="439"/>
      <c r="W27" s="439"/>
      <c r="X27" s="439"/>
      <c r="Y27" s="439"/>
      <c r="Z27" s="439"/>
      <c r="AA27" s="439"/>
      <c r="AB27" s="439"/>
      <c r="AC27" s="439"/>
      <c r="AD27" s="439"/>
      <c r="AE27" s="564">
        <f t="shared" si="0"/>
        <v>0</v>
      </c>
    </row>
    <row r="28" spans="1:31" outlineLevel="1" x14ac:dyDescent="0.2">
      <c r="A28" s="440"/>
      <c r="B28" s="437"/>
      <c r="C28" s="437"/>
      <c r="D28" s="429" t="s">
        <v>511</v>
      </c>
      <c r="E28" s="430">
        <v>711</v>
      </c>
      <c r="F28" s="439"/>
      <c r="G28" s="439"/>
      <c r="H28" s="439"/>
      <c r="I28" s="439"/>
      <c r="J28" s="439"/>
      <c r="K28" s="439"/>
      <c r="L28" s="439"/>
      <c r="M28" s="439"/>
      <c r="N28" s="439"/>
      <c r="O28" s="439"/>
      <c r="P28" s="439"/>
      <c r="Q28" s="439"/>
      <c r="R28" s="564"/>
      <c r="S28" s="439"/>
      <c r="T28" s="439"/>
      <c r="U28" s="439"/>
      <c r="V28" s="439"/>
      <c r="W28" s="439"/>
      <c r="X28" s="439"/>
      <c r="Y28" s="439"/>
      <c r="Z28" s="439"/>
      <c r="AA28" s="439"/>
      <c r="AB28" s="439"/>
      <c r="AC28" s="439"/>
      <c r="AD28" s="439"/>
      <c r="AE28" s="564">
        <f t="shared" si="0"/>
        <v>0</v>
      </c>
    </row>
    <row r="29" spans="1:31" outlineLevel="1" x14ac:dyDescent="0.2">
      <c r="A29" s="599">
        <v>4</v>
      </c>
      <c r="B29" s="600" t="s">
        <v>522</v>
      </c>
      <c r="C29" s="600" t="s">
        <v>523</v>
      </c>
      <c r="D29" s="601" t="s">
        <v>505</v>
      </c>
      <c r="E29" s="602">
        <v>511</v>
      </c>
      <c r="F29" s="603"/>
      <c r="G29" s="603"/>
      <c r="H29" s="603"/>
      <c r="I29" s="603"/>
      <c r="J29" s="603"/>
      <c r="K29" s="603"/>
      <c r="L29" s="603"/>
      <c r="M29" s="603"/>
      <c r="N29" s="603"/>
      <c r="O29" s="603"/>
      <c r="P29" s="603"/>
      <c r="Q29" s="603"/>
      <c r="R29" s="604"/>
      <c r="S29" s="603"/>
      <c r="T29" s="603"/>
      <c r="U29" s="603"/>
      <c r="V29" s="603"/>
      <c r="W29" s="603"/>
      <c r="X29" s="603"/>
      <c r="Y29" s="603"/>
      <c r="Z29" s="603"/>
      <c r="AA29" s="603"/>
      <c r="AB29" s="603"/>
      <c r="AC29" s="603"/>
      <c r="AD29" s="603"/>
      <c r="AE29" s="604">
        <f t="shared" si="0"/>
        <v>0</v>
      </c>
    </row>
    <row r="30" spans="1:31" outlineLevel="1" x14ac:dyDescent="0.2">
      <c r="A30" s="440"/>
      <c r="B30" s="437"/>
      <c r="C30" s="437"/>
      <c r="D30" s="429" t="s">
        <v>515</v>
      </c>
      <c r="E30" s="430">
        <v>511</v>
      </c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564"/>
      <c r="S30" s="439"/>
      <c r="T30" s="439"/>
      <c r="U30" s="439"/>
      <c r="V30" s="439"/>
      <c r="W30" s="439"/>
      <c r="X30" s="439"/>
      <c r="Y30" s="439"/>
      <c r="Z30" s="439"/>
      <c r="AA30" s="439"/>
      <c r="AB30" s="439"/>
      <c r="AC30" s="439"/>
      <c r="AD30" s="439"/>
      <c r="AE30" s="564">
        <f t="shared" si="0"/>
        <v>0</v>
      </c>
    </row>
    <row r="31" spans="1:31" outlineLevel="1" x14ac:dyDescent="0.2">
      <c r="A31" s="440"/>
      <c r="B31" s="437"/>
      <c r="C31" s="437"/>
      <c r="D31" s="429" t="s">
        <v>506</v>
      </c>
      <c r="E31" s="430">
        <v>511</v>
      </c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564"/>
      <c r="S31" s="439"/>
      <c r="T31" s="439"/>
      <c r="U31" s="439"/>
      <c r="V31" s="439"/>
      <c r="W31" s="439"/>
      <c r="X31" s="439"/>
      <c r="Y31" s="439"/>
      <c r="Z31" s="439"/>
      <c r="AA31" s="439"/>
      <c r="AB31" s="439"/>
      <c r="AC31" s="439"/>
      <c r="AD31" s="439"/>
      <c r="AE31" s="564">
        <f t="shared" si="0"/>
        <v>0</v>
      </c>
    </row>
    <row r="32" spans="1:31" outlineLevel="1" x14ac:dyDescent="0.2">
      <c r="A32" s="440"/>
      <c r="B32" s="437"/>
      <c r="C32" s="437"/>
      <c r="D32" s="429" t="s">
        <v>516</v>
      </c>
      <c r="E32" s="430">
        <v>511</v>
      </c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564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564">
        <f t="shared" si="0"/>
        <v>0</v>
      </c>
    </row>
    <row r="33" spans="1:32" outlineLevel="1" x14ac:dyDescent="0.2">
      <c r="A33" s="440"/>
      <c r="B33" s="437"/>
      <c r="C33" s="437"/>
      <c r="D33" s="429" t="s">
        <v>518</v>
      </c>
      <c r="E33" s="430">
        <v>511</v>
      </c>
      <c r="F33" s="439"/>
      <c r="G33" s="439"/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564"/>
      <c r="S33" s="439"/>
      <c r="T33" s="439"/>
      <c r="U33" s="439"/>
      <c r="V33" s="439"/>
      <c r="W33" s="439"/>
      <c r="X33" s="439"/>
      <c r="Y33" s="439"/>
      <c r="Z33" s="439"/>
      <c r="AA33" s="439"/>
      <c r="AB33" s="439"/>
      <c r="AC33" s="439"/>
      <c r="AD33" s="439"/>
      <c r="AE33" s="564">
        <f t="shared" si="0"/>
        <v>0</v>
      </c>
    </row>
    <row r="34" spans="1:32" outlineLevel="1" x14ac:dyDescent="0.2">
      <c r="A34" s="440"/>
      <c r="B34" s="437"/>
      <c r="C34" s="437"/>
      <c r="D34" s="429" t="s">
        <v>507</v>
      </c>
      <c r="E34" s="430">
        <v>711</v>
      </c>
      <c r="F34" s="438"/>
      <c r="G34" s="438"/>
      <c r="H34" s="438"/>
      <c r="I34" s="438"/>
      <c r="J34" s="438"/>
      <c r="K34" s="438"/>
      <c r="L34" s="438"/>
      <c r="M34" s="438"/>
      <c r="N34" s="438"/>
      <c r="O34" s="438"/>
      <c r="P34" s="438"/>
      <c r="Q34" s="438"/>
      <c r="R34" s="564"/>
      <c r="S34" s="438"/>
      <c r="T34" s="439"/>
      <c r="U34" s="439"/>
      <c r="V34" s="439"/>
      <c r="W34" s="439"/>
      <c r="X34" s="439"/>
      <c r="Y34" s="439"/>
      <c r="Z34" s="439"/>
      <c r="AA34" s="439"/>
      <c r="AB34" s="439"/>
      <c r="AC34" s="439"/>
      <c r="AD34" s="439"/>
      <c r="AE34" s="564">
        <f t="shared" si="0"/>
        <v>0</v>
      </c>
    </row>
    <row r="35" spans="1:32" outlineLevel="1" x14ac:dyDescent="0.2">
      <c r="A35" s="442"/>
      <c r="B35" s="437"/>
      <c r="C35" s="437"/>
      <c r="D35" s="429" t="s">
        <v>511</v>
      </c>
      <c r="E35" s="446">
        <v>7118</v>
      </c>
      <c r="F35" s="439"/>
      <c r="G35" s="439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564"/>
      <c r="S35" s="439"/>
      <c r="T35" s="439"/>
      <c r="U35" s="439"/>
      <c r="V35" s="439"/>
      <c r="W35" s="439"/>
      <c r="X35" s="439"/>
      <c r="Y35" s="439"/>
      <c r="Z35" s="439"/>
      <c r="AA35" s="439"/>
      <c r="AB35" s="439"/>
      <c r="AC35" s="439"/>
      <c r="AD35" s="439"/>
      <c r="AE35" s="564">
        <f t="shared" si="0"/>
        <v>0</v>
      </c>
    </row>
    <row r="36" spans="1:32" outlineLevel="1" x14ac:dyDescent="0.2">
      <c r="A36" s="599">
        <v>5</v>
      </c>
      <c r="B36" s="600" t="s">
        <v>524</v>
      </c>
      <c r="C36" s="600" t="s">
        <v>525</v>
      </c>
      <c r="D36" s="601" t="s">
        <v>505</v>
      </c>
      <c r="E36" s="602">
        <v>511</v>
      </c>
      <c r="F36" s="605"/>
      <c r="G36" s="605"/>
      <c r="H36" s="605"/>
      <c r="I36" s="605"/>
      <c r="J36" s="605"/>
      <c r="K36" s="605"/>
      <c r="L36" s="605"/>
      <c r="M36" s="605"/>
      <c r="N36" s="605"/>
      <c r="O36" s="605"/>
      <c r="P36" s="605"/>
      <c r="Q36" s="605"/>
      <c r="R36" s="604"/>
      <c r="S36" s="605"/>
      <c r="T36" s="603"/>
      <c r="U36" s="603"/>
      <c r="V36" s="603"/>
      <c r="W36" s="603"/>
      <c r="X36" s="603"/>
      <c r="Y36" s="603"/>
      <c r="Z36" s="603"/>
      <c r="AA36" s="603"/>
      <c r="AB36" s="603"/>
      <c r="AC36" s="603"/>
      <c r="AD36" s="603"/>
      <c r="AE36" s="604">
        <f t="shared" si="0"/>
        <v>0</v>
      </c>
    </row>
    <row r="37" spans="1:32" outlineLevel="1" x14ac:dyDescent="0.2">
      <c r="A37" s="442"/>
      <c r="B37" s="437"/>
      <c r="C37" s="437"/>
      <c r="D37" s="429" t="s">
        <v>515</v>
      </c>
      <c r="E37" s="430">
        <v>511</v>
      </c>
      <c r="F37" s="438"/>
      <c r="G37" s="438"/>
      <c r="H37" s="438"/>
      <c r="I37" s="438"/>
      <c r="J37" s="438"/>
      <c r="K37" s="438"/>
      <c r="L37" s="438"/>
      <c r="M37" s="438"/>
      <c r="N37" s="438"/>
      <c r="O37" s="438"/>
      <c r="P37" s="438"/>
      <c r="Q37" s="438"/>
      <c r="R37" s="564"/>
      <c r="S37" s="438"/>
      <c r="T37" s="439"/>
      <c r="U37" s="439"/>
      <c r="V37" s="439"/>
      <c r="W37" s="439"/>
      <c r="X37" s="439"/>
      <c r="Y37" s="439"/>
      <c r="Z37" s="439"/>
      <c r="AA37" s="439"/>
      <c r="AB37" s="439"/>
      <c r="AC37" s="439"/>
      <c r="AD37" s="439"/>
      <c r="AE37" s="564">
        <f t="shared" si="0"/>
        <v>0</v>
      </c>
    </row>
    <row r="38" spans="1:32" outlineLevel="1" x14ac:dyDescent="0.2">
      <c r="A38" s="442"/>
      <c r="B38" s="437"/>
      <c r="C38" s="437"/>
      <c r="D38" s="429" t="s">
        <v>507</v>
      </c>
      <c r="E38" s="430">
        <v>711</v>
      </c>
      <c r="F38" s="439"/>
      <c r="G38" s="439"/>
      <c r="H38" s="439"/>
      <c r="I38" s="439"/>
      <c r="J38" s="439"/>
      <c r="K38" s="439"/>
      <c r="L38" s="439"/>
      <c r="M38" s="439"/>
      <c r="N38" s="439"/>
      <c r="O38" s="439"/>
      <c r="P38" s="439"/>
      <c r="Q38" s="439"/>
      <c r="R38" s="564"/>
      <c r="S38" s="439"/>
      <c r="T38" s="439"/>
      <c r="U38" s="439"/>
      <c r="V38" s="439"/>
      <c r="W38" s="439"/>
      <c r="X38" s="439"/>
      <c r="Y38" s="439"/>
      <c r="Z38" s="439"/>
      <c r="AA38" s="439"/>
      <c r="AB38" s="439"/>
      <c r="AC38" s="439"/>
      <c r="AD38" s="439"/>
      <c r="AE38" s="564">
        <f t="shared" si="0"/>
        <v>0</v>
      </c>
    </row>
    <row r="39" spans="1:32" outlineLevel="1" x14ac:dyDescent="0.2">
      <c r="A39" s="442"/>
      <c r="B39" s="437"/>
      <c r="C39" s="437"/>
      <c r="D39" s="429" t="s">
        <v>506</v>
      </c>
      <c r="E39" s="430">
        <v>511</v>
      </c>
      <c r="F39" s="439"/>
      <c r="G39" s="439"/>
      <c r="H39" s="439"/>
      <c r="I39" s="439"/>
      <c r="J39" s="439"/>
      <c r="K39" s="439"/>
      <c r="L39" s="439"/>
      <c r="M39" s="439"/>
      <c r="N39" s="439"/>
      <c r="O39" s="439"/>
      <c r="P39" s="439"/>
      <c r="Q39" s="439"/>
      <c r="R39" s="564"/>
      <c r="S39" s="439"/>
      <c r="T39" s="439"/>
      <c r="U39" s="439"/>
      <c r="V39" s="439"/>
      <c r="W39" s="439"/>
      <c r="X39" s="439"/>
      <c r="Y39" s="439"/>
      <c r="Z39" s="439"/>
      <c r="AA39" s="439"/>
      <c r="AB39" s="439"/>
      <c r="AC39" s="439"/>
      <c r="AD39" s="439"/>
      <c r="AE39" s="564">
        <f t="shared" si="0"/>
        <v>0</v>
      </c>
    </row>
    <row r="40" spans="1:32" outlineLevel="1" x14ac:dyDescent="0.2">
      <c r="A40" s="442"/>
      <c r="B40" s="437"/>
      <c r="C40" s="437"/>
      <c r="D40" s="429" t="s">
        <v>518</v>
      </c>
      <c r="E40" s="430">
        <v>511</v>
      </c>
      <c r="F40" s="439"/>
      <c r="G40" s="439"/>
      <c r="H40" s="439"/>
      <c r="I40" s="439"/>
      <c r="J40" s="439"/>
      <c r="K40" s="439"/>
      <c r="L40" s="439"/>
      <c r="M40" s="439"/>
      <c r="N40" s="439"/>
      <c r="O40" s="439"/>
      <c r="P40" s="439"/>
      <c r="Q40" s="439"/>
      <c r="R40" s="564"/>
      <c r="S40" s="439"/>
      <c r="T40" s="439"/>
      <c r="U40" s="439"/>
      <c r="V40" s="439"/>
      <c r="W40" s="439"/>
      <c r="X40" s="439"/>
      <c r="Y40" s="439"/>
      <c r="Z40" s="439"/>
      <c r="AA40" s="439"/>
      <c r="AB40" s="439"/>
      <c r="AC40" s="439"/>
      <c r="AD40" s="439"/>
      <c r="AE40" s="564">
        <f t="shared" si="0"/>
        <v>0</v>
      </c>
    </row>
    <row r="41" spans="1:32" outlineLevel="1" x14ac:dyDescent="0.2">
      <c r="A41" s="442"/>
      <c r="B41" s="437"/>
      <c r="C41" s="437"/>
      <c r="D41" s="429" t="s">
        <v>516</v>
      </c>
      <c r="E41" s="430">
        <v>511</v>
      </c>
      <c r="F41" s="439"/>
      <c r="G41" s="439"/>
      <c r="H41" s="439"/>
      <c r="I41" s="439"/>
      <c r="J41" s="439"/>
      <c r="K41" s="439"/>
      <c r="L41" s="439"/>
      <c r="M41" s="439"/>
      <c r="N41" s="439"/>
      <c r="O41" s="439"/>
      <c r="P41" s="439"/>
      <c r="Q41" s="439"/>
      <c r="R41" s="564"/>
      <c r="S41" s="439"/>
      <c r="T41" s="439"/>
      <c r="U41" s="439"/>
      <c r="V41" s="439"/>
      <c r="W41" s="439"/>
      <c r="X41" s="439"/>
      <c r="Y41" s="439"/>
      <c r="Z41" s="439"/>
      <c r="AA41" s="439"/>
      <c r="AB41" s="439"/>
      <c r="AC41" s="439"/>
      <c r="AD41" s="439"/>
      <c r="AE41" s="564">
        <f t="shared" si="0"/>
        <v>0</v>
      </c>
    </row>
    <row r="42" spans="1:32" outlineLevel="1" x14ac:dyDescent="0.2">
      <c r="A42" s="442"/>
      <c r="B42" s="437"/>
      <c r="C42" s="437"/>
      <c r="D42" s="429" t="s">
        <v>526</v>
      </c>
      <c r="E42" s="430">
        <v>711</v>
      </c>
      <c r="F42" s="439"/>
      <c r="G42" s="439"/>
      <c r="H42" s="439"/>
      <c r="I42" s="439"/>
      <c r="J42" s="439"/>
      <c r="K42" s="439"/>
      <c r="L42" s="439"/>
      <c r="M42" s="439"/>
      <c r="N42" s="439"/>
      <c r="O42" s="439"/>
      <c r="P42" s="439"/>
      <c r="Q42" s="439"/>
      <c r="R42" s="564"/>
      <c r="S42" s="439"/>
      <c r="T42" s="439"/>
      <c r="U42" s="439"/>
      <c r="V42" s="439"/>
      <c r="W42" s="439"/>
      <c r="X42" s="439"/>
      <c r="Y42" s="439"/>
      <c r="Z42" s="439"/>
      <c r="AA42" s="439"/>
      <c r="AB42" s="439"/>
      <c r="AC42" s="439"/>
      <c r="AD42" s="439"/>
      <c r="AE42" s="564">
        <f t="shared" si="0"/>
        <v>0</v>
      </c>
    </row>
    <row r="43" spans="1:32" outlineLevel="1" x14ac:dyDescent="0.2">
      <c r="A43" s="442"/>
      <c r="B43" s="437"/>
      <c r="C43" s="437"/>
      <c r="D43" s="429" t="s">
        <v>511</v>
      </c>
      <c r="E43" s="430" t="s">
        <v>512</v>
      </c>
      <c r="F43" s="439"/>
      <c r="G43" s="439"/>
      <c r="H43" s="439"/>
      <c r="I43" s="439"/>
      <c r="J43" s="439"/>
      <c r="K43" s="439"/>
      <c r="L43" s="439"/>
      <c r="M43" s="439"/>
      <c r="N43" s="439"/>
      <c r="O43" s="439"/>
      <c r="P43" s="439"/>
      <c r="Q43" s="439"/>
      <c r="R43" s="564"/>
      <c r="S43" s="439"/>
      <c r="T43" s="439"/>
      <c r="U43" s="439"/>
      <c r="V43" s="439"/>
      <c r="W43" s="439"/>
      <c r="X43" s="439"/>
      <c r="Y43" s="439"/>
      <c r="Z43" s="439"/>
      <c r="AA43" s="439"/>
      <c r="AB43" s="439"/>
      <c r="AC43" s="439"/>
      <c r="AD43" s="439"/>
      <c r="AE43" s="564">
        <f t="shared" si="0"/>
        <v>0</v>
      </c>
    </row>
    <row r="44" spans="1:32" outlineLevel="1" x14ac:dyDescent="0.2">
      <c r="A44" s="599">
        <v>6</v>
      </c>
      <c r="B44" s="600" t="s">
        <v>527</v>
      </c>
      <c r="C44" s="600" t="s">
        <v>528</v>
      </c>
      <c r="D44" s="601" t="s">
        <v>505</v>
      </c>
      <c r="E44" s="602">
        <v>511</v>
      </c>
      <c r="F44" s="603"/>
      <c r="G44" s="603"/>
      <c r="H44" s="603"/>
      <c r="I44" s="603"/>
      <c r="J44" s="603"/>
      <c r="K44" s="603"/>
      <c r="L44" s="603"/>
      <c r="M44" s="603"/>
      <c r="N44" s="603"/>
      <c r="O44" s="603"/>
      <c r="P44" s="603"/>
      <c r="Q44" s="603"/>
      <c r="R44" s="604"/>
      <c r="S44" s="603"/>
      <c r="T44" s="603"/>
      <c r="U44" s="603"/>
      <c r="V44" s="603"/>
      <c r="W44" s="603"/>
      <c r="X44" s="603"/>
      <c r="Y44" s="603"/>
      <c r="Z44" s="603"/>
      <c r="AA44" s="603"/>
      <c r="AB44" s="603"/>
      <c r="AC44" s="603"/>
      <c r="AD44" s="603"/>
      <c r="AE44" s="604">
        <f t="shared" si="0"/>
        <v>0</v>
      </c>
      <c r="AF44" s="447"/>
    </row>
    <row r="45" spans="1:32" outlineLevel="1" x14ac:dyDescent="0.2">
      <c r="A45" s="416"/>
      <c r="B45" s="448"/>
      <c r="C45" s="448"/>
      <c r="D45" s="429" t="s">
        <v>515</v>
      </c>
      <c r="E45" s="425">
        <v>511</v>
      </c>
      <c r="F45" s="439"/>
      <c r="G45" s="439"/>
      <c r="H45" s="439"/>
      <c r="I45" s="439"/>
      <c r="J45" s="439"/>
      <c r="K45" s="439"/>
      <c r="L45" s="439"/>
      <c r="M45" s="439"/>
      <c r="N45" s="439"/>
      <c r="O45" s="439"/>
      <c r="P45" s="439"/>
      <c r="Q45" s="439"/>
      <c r="R45" s="564"/>
      <c r="S45" s="439"/>
      <c r="T45" s="439"/>
      <c r="U45" s="439"/>
      <c r="V45" s="439"/>
      <c r="W45" s="439"/>
      <c r="X45" s="439"/>
      <c r="Y45" s="439"/>
      <c r="Z45" s="439"/>
      <c r="AA45" s="439"/>
      <c r="AB45" s="439"/>
      <c r="AC45" s="439"/>
      <c r="AD45" s="439"/>
      <c r="AE45" s="564">
        <f t="shared" si="0"/>
        <v>0</v>
      </c>
    </row>
    <row r="46" spans="1:32" outlineLevel="1" x14ac:dyDescent="0.2">
      <c r="A46" s="416"/>
      <c r="B46" s="448"/>
      <c r="C46" s="448"/>
      <c r="D46" s="429" t="s">
        <v>506</v>
      </c>
      <c r="E46" s="425">
        <v>511</v>
      </c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64"/>
      <c r="S46" s="438"/>
      <c r="T46" s="439"/>
      <c r="U46" s="439"/>
      <c r="V46" s="439"/>
      <c r="W46" s="439"/>
      <c r="X46" s="439"/>
      <c r="Y46" s="439"/>
      <c r="Z46" s="439"/>
      <c r="AA46" s="439"/>
      <c r="AB46" s="439"/>
      <c r="AC46" s="439"/>
      <c r="AD46" s="439"/>
      <c r="AE46" s="564">
        <f t="shared" si="0"/>
        <v>0</v>
      </c>
    </row>
    <row r="47" spans="1:32" outlineLevel="1" x14ac:dyDescent="0.2">
      <c r="A47" s="416"/>
      <c r="B47" s="448"/>
      <c r="C47" s="448"/>
      <c r="D47" s="429" t="s">
        <v>529</v>
      </c>
      <c r="E47" s="425">
        <v>511</v>
      </c>
      <c r="F47" s="439"/>
      <c r="G47" s="439"/>
      <c r="H47" s="439"/>
      <c r="I47" s="439"/>
      <c r="J47" s="439"/>
      <c r="K47" s="439"/>
      <c r="L47" s="439"/>
      <c r="M47" s="439"/>
      <c r="N47" s="439"/>
      <c r="O47" s="439"/>
      <c r="P47" s="439"/>
      <c r="Q47" s="439"/>
      <c r="R47" s="564"/>
      <c r="S47" s="439"/>
      <c r="T47" s="439"/>
      <c r="U47" s="439"/>
      <c r="V47" s="439"/>
      <c r="W47" s="439"/>
      <c r="X47" s="439"/>
      <c r="Y47" s="439"/>
      <c r="Z47" s="439"/>
      <c r="AA47" s="439"/>
      <c r="AB47" s="439"/>
      <c r="AC47" s="439"/>
      <c r="AD47" s="439"/>
      <c r="AE47" s="564">
        <f t="shared" si="0"/>
        <v>0</v>
      </c>
    </row>
    <row r="48" spans="1:32" outlineLevel="1" x14ac:dyDescent="0.2">
      <c r="A48" s="416"/>
      <c r="B48" s="448"/>
      <c r="C48" s="448"/>
      <c r="D48" s="429" t="s">
        <v>516</v>
      </c>
      <c r="E48" s="430">
        <v>511</v>
      </c>
      <c r="F48" s="439"/>
      <c r="G48" s="439"/>
      <c r="H48" s="439"/>
      <c r="I48" s="439"/>
      <c r="J48" s="439"/>
      <c r="K48" s="439"/>
      <c r="L48" s="439"/>
      <c r="M48" s="439"/>
      <c r="N48" s="439"/>
      <c r="O48" s="439"/>
      <c r="P48" s="439"/>
      <c r="Q48" s="439"/>
      <c r="R48" s="564"/>
      <c r="S48" s="439"/>
      <c r="T48" s="439"/>
      <c r="U48" s="439"/>
      <c r="V48" s="439"/>
      <c r="W48" s="439"/>
      <c r="X48" s="439"/>
      <c r="Y48" s="439"/>
      <c r="Z48" s="439"/>
      <c r="AA48" s="439"/>
      <c r="AB48" s="439"/>
      <c r="AC48" s="439"/>
      <c r="AD48" s="439"/>
      <c r="AE48" s="564">
        <f t="shared" si="0"/>
        <v>0</v>
      </c>
    </row>
    <row r="49" spans="1:32" outlineLevel="1" x14ac:dyDescent="0.2">
      <c r="A49" s="416"/>
      <c r="B49" s="448"/>
      <c r="C49" s="448"/>
      <c r="D49" s="429" t="s">
        <v>530</v>
      </c>
      <c r="E49" s="430">
        <v>511</v>
      </c>
      <c r="F49" s="439"/>
      <c r="G49" s="439"/>
      <c r="H49" s="439"/>
      <c r="I49" s="439"/>
      <c r="J49" s="439"/>
      <c r="K49" s="439"/>
      <c r="L49" s="439"/>
      <c r="M49" s="439"/>
      <c r="N49" s="439"/>
      <c r="O49" s="439"/>
      <c r="P49" s="439"/>
      <c r="Q49" s="439"/>
      <c r="R49" s="564"/>
      <c r="S49" s="439"/>
      <c r="T49" s="439"/>
      <c r="U49" s="439"/>
      <c r="V49" s="439"/>
      <c r="W49" s="439"/>
      <c r="X49" s="439"/>
      <c r="Y49" s="439"/>
      <c r="Z49" s="439"/>
      <c r="AA49" s="439"/>
      <c r="AB49" s="439"/>
      <c r="AC49" s="439"/>
      <c r="AD49" s="439"/>
      <c r="AE49" s="564">
        <f t="shared" si="0"/>
        <v>0</v>
      </c>
    </row>
    <row r="50" spans="1:32" outlineLevel="1" x14ac:dyDescent="0.2">
      <c r="A50" s="416"/>
      <c r="B50" s="448"/>
      <c r="C50" s="448"/>
      <c r="D50" s="429" t="s">
        <v>507</v>
      </c>
      <c r="E50" s="430">
        <v>711</v>
      </c>
      <c r="F50" s="439"/>
      <c r="G50" s="439"/>
      <c r="H50" s="439"/>
      <c r="I50" s="439"/>
      <c r="J50" s="439"/>
      <c r="K50" s="439"/>
      <c r="L50" s="439"/>
      <c r="M50" s="439"/>
      <c r="N50" s="439"/>
      <c r="O50" s="439"/>
      <c r="P50" s="439"/>
      <c r="Q50" s="439"/>
      <c r="R50" s="564"/>
      <c r="S50" s="439"/>
      <c r="T50" s="439"/>
      <c r="U50" s="439"/>
      <c r="V50" s="439"/>
      <c r="W50" s="439"/>
      <c r="X50" s="439"/>
      <c r="Y50" s="439"/>
      <c r="Z50" s="439"/>
      <c r="AA50" s="439"/>
      <c r="AB50" s="439"/>
      <c r="AC50" s="439"/>
      <c r="AD50" s="439"/>
      <c r="AE50" s="564">
        <f t="shared" si="0"/>
        <v>0</v>
      </c>
    </row>
    <row r="51" spans="1:32" outlineLevel="1" x14ac:dyDescent="0.2">
      <c r="A51" s="449"/>
      <c r="B51" s="450"/>
      <c r="C51" s="450"/>
      <c r="D51" s="451" t="s">
        <v>511</v>
      </c>
      <c r="E51" s="434" t="s">
        <v>512</v>
      </c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566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  <c r="AC51" s="445"/>
      <c r="AD51" s="445"/>
      <c r="AE51" s="566">
        <f t="shared" si="0"/>
        <v>0</v>
      </c>
    </row>
    <row r="52" spans="1:32" outlineLevel="1" x14ac:dyDescent="0.2">
      <c r="A52" s="599">
        <v>7</v>
      </c>
      <c r="B52" s="600" t="s">
        <v>531</v>
      </c>
      <c r="C52" s="600" t="s">
        <v>532</v>
      </c>
      <c r="D52" s="601" t="s">
        <v>505</v>
      </c>
      <c r="E52" s="606">
        <v>511</v>
      </c>
      <c r="F52" s="603"/>
      <c r="G52" s="603"/>
      <c r="H52" s="603"/>
      <c r="I52" s="603"/>
      <c r="J52" s="603"/>
      <c r="K52" s="603"/>
      <c r="L52" s="603"/>
      <c r="M52" s="603"/>
      <c r="N52" s="603"/>
      <c r="O52" s="603"/>
      <c r="P52" s="603"/>
      <c r="Q52" s="603"/>
      <c r="R52" s="604"/>
      <c r="S52" s="603"/>
      <c r="T52" s="603"/>
      <c r="U52" s="603"/>
      <c r="V52" s="603"/>
      <c r="W52" s="603"/>
      <c r="X52" s="603"/>
      <c r="Y52" s="603"/>
      <c r="Z52" s="603"/>
      <c r="AA52" s="603"/>
      <c r="AB52" s="603"/>
      <c r="AC52" s="603"/>
      <c r="AD52" s="603"/>
      <c r="AE52" s="604">
        <f t="shared" si="0"/>
        <v>0</v>
      </c>
    </row>
    <row r="53" spans="1:32" outlineLevel="1" x14ac:dyDescent="0.2">
      <c r="A53" s="416"/>
      <c r="B53" s="452"/>
      <c r="C53" s="452"/>
      <c r="D53" s="441" t="s">
        <v>515</v>
      </c>
      <c r="E53" s="453">
        <v>511</v>
      </c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564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564">
        <f t="shared" si="0"/>
        <v>0</v>
      </c>
    </row>
    <row r="54" spans="1:32" outlineLevel="1" x14ac:dyDescent="0.2">
      <c r="A54" s="416"/>
      <c r="B54" s="452"/>
      <c r="C54" s="452"/>
      <c r="D54" s="441" t="s">
        <v>506</v>
      </c>
      <c r="E54" s="453">
        <v>511</v>
      </c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564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  <c r="AC54" s="420"/>
      <c r="AD54" s="420"/>
      <c r="AE54" s="564">
        <f t="shared" si="0"/>
        <v>0</v>
      </c>
    </row>
    <row r="55" spans="1:32" outlineLevel="1" x14ac:dyDescent="0.2">
      <c r="A55" s="416"/>
      <c r="B55" s="452"/>
      <c r="C55" s="452"/>
      <c r="D55" s="441" t="s">
        <v>529</v>
      </c>
      <c r="E55" s="453">
        <v>511</v>
      </c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564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564">
        <f t="shared" si="0"/>
        <v>0</v>
      </c>
    </row>
    <row r="56" spans="1:32" outlineLevel="1" x14ac:dyDescent="0.2">
      <c r="A56" s="416"/>
      <c r="B56" s="452"/>
      <c r="C56" s="452"/>
      <c r="D56" s="441" t="s">
        <v>516</v>
      </c>
      <c r="E56" s="453">
        <v>511</v>
      </c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564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564">
        <f t="shared" si="0"/>
        <v>0</v>
      </c>
    </row>
    <row r="57" spans="1:32" outlineLevel="1" x14ac:dyDescent="0.2">
      <c r="A57" s="416"/>
      <c r="B57" s="452"/>
      <c r="C57" s="452"/>
      <c r="D57" s="441" t="s">
        <v>530</v>
      </c>
      <c r="E57" s="453">
        <v>511</v>
      </c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564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564">
        <f t="shared" si="0"/>
        <v>0</v>
      </c>
    </row>
    <row r="58" spans="1:32" outlineLevel="1" x14ac:dyDescent="0.2">
      <c r="A58" s="416"/>
      <c r="B58" s="452"/>
      <c r="C58" s="452"/>
      <c r="D58" s="441" t="s">
        <v>507</v>
      </c>
      <c r="E58" s="453">
        <v>711</v>
      </c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564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  <c r="AC58" s="420"/>
      <c r="AD58" s="420"/>
      <c r="AE58" s="564">
        <f t="shared" si="0"/>
        <v>0</v>
      </c>
    </row>
    <row r="59" spans="1:32" outlineLevel="1" x14ac:dyDescent="0.2">
      <c r="A59" s="416"/>
      <c r="B59" s="452"/>
      <c r="C59" s="452"/>
      <c r="D59" s="441" t="s">
        <v>511</v>
      </c>
      <c r="E59" s="453" t="s">
        <v>512</v>
      </c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564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564">
        <f t="shared" si="0"/>
        <v>0</v>
      </c>
    </row>
    <row r="60" spans="1:32" outlineLevel="1" x14ac:dyDescent="0.2">
      <c r="A60" s="599">
        <v>8</v>
      </c>
      <c r="B60" s="600" t="s">
        <v>533</v>
      </c>
      <c r="C60" s="600" t="s">
        <v>534</v>
      </c>
      <c r="D60" s="601" t="s">
        <v>505</v>
      </c>
      <c r="E60" s="602">
        <v>511</v>
      </c>
      <c r="F60" s="603"/>
      <c r="G60" s="603"/>
      <c r="H60" s="603"/>
      <c r="I60" s="603"/>
      <c r="J60" s="603"/>
      <c r="K60" s="603"/>
      <c r="L60" s="603"/>
      <c r="M60" s="603"/>
      <c r="N60" s="603"/>
      <c r="O60" s="603"/>
      <c r="P60" s="603"/>
      <c r="Q60" s="603"/>
      <c r="R60" s="604"/>
      <c r="S60" s="603"/>
      <c r="T60" s="603"/>
      <c r="U60" s="603"/>
      <c r="V60" s="603"/>
      <c r="W60" s="603"/>
      <c r="X60" s="603"/>
      <c r="Y60" s="603"/>
      <c r="Z60" s="603"/>
      <c r="AA60" s="603"/>
      <c r="AB60" s="603"/>
      <c r="AC60" s="603"/>
      <c r="AD60" s="603"/>
      <c r="AE60" s="604">
        <f t="shared" si="0"/>
        <v>0</v>
      </c>
      <c r="AF60" s="447"/>
    </row>
    <row r="61" spans="1:32" outlineLevel="1" x14ac:dyDescent="0.2">
      <c r="A61" s="416"/>
      <c r="B61" s="452"/>
      <c r="C61" s="452"/>
      <c r="D61" s="441" t="s">
        <v>535</v>
      </c>
      <c r="E61" s="425">
        <v>511</v>
      </c>
      <c r="F61" s="439"/>
      <c r="G61" s="439"/>
      <c r="H61" s="439"/>
      <c r="I61" s="439"/>
      <c r="J61" s="439"/>
      <c r="K61" s="439"/>
      <c r="L61" s="439"/>
      <c r="M61" s="439"/>
      <c r="N61" s="439"/>
      <c r="O61" s="439"/>
      <c r="P61" s="439"/>
      <c r="Q61" s="439"/>
      <c r="R61" s="564"/>
      <c r="S61" s="439"/>
      <c r="T61" s="439"/>
      <c r="U61" s="439"/>
      <c r="V61" s="439"/>
      <c r="W61" s="439"/>
      <c r="X61" s="439"/>
      <c r="Y61" s="439"/>
      <c r="Z61" s="439"/>
      <c r="AA61" s="439"/>
      <c r="AB61" s="439"/>
      <c r="AC61" s="439"/>
      <c r="AD61" s="439"/>
      <c r="AE61" s="564">
        <f t="shared" si="0"/>
        <v>0</v>
      </c>
    </row>
    <row r="62" spans="1:32" outlineLevel="1" x14ac:dyDescent="0.2">
      <c r="A62" s="416"/>
      <c r="B62" s="452"/>
      <c r="C62" s="452"/>
      <c r="D62" s="429" t="s">
        <v>515</v>
      </c>
      <c r="E62" s="425">
        <v>511</v>
      </c>
      <c r="F62" s="438"/>
      <c r="G62" s="438"/>
      <c r="H62" s="438"/>
      <c r="I62" s="438"/>
      <c r="J62" s="438"/>
      <c r="K62" s="438"/>
      <c r="L62" s="438"/>
      <c r="M62" s="438"/>
      <c r="N62" s="438"/>
      <c r="O62" s="438"/>
      <c r="P62" s="438"/>
      <c r="Q62" s="438"/>
      <c r="R62" s="564"/>
      <c r="S62" s="438"/>
      <c r="T62" s="439"/>
      <c r="U62" s="439"/>
      <c r="V62" s="439"/>
      <c r="W62" s="439"/>
      <c r="X62" s="439"/>
      <c r="Y62" s="439"/>
      <c r="Z62" s="439"/>
      <c r="AA62" s="439"/>
      <c r="AB62" s="439"/>
      <c r="AC62" s="439"/>
      <c r="AD62" s="439"/>
      <c r="AE62" s="564">
        <f t="shared" si="0"/>
        <v>0</v>
      </c>
    </row>
    <row r="63" spans="1:32" outlineLevel="1" x14ac:dyDescent="0.2">
      <c r="A63" s="416"/>
      <c r="B63" s="452"/>
      <c r="C63" s="452"/>
      <c r="D63" s="429" t="s">
        <v>506</v>
      </c>
      <c r="E63" s="425">
        <v>511</v>
      </c>
      <c r="F63" s="439"/>
      <c r="G63" s="439"/>
      <c r="H63" s="439"/>
      <c r="I63" s="439"/>
      <c r="J63" s="439"/>
      <c r="K63" s="439"/>
      <c r="L63" s="439"/>
      <c r="M63" s="439"/>
      <c r="N63" s="439"/>
      <c r="O63" s="439"/>
      <c r="P63" s="439"/>
      <c r="Q63" s="439"/>
      <c r="R63" s="564"/>
      <c r="S63" s="439"/>
      <c r="T63" s="439"/>
      <c r="U63" s="439"/>
      <c r="V63" s="439"/>
      <c r="W63" s="439"/>
      <c r="X63" s="439"/>
      <c r="Y63" s="439"/>
      <c r="Z63" s="439"/>
      <c r="AA63" s="439"/>
      <c r="AB63" s="439"/>
      <c r="AC63" s="439"/>
      <c r="AD63" s="439"/>
      <c r="AE63" s="564">
        <f t="shared" si="0"/>
        <v>0</v>
      </c>
    </row>
    <row r="64" spans="1:32" outlineLevel="1" x14ac:dyDescent="0.2">
      <c r="A64" s="416"/>
      <c r="B64" s="452"/>
      <c r="C64" s="452"/>
      <c r="D64" s="429" t="s">
        <v>530</v>
      </c>
      <c r="E64" s="430">
        <v>511</v>
      </c>
      <c r="F64" s="439"/>
      <c r="G64" s="439"/>
      <c r="H64" s="439"/>
      <c r="I64" s="439"/>
      <c r="J64" s="439"/>
      <c r="K64" s="439"/>
      <c r="L64" s="439"/>
      <c r="M64" s="439"/>
      <c r="N64" s="439"/>
      <c r="O64" s="439"/>
      <c r="P64" s="439"/>
      <c r="Q64" s="439"/>
      <c r="R64" s="564"/>
      <c r="S64" s="439"/>
      <c r="T64" s="439"/>
      <c r="U64" s="439"/>
      <c r="V64" s="439"/>
      <c r="W64" s="439"/>
      <c r="X64" s="439"/>
      <c r="Y64" s="439"/>
      <c r="Z64" s="439"/>
      <c r="AA64" s="439"/>
      <c r="AB64" s="439"/>
      <c r="AC64" s="439"/>
      <c r="AD64" s="439"/>
      <c r="AE64" s="564">
        <f t="shared" si="0"/>
        <v>0</v>
      </c>
    </row>
    <row r="65" spans="1:31" outlineLevel="1" x14ac:dyDescent="0.2">
      <c r="A65" s="416"/>
      <c r="B65" s="448"/>
      <c r="C65" s="448"/>
      <c r="D65" s="429" t="s">
        <v>507</v>
      </c>
      <c r="E65" s="430">
        <v>711</v>
      </c>
      <c r="F65" s="439"/>
      <c r="G65" s="439"/>
      <c r="H65" s="439"/>
      <c r="I65" s="439"/>
      <c r="J65" s="439"/>
      <c r="K65" s="439"/>
      <c r="L65" s="439"/>
      <c r="M65" s="439"/>
      <c r="N65" s="439"/>
      <c r="O65" s="439"/>
      <c r="P65" s="439"/>
      <c r="Q65" s="439"/>
      <c r="R65" s="564"/>
      <c r="S65" s="439"/>
      <c r="T65" s="439"/>
      <c r="U65" s="439"/>
      <c r="V65" s="439"/>
      <c r="W65" s="439"/>
      <c r="X65" s="439"/>
      <c r="Y65" s="439"/>
      <c r="Z65" s="439"/>
      <c r="AA65" s="439"/>
      <c r="AB65" s="439"/>
      <c r="AC65" s="439"/>
      <c r="AD65" s="439"/>
      <c r="AE65" s="564">
        <f t="shared" si="0"/>
        <v>0</v>
      </c>
    </row>
    <row r="66" spans="1:31" outlineLevel="1" x14ac:dyDescent="0.2">
      <c r="A66" s="416"/>
      <c r="B66" s="448"/>
      <c r="C66" s="448"/>
      <c r="D66" s="429" t="s">
        <v>521</v>
      </c>
      <c r="E66" s="430">
        <v>511</v>
      </c>
      <c r="F66" s="439"/>
      <c r="G66" s="439"/>
      <c r="H66" s="439"/>
      <c r="I66" s="439"/>
      <c r="J66" s="439"/>
      <c r="K66" s="439"/>
      <c r="L66" s="439"/>
      <c r="M66" s="439"/>
      <c r="N66" s="439"/>
      <c r="O66" s="439"/>
      <c r="P66" s="439"/>
      <c r="Q66" s="439"/>
      <c r="R66" s="564"/>
      <c r="S66" s="439"/>
      <c r="T66" s="439"/>
      <c r="U66" s="439"/>
      <c r="V66" s="439"/>
      <c r="W66" s="439"/>
      <c r="X66" s="439"/>
      <c r="Y66" s="439"/>
      <c r="Z66" s="439"/>
      <c r="AA66" s="439"/>
      <c r="AB66" s="439"/>
      <c r="AC66" s="439"/>
      <c r="AD66" s="439"/>
      <c r="AE66" s="564">
        <f t="shared" si="0"/>
        <v>0</v>
      </c>
    </row>
    <row r="67" spans="1:31" outlineLevel="1" x14ac:dyDescent="0.2">
      <c r="A67" s="416"/>
      <c r="B67" s="448"/>
      <c r="C67" s="452"/>
      <c r="D67" s="441" t="s">
        <v>511</v>
      </c>
      <c r="E67" s="430">
        <v>711</v>
      </c>
      <c r="F67" s="439"/>
      <c r="G67" s="439"/>
      <c r="H67" s="439"/>
      <c r="I67" s="439"/>
      <c r="J67" s="439"/>
      <c r="K67" s="439"/>
      <c r="L67" s="439"/>
      <c r="M67" s="439"/>
      <c r="N67" s="439"/>
      <c r="O67" s="439"/>
      <c r="P67" s="439"/>
      <c r="Q67" s="439"/>
      <c r="R67" s="564"/>
      <c r="S67" s="439"/>
      <c r="T67" s="439"/>
      <c r="U67" s="439"/>
      <c r="V67" s="439"/>
      <c r="W67" s="439"/>
      <c r="X67" s="439"/>
      <c r="Y67" s="439"/>
      <c r="Z67" s="439"/>
      <c r="AA67" s="439"/>
      <c r="AB67" s="439"/>
      <c r="AC67" s="439"/>
      <c r="AD67" s="439"/>
      <c r="AE67" s="564">
        <f t="shared" si="0"/>
        <v>0</v>
      </c>
    </row>
    <row r="68" spans="1:31" outlineLevel="1" x14ac:dyDescent="0.2">
      <c r="A68" s="599">
        <v>9</v>
      </c>
      <c r="B68" s="600" t="s">
        <v>536</v>
      </c>
      <c r="C68" s="600" t="s">
        <v>537</v>
      </c>
      <c r="D68" s="601" t="s">
        <v>505</v>
      </c>
      <c r="E68" s="602">
        <v>511</v>
      </c>
      <c r="F68" s="603"/>
      <c r="G68" s="603"/>
      <c r="H68" s="603"/>
      <c r="I68" s="603"/>
      <c r="J68" s="603"/>
      <c r="K68" s="603"/>
      <c r="L68" s="603"/>
      <c r="M68" s="603"/>
      <c r="N68" s="603"/>
      <c r="O68" s="603"/>
      <c r="P68" s="603"/>
      <c r="Q68" s="603"/>
      <c r="R68" s="604"/>
      <c r="S68" s="603"/>
      <c r="T68" s="603"/>
      <c r="U68" s="603"/>
      <c r="V68" s="603"/>
      <c r="W68" s="603"/>
      <c r="X68" s="603"/>
      <c r="Y68" s="603"/>
      <c r="Z68" s="603"/>
      <c r="AA68" s="603"/>
      <c r="AB68" s="603"/>
      <c r="AC68" s="603"/>
      <c r="AD68" s="603"/>
      <c r="AE68" s="604">
        <f t="shared" si="0"/>
        <v>0</v>
      </c>
    </row>
    <row r="69" spans="1:31" outlineLevel="1" x14ac:dyDescent="0.2">
      <c r="A69" s="416"/>
      <c r="B69" s="448"/>
      <c r="C69" s="448"/>
      <c r="D69" s="429" t="s">
        <v>515</v>
      </c>
      <c r="E69" s="425">
        <v>511</v>
      </c>
      <c r="F69" s="439"/>
      <c r="G69" s="439"/>
      <c r="H69" s="439"/>
      <c r="I69" s="439"/>
      <c r="J69" s="439"/>
      <c r="K69" s="439"/>
      <c r="L69" s="439"/>
      <c r="M69" s="439"/>
      <c r="N69" s="439"/>
      <c r="O69" s="439"/>
      <c r="P69" s="439"/>
      <c r="Q69" s="439"/>
      <c r="R69" s="564"/>
      <c r="S69" s="439"/>
      <c r="T69" s="439"/>
      <c r="U69" s="439"/>
      <c r="V69" s="439"/>
      <c r="W69" s="439"/>
      <c r="X69" s="439"/>
      <c r="Y69" s="439"/>
      <c r="Z69" s="439"/>
      <c r="AA69" s="439"/>
      <c r="AB69" s="439"/>
      <c r="AC69" s="439"/>
      <c r="AD69" s="439"/>
      <c r="AE69" s="564">
        <f t="shared" si="0"/>
        <v>0</v>
      </c>
    </row>
    <row r="70" spans="1:31" outlineLevel="1" x14ac:dyDescent="0.2">
      <c r="A70" s="416"/>
      <c r="B70" s="448"/>
      <c r="C70" s="448"/>
      <c r="D70" s="429" t="s">
        <v>506</v>
      </c>
      <c r="E70" s="425">
        <v>511</v>
      </c>
      <c r="F70" s="439"/>
      <c r="G70" s="439"/>
      <c r="H70" s="439"/>
      <c r="I70" s="439"/>
      <c r="J70" s="439"/>
      <c r="K70" s="439"/>
      <c r="L70" s="439"/>
      <c r="M70" s="439"/>
      <c r="N70" s="439"/>
      <c r="O70" s="439"/>
      <c r="P70" s="439"/>
      <c r="Q70" s="439"/>
      <c r="R70" s="564"/>
      <c r="S70" s="439"/>
      <c r="T70" s="439"/>
      <c r="U70" s="439"/>
      <c r="V70" s="439"/>
      <c r="W70" s="439"/>
      <c r="X70" s="439"/>
      <c r="Y70" s="439"/>
      <c r="Z70" s="439"/>
      <c r="AA70" s="439"/>
      <c r="AB70" s="439"/>
      <c r="AC70" s="439"/>
      <c r="AD70" s="439"/>
      <c r="AE70" s="564">
        <f t="shared" si="0"/>
        <v>0</v>
      </c>
    </row>
    <row r="71" spans="1:31" outlineLevel="1" x14ac:dyDescent="0.2">
      <c r="A71" s="416"/>
      <c r="B71" s="448"/>
      <c r="C71" s="448"/>
      <c r="D71" s="429" t="s">
        <v>530</v>
      </c>
      <c r="E71" s="430">
        <v>511</v>
      </c>
      <c r="F71" s="439"/>
      <c r="G71" s="439"/>
      <c r="H71" s="439"/>
      <c r="I71" s="439"/>
      <c r="J71" s="439"/>
      <c r="K71" s="439"/>
      <c r="L71" s="439"/>
      <c r="M71" s="439"/>
      <c r="N71" s="439"/>
      <c r="O71" s="439"/>
      <c r="P71" s="439"/>
      <c r="Q71" s="439"/>
      <c r="R71" s="564"/>
      <c r="S71" s="439"/>
      <c r="T71" s="439"/>
      <c r="U71" s="439"/>
      <c r="V71" s="439"/>
      <c r="W71" s="439"/>
      <c r="X71" s="439"/>
      <c r="Y71" s="439"/>
      <c r="Z71" s="439"/>
      <c r="AA71" s="439"/>
      <c r="AB71" s="439"/>
      <c r="AC71" s="439"/>
      <c r="AD71" s="439"/>
      <c r="AE71" s="564">
        <f t="shared" si="0"/>
        <v>0</v>
      </c>
    </row>
    <row r="72" spans="1:31" outlineLevel="1" x14ac:dyDescent="0.2">
      <c r="A72" s="416"/>
      <c r="B72" s="448"/>
      <c r="C72" s="448"/>
      <c r="D72" s="429" t="s">
        <v>511</v>
      </c>
      <c r="E72" s="430">
        <v>711</v>
      </c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564"/>
      <c r="S72" s="439"/>
      <c r="T72" s="439"/>
      <c r="U72" s="439"/>
      <c r="V72" s="439"/>
      <c r="W72" s="439"/>
      <c r="X72" s="439"/>
      <c r="Y72" s="439"/>
      <c r="Z72" s="439"/>
      <c r="AA72" s="439"/>
      <c r="AB72" s="439"/>
      <c r="AC72" s="439"/>
      <c r="AD72" s="439"/>
      <c r="AE72" s="564">
        <f t="shared" si="0"/>
        <v>0</v>
      </c>
    </row>
    <row r="73" spans="1:31" outlineLevel="1" x14ac:dyDescent="0.2">
      <c r="A73" s="599">
        <v>10</v>
      </c>
      <c r="B73" s="454" t="s">
        <v>538</v>
      </c>
      <c r="C73" s="600" t="s">
        <v>539</v>
      </c>
      <c r="D73" s="601" t="s">
        <v>505</v>
      </c>
      <c r="E73" s="602">
        <v>511</v>
      </c>
      <c r="F73" s="605"/>
      <c r="G73" s="605"/>
      <c r="H73" s="605"/>
      <c r="I73" s="605"/>
      <c r="J73" s="605"/>
      <c r="K73" s="605"/>
      <c r="L73" s="605"/>
      <c r="M73" s="605"/>
      <c r="N73" s="605"/>
      <c r="O73" s="605"/>
      <c r="P73" s="605"/>
      <c r="Q73" s="605"/>
      <c r="R73" s="604"/>
      <c r="S73" s="605"/>
      <c r="T73" s="603"/>
      <c r="U73" s="603"/>
      <c r="V73" s="603"/>
      <c r="W73" s="603"/>
      <c r="X73" s="603"/>
      <c r="Y73" s="603"/>
      <c r="Z73" s="603"/>
      <c r="AA73" s="603"/>
      <c r="AB73" s="603"/>
      <c r="AC73" s="603"/>
      <c r="AD73" s="603"/>
      <c r="AE73" s="604">
        <f t="shared" si="0"/>
        <v>0</v>
      </c>
    </row>
    <row r="74" spans="1:31" outlineLevel="1" x14ac:dyDescent="0.2">
      <c r="A74" s="416"/>
      <c r="B74" s="448"/>
      <c r="C74" s="452"/>
      <c r="D74" s="441" t="s">
        <v>515</v>
      </c>
      <c r="E74" s="430">
        <v>511</v>
      </c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567"/>
      <c r="S74" s="439"/>
      <c r="T74" s="439"/>
      <c r="U74" s="439"/>
      <c r="V74" s="439"/>
      <c r="W74" s="439"/>
      <c r="X74" s="439"/>
      <c r="Y74" s="439"/>
      <c r="Z74" s="439"/>
      <c r="AA74" s="439"/>
      <c r="AB74" s="439"/>
      <c r="AC74" s="439"/>
      <c r="AD74" s="439"/>
      <c r="AE74" s="567">
        <f t="shared" si="0"/>
        <v>0</v>
      </c>
    </row>
    <row r="75" spans="1:31" outlineLevel="1" x14ac:dyDescent="0.2">
      <c r="A75" s="440"/>
      <c r="B75" s="450"/>
      <c r="C75" s="450"/>
      <c r="D75" s="429" t="s">
        <v>506</v>
      </c>
      <c r="E75" s="430">
        <v>511</v>
      </c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567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  <c r="AC75" s="445"/>
      <c r="AD75" s="445"/>
      <c r="AE75" s="567">
        <f t="shared" si="0"/>
        <v>0</v>
      </c>
    </row>
    <row r="76" spans="1:31" outlineLevel="1" x14ac:dyDescent="0.2">
      <c r="A76" s="440"/>
      <c r="B76" s="450"/>
      <c r="C76" s="450"/>
      <c r="D76" s="429" t="s">
        <v>530</v>
      </c>
      <c r="E76" s="430">
        <v>511</v>
      </c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567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  <c r="AC76" s="445"/>
      <c r="AD76" s="445"/>
      <c r="AE76" s="567">
        <f t="shared" si="0"/>
        <v>0</v>
      </c>
    </row>
    <row r="77" spans="1:31" outlineLevel="1" x14ac:dyDescent="0.2">
      <c r="A77" s="431"/>
      <c r="B77" s="450"/>
      <c r="C77" s="450"/>
      <c r="D77" s="451" t="s">
        <v>511</v>
      </c>
      <c r="E77" s="456">
        <v>711</v>
      </c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56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  <c r="AC77" s="445"/>
      <c r="AD77" s="445"/>
      <c r="AE77" s="565">
        <f t="shared" si="0"/>
        <v>0</v>
      </c>
    </row>
    <row r="78" spans="1:31" outlineLevel="1" x14ac:dyDescent="0.2">
      <c r="A78" s="599">
        <v>11</v>
      </c>
      <c r="B78" s="600" t="s">
        <v>540</v>
      </c>
      <c r="C78" s="454" t="s">
        <v>541</v>
      </c>
      <c r="D78" s="457" t="s">
        <v>506</v>
      </c>
      <c r="E78" s="458">
        <v>511</v>
      </c>
      <c r="F78" s="603"/>
      <c r="G78" s="603"/>
      <c r="H78" s="603"/>
      <c r="I78" s="603"/>
      <c r="J78" s="603"/>
      <c r="K78" s="603"/>
      <c r="L78" s="603"/>
      <c r="M78" s="603"/>
      <c r="N78" s="603"/>
      <c r="O78" s="603"/>
      <c r="P78" s="603"/>
      <c r="Q78" s="603"/>
      <c r="R78" s="604"/>
      <c r="S78" s="603"/>
      <c r="T78" s="603"/>
      <c r="U78" s="603"/>
      <c r="V78" s="603"/>
      <c r="W78" s="603"/>
      <c r="X78" s="603"/>
      <c r="Y78" s="603"/>
      <c r="Z78" s="603"/>
      <c r="AA78" s="603"/>
      <c r="AB78" s="603"/>
      <c r="AC78" s="603"/>
      <c r="AD78" s="603"/>
      <c r="AE78" s="604">
        <f t="shared" si="0"/>
        <v>0</v>
      </c>
    </row>
    <row r="79" spans="1:31" outlineLevel="1" x14ac:dyDescent="0.2">
      <c r="A79" s="440"/>
      <c r="B79" s="450"/>
      <c r="C79" s="450"/>
      <c r="D79" s="451" t="s">
        <v>505</v>
      </c>
      <c r="E79" s="456">
        <v>511</v>
      </c>
      <c r="F79" s="439"/>
      <c r="G79" s="439"/>
      <c r="H79" s="439"/>
      <c r="I79" s="439"/>
      <c r="J79" s="439"/>
      <c r="K79" s="439"/>
      <c r="L79" s="439"/>
      <c r="M79" s="439"/>
      <c r="N79" s="439"/>
      <c r="O79" s="439"/>
      <c r="P79" s="439"/>
      <c r="Q79" s="439"/>
      <c r="R79" s="564"/>
      <c r="S79" s="439"/>
      <c r="T79" s="439"/>
      <c r="U79" s="439"/>
      <c r="V79" s="439"/>
      <c r="W79" s="439"/>
      <c r="X79" s="439"/>
      <c r="Y79" s="439"/>
      <c r="Z79" s="439"/>
      <c r="AA79" s="439"/>
      <c r="AB79" s="439"/>
      <c r="AC79" s="439"/>
      <c r="AD79" s="439"/>
      <c r="AE79" s="564">
        <f t="shared" si="0"/>
        <v>0</v>
      </c>
    </row>
    <row r="80" spans="1:31" outlineLevel="1" x14ac:dyDescent="0.2">
      <c r="A80" s="440"/>
      <c r="B80" s="450"/>
      <c r="C80" s="450"/>
      <c r="D80" s="451" t="s">
        <v>515</v>
      </c>
      <c r="E80" s="456">
        <v>511</v>
      </c>
      <c r="F80" s="439"/>
      <c r="G80" s="439"/>
      <c r="H80" s="439"/>
      <c r="I80" s="439"/>
      <c r="J80" s="439"/>
      <c r="K80" s="439"/>
      <c r="L80" s="439"/>
      <c r="M80" s="439"/>
      <c r="N80" s="439"/>
      <c r="O80" s="439"/>
      <c r="P80" s="439"/>
      <c r="Q80" s="439"/>
      <c r="R80" s="564"/>
      <c r="S80" s="439"/>
      <c r="T80" s="439"/>
      <c r="U80" s="439"/>
      <c r="V80" s="439"/>
      <c r="W80" s="439"/>
      <c r="X80" s="439"/>
      <c r="Y80" s="439"/>
      <c r="Z80" s="439"/>
      <c r="AA80" s="439"/>
      <c r="AB80" s="439"/>
      <c r="AC80" s="439"/>
      <c r="AD80" s="439"/>
      <c r="AE80" s="564">
        <f t="shared" si="0"/>
        <v>0</v>
      </c>
    </row>
    <row r="81" spans="1:32" outlineLevel="1" x14ac:dyDescent="0.2">
      <c r="A81" s="440"/>
      <c r="B81" s="450"/>
      <c r="C81" s="450"/>
      <c r="D81" s="451" t="s">
        <v>507</v>
      </c>
      <c r="E81" s="456">
        <v>711</v>
      </c>
      <c r="F81" s="439"/>
      <c r="G81" s="439"/>
      <c r="H81" s="439"/>
      <c r="I81" s="439"/>
      <c r="J81" s="439"/>
      <c r="K81" s="439"/>
      <c r="L81" s="439"/>
      <c r="M81" s="439"/>
      <c r="N81" s="439"/>
      <c r="O81" s="439"/>
      <c r="P81" s="439"/>
      <c r="Q81" s="439"/>
      <c r="R81" s="564"/>
      <c r="S81" s="439"/>
      <c r="T81" s="439"/>
      <c r="U81" s="439"/>
      <c r="V81" s="439"/>
      <c r="W81" s="439"/>
      <c r="X81" s="439"/>
      <c r="Y81" s="439"/>
      <c r="Z81" s="439"/>
      <c r="AA81" s="439"/>
      <c r="AB81" s="439"/>
      <c r="AC81" s="439"/>
      <c r="AD81" s="439"/>
      <c r="AE81" s="564">
        <f t="shared" ref="AE81:AE126" si="1">SUM(S81:AD81)</f>
        <v>0</v>
      </c>
    </row>
    <row r="82" spans="1:32" outlineLevel="1" x14ac:dyDescent="0.2">
      <c r="A82" s="440"/>
      <c r="B82" s="450"/>
      <c r="C82" s="448"/>
      <c r="D82" s="429" t="s">
        <v>508</v>
      </c>
      <c r="E82" s="430">
        <v>515</v>
      </c>
      <c r="F82" s="439"/>
      <c r="G82" s="439"/>
      <c r="H82" s="439"/>
      <c r="I82" s="439"/>
      <c r="J82" s="439"/>
      <c r="K82" s="439"/>
      <c r="L82" s="439"/>
      <c r="M82" s="439"/>
      <c r="N82" s="439"/>
      <c r="O82" s="439"/>
      <c r="P82" s="439"/>
      <c r="Q82" s="439"/>
      <c r="R82" s="564"/>
      <c r="S82" s="439"/>
      <c r="T82" s="439"/>
      <c r="U82" s="439"/>
      <c r="V82" s="439"/>
      <c r="W82" s="439"/>
      <c r="X82" s="439"/>
      <c r="Y82" s="439"/>
      <c r="Z82" s="439"/>
      <c r="AA82" s="439"/>
      <c r="AB82" s="439"/>
      <c r="AC82" s="439"/>
      <c r="AD82" s="439"/>
      <c r="AE82" s="564">
        <f t="shared" si="1"/>
        <v>0</v>
      </c>
    </row>
    <row r="83" spans="1:32" outlineLevel="1" x14ac:dyDescent="0.2">
      <c r="A83" s="431"/>
      <c r="B83" s="450"/>
      <c r="C83" s="524"/>
      <c r="D83" s="444" t="s">
        <v>511</v>
      </c>
      <c r="E83" s="459">
        <v>7118</v>
      </c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566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  <c r="AC83" s="445"/>
      <c r="AD83" s="445"/>
      <c r="AE83" s="566">
        <f t="shared" si="1"/>
        <v>0</v>
      </c>
    </row>
    <row r="84" spans="1:32" outlineLevel="1" x14ac:dyDescent="0.2">
      <c r="A84" s="599">
        <v>12</v>
      </c>
      <c r="B84" s="600" t="s">
        <v>542</v>
      </c>
      <c r="C84" s="600" t="s">
        <v>543</v>
      </c>
      <c r="D84" s="601" t="s">
        <v>505</v>
      </c>
      <c r="E84" s="602">
        <v>511521</v>
      </c>
      <c r="F84" s="603"/>
      <c r="G84" s="603"/>
      <c r="H84" s="603"/>
      <c r="I84" s="603"/>
      <c r="J84" s="603"/>
      <c r="K84" s="603"/>
      <c r="L84" s="603"/>
      <c r="M84" s="603"/>
      <c r="N84" s="603"/>
      <c r="O84" s="603"/>
      <c r="P84" s="603"/>
      <c r="Q84" s="603"/>
      <c r="R84" s="604"/>
      <c r="S84" s="603"/>
      <c r="T84" s="603"/>
      <c r="U84" s="603"/>
      <c r="V84" s="603"/>
      <c r="W84" s="603"/>
      <c r="X84" s="603"/>
      <c r="Y84" s="603"/>
      <c r="Z84" s="603"/>
      <c r="AA84" s="603"/>
      <c r="AB84" s="603"/>
      <c r="AC84" s="603"/>
      <c r="AD84" s="603"/>
      <c r="AE84" s="604">
        <f t="shared" si="1"/>
        <v>0</v>
      </c>
    </row>
    <row r="85" spans="1:32" outlineLevel="1" x14ac:dyDescent="0.2">
      <c r="A85" s="440"/>
      <c r="B85" s="448"/>
      <c r="C85" s="448"/>
      <c r="D85" s="429" t="s">
        <v>515</v>
      </c>
      <c r="E85" s="425">
        <v>511</v>
      </c>
      <c r="F85" s="439"/>
      <c r="G85" s="439"/>
      <c r="H85" s="439"/>
      <c r="I85" s="439"/>
      <c r="J85" s="439"/>
      <c r="K85" s="439"/>
      <c r="L85" s="439"/>
      <c r="M85" s="439"/>
      <c r="N85" s="439"/>
      <c r="O85" s="439"/>
      <c r="P85" s="439"/>
      <c r="Q85" s="439"/>
      <c r="R85" s="564"/>
      <c r="S85" s="439"/>
      <c r="T85" s="439"/>
      <c r="U85" s="439"/>
      <c r="V85" s="439"/>
      <c r="W85" s="439"/>
      <c r="X85" s="439"/>
      <c r="Y85" s="439"/>
      <c r="Z85" s="439"/>
      <c r="AA85" s="439"/>
      <c r="AB85" s="439"/>
      <c r="AC85" s="439"/>
      <c r="AD85" s="439"/>
      <c r="AE85" s="564">
        <f t="shared" si="1"/>
        <v>0</v>
      </c>
    </row>
    <row r="86" spans="1:32" outlineLevel="1" x14ac:dyDescent="0.2">
      <c r="A86" s="440"/>
      <c r="B86" s="448"/>
      <c r="C86" s="448"/>
      <c r="D86" s="429" t="s">
        <v>506</v>
      </c>
      <c r="E86" s="425">
        <v>511</v>
      </c>
      <c r="F86" s="439"/>
      <c r="G86" s="439"/>
      <c r="H86" s="439"/>
      <c r="I86" s="439"/>
      <c r="J86" s="439"/>
      <c r="K86" s="439"/>
      <c r="L86" s="439"/>
      <c r="M86" s="439"/>
      <c r="N86" s="439"/>
      <c r="O86" s="439"/>
      <c r="P86" s="439"/>
      <c r="Q86" s="439"/>
      <c r="R86" s="564"/>
      <c r="S86" s="439"/>
      <c r="T86" s="439"/>
      <c r="U86" s="439"/>
      <c r="V86" s="439"/>
      <c r="W86" s="439"/>
      <c r="X86" s="439"/>
      <c r="Y86" s="439"/>
      <c r="Z86" s="439"/>
      <c r="AA86" s="439"/>
      <c r="AB86" s="439"/>
      <c r="AC86" s="439"/>
      <c r="AD86" s="439"/>
      <c r="AE86" s="564">
        <f t="shared" si="1"/>
        <v>0</v>
      </c>
    </row>
    <row r="87" spans="1:32" outlineLevel="1" x14ac:dyDescent="0.2">
      <c r="A87" s="440"/>
      <c r="B87" s="448"/>
      <c r="C87" s="448"/>
      <c r="D87" s="429" t="s">
        <v>530</v>
      </c>
      <c r="E87" s="430">
        <v>511</v>
      </c>
      <c r="F87" s="439"/>
      <c r="G87" s="439"/>
      <c r="H87" s="439"/>
      <c r="I87" s="439"/>
      <c r="J87" s="439"/>
      <c r="K87" s="439"/>
      <c r="L87" s="439"/>
      <c r="M87" s="439"/>
      <c r="N87" s="439"/>
      <c r="O87" s="439"/>
      <c r="P87" s="439"/>
      <c r="Q87" s="439"/>
      <c r="R87" s="564"/>
      <c r="S87" s="439"/>
      <c r="T87" s="439"/>
      <c r="U87" s="439"/>
      <c r="V87" s="439"/>
      <c r="W87" s="439"/>
      <c r="X87" s="439"/>
      <c r="Y87" s="439"/>
      <c r="Z87" s="439"/>
      <c r="AA87" s="439"/>
      <c r="AB87" s="439"/>
      <c r="AC87" s="439"/>
      <c r="AD87" s="439"/>
      <c r="AE87" s="564">
        <f t="shared" si="1"/>
        <v>0</v>
      </c>
    </row>
    <row r="88" spans="1:32" outlineLevel="1" x14ac:dyDescent="0.2">
      <c r="A88" s="440"/>
      <c r="B88" s="448"/>
      <c r="C88" s="448"/>
      <c r="D88" s="429" t="s">
        <v>507</v>
      </c>
      <c r="E88" s="430">
        <v>711</v>
      </c>
      <c r="F88" s="439"/>
      <c r="G88" s="439"/>
      <c r="H88" s="439"/>
      <c r="I88" s="439"/>
      <c r="J88" s="439"/>
      <c r="K88" s="439"/>
      <c r="L88" s="439"/>
      <c r="M88" s="439"/>
      <c r="N88" s="439"/>
      <c r="O88" s="439"/>
      <c r="P88" s="439"/>
      <c r="Q88" s="439"/>
      <c r="R88" s="564"/>
      <c r="S88" s="439"/>
      <c r="T88" s="439"/>
      <c r="U88" s="439"/>
      <c r="V88" s="439"/>
      <c r="W88" s="439"/>
      <c r="X88" s="439"/>
      <c r="Y88" s="439"/>
      <c r="Z88" s="439"/>
      <c r="AA88" s="439"/>
      <c r="AB88" s="439"/>
      <c r="AC88" s="439"/>
      <c r="AD88" s="439"/>
      <c r="AE88" s="564">
        <f t="shared" si="1"/>
        <v>0</v>
      </c>
    </row>
    <row r="89" spans="1:32" outlineLevel="1" x14ac:dyDescent="0.2">
      <c r="A89" s="440"/>
      <c r="B89" s="448"/>
      <c r="C89" s="448"/>
      <c r="D89" s="429" t="s">
        <v>508</v>
      </c>
      <c r="E89" s="430">
        <v>515</v>
      </c>
      <c r="F89" s="439"/>
      <c r="G89" s="439"/>
      <c r="H89" s="439"/>
      <c r="I89" s="439"/>
      <c r="J89" s="439"/>
      <c r="K89" s="439"/>
      <c r="L89" s="439"/>
      <c r="M89" s="439"/>
      <c r="N89" s="439"/>
      <c r="O89" s="439"/>
      <c r="P89" s="439"/>
      <c r="Q89" s="439"/>
      <c r="R89" s="564"/>
      <c r="S89" s="439"/>
      <c r="T89" s="439"/>
      <c r="U89" s="439"/>
      <c r="V89" s="439"/>
      <c r="W89" s="439"/>
      <c r="X89" s="439"/>
      <c r="Y89" s="439"/>
      <c r="Z89" s="439"/>
      <c r="AA89" s="439"/>
      <c r="AB89" s="439"/>
      <c r="AC89" s="439"/>
      <c r="AD89" s="439"/>
      <c r="AE89" s="564">
        <f t="shared" si="1"/>
        <v>0</v>
      </c>
    </row>
    <row r="90" spans="1:32" outlineLevel="1" x14ac:dyDescent="0.2">
      <c r="A90" s="442"/>
      <c r="B90" s="450"/>
      <c r="C90" s="450"/>
      <c r="D90" s="451" t="s">
        <v>511</v>
      </c>
      <c r="E90" s="459">
        <v>7118</v>
      </c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566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  <c r="AC90" s="445"/>
      <c r="AD90" s="445"/>
      <c r="AE90" s="566">
        <f t="shared" si="1"/>
        <v>0</v>
      </c>
    </row>
    <row r="91" spans="1:32" outlineLevel="1" x14ac:dyDescent="0.2">
      <c r="A91" s="460">
        <v>13</v>
      </c>
      <c r="B91" s="600" t="s">
        <v>544</v>
      </c>
      <c r="C91" s="600" t="s">
        <v>545</v>
      </c>
      <c r="D91" s="601" t="s">
        <v>506</v>
      </c>
      <c r="E91" s="458">
        <v>511</v>
      </c>
      <c r="F91" s="603"/>
      <c r="G91" s="603"/>
      <c r="H91" s="603"/>
      <c r="I91" s="603"/>
      <c r="J91" s="603"/>
      <c r="K91" s="603"/>
      <c r="L91" s="603"/>
      <c r="M91" s="603"/>
      <c r="N91" s="603"/>
      <c r="O91" s="603"/>
      <c r="P91" s="603"/>
      <c r="Q91" s="603"/>
      <c r="R91" s="604"/>
      <c r="S91" s="603"/>
      <c r="T91" s="603"/>
      <c r="U91" s="603"/>
      <c r="V91" s="603"/>
      <c r="W91" s="603"/>
      <c r="X91" s="603"/>
      <c r="Y91" s="603"/>
      <c r="Z91" s="603"/>
      <c r="AA91" s="603"/>
      <c r="AB91" s="603"/>
      <c r="AC91" s="603"/>
      <c r="AD91" s="603"/>
      <c r="AE91" s="604">
        <f t="shared" si="1"/>
        <v>0</v>
      </c>
      <c r="AF91" s="447"/>
    </row>
    <row r="92" spans="1:32" outlineLevel="1" x14ac:dyDescent="0.2">
      <c r="A92" s="442"/>
      <c r="B92" s="450"/>
      <c r="C92" s="450"/>
      <c r="D92" s="429" t="s">
        <v>505</v>
      </c>
      <c r="E92" s="456">
        <v>511</v>
      </c>
      <c r="F92" s="439"/>
      <c r="G92" s="439"/>
      <c r="H92" s="439"/>
      <c r="I92" s="439"/>
      <c r="J92" s="439"/>
      <c r="K92" s="439"/>
      <c r="L92" s="439"/>
      <c r="M92" s="439"/>
      <c r="N92" s="439"/>
      <c r="O92" s="439"/>
      <c r="P92" s="439"/>
      <c r="Q92" s="439"/>
      <c r="R92" s="564"/>
      <c r="S92" s="439"/>
      <c r="T92" s="439"/>
      <c r="U92" s="439"/>
      <c r="V92" s="439"/>
      <c r="W92" s="439"/>
      <c r="X92" s="439"/>
      <c r="Y92" s="439"/>
      <c r="Z92" s="439"/>
      <c r="AA92" s="439"/>
      <c r="AB92" s="439"/>
      <c r="AC92" s="439"/>
      <c r="AD92" s="439"/>
      <c r="AE92" s="564">
        <f t="shared" si="1"/>
        <v>0</v>
      </c>
    </row>
    <row r="93" spans="1:32" outlineLevel="1" x14ac:dyDescent="0.2">
      <c r="A93" s="442"/>
      <c r="B93" s="450"/>
      <c r="C93" s="450"/>
      <c r="D93" s="451" t="s">
        <v>515</v>
      </c>
      <c r="E93" s="456">
        <v>511</v>
      </c>
      <c r="F93" s="439"/>
      <c r="G93" s="439"/>
      <c r="H93" s="439"/>
      <c r="I93" s="439"/>
      <c r="J93" s="439"/>
      <c r="K93" s="439"/>
      <c r="L93" s="439"/>
      <c r="M93" s="439"/>
      <c r="N93" s="439"/>
      <c r="O93" s="439"/>
      <c r="P93" s="439"/>
      <c r="Q93" s="439"/>
      <c r="R93" s="564"/>
      <c r="S93" s="439"/>
      <c r="T93" s="439"/>
      <c r="U93" s="439"/>
      <c r="V93" s="439"/>
      <c r="W93" s="439"/>
      <c r="X93" s="439"/>
      <c r="Y93" s="439"/>
      <c r="Z93" s="439"/>
      <c r="AA93" s="439"/>
      <c r="AB93" s="439"/>
      <c r="AC93" s="439"/>
      <c r="AD93" s="439"/>
      <c r="AE93" s="564">
        <f t="shared" si="1"/>
        <v>0</v>
      </c>
    </row>
    <row r="94" spans="1:32" outlineLevel="1" x14ac:dyDescent="0.2">
      <c r="A94" s="442"/>
      <c r="B94" s="450"/>
      <c r="C94" s="450"/>
      <c r="D94" s="451" t="s">
        <v>507</v>
      </c>
      <c r="E94" s="456">
        <v>711</v>
      </c>
      <c r="F94" s="439"/>
      <c r="G94" s="439"/>
      <c r="H94" s="439"/>
      <c r="I94" s="439"/>
      <c r="J94" s="439"/>
      <c r="K94" s="439"/>
      <c r="L94" s="439"/>
      <c r="M94" s="439"/>
      <c r="N94" s="439"/>
      <c r="O94" s="439"/>
      <c r="P94" s="439"/>
      <c r="Q94" s="439"/>
      <c r="R94" s="564"/>
      <c r="S94" s="439"/>
      <c r="T94" s="439"/>
      <c r="U94" s="439"/>
      <c r="V94" s="439"/>
      <c r="W94" s="439"/>
      <c r="X94" s="439"/>
      <c r="Y94" s="439"/>
      <c r="Z94" s="439"/>
      <c r="AA94" s="439"/>
      <c r="AB94" s="439"/>
      <c r="AC94" s="439"/>
      <c r="AD94" s="439"/>
      <c r="AE94" s="564">
        <f t="shared" si="1"/>
        <v>0</v>
      </c>
    </row>
    <row r="95" spans="1:32" outlineLevel="1" x14ac:dyDescent="0.2">
      <c r="A95" s="442"/>
      <c r="B95" s="448"/>
      <c r="C95" s="448"/>
      <c r="D95" s="429" t="s">
        <v>508</v>
      </c>
      <c r="E95" s="430">
        <v>515</v>
      </c>
      <c r="F95" s="439"/>
      <c r="G95" s="439"/>
      <c r="H95" s="439"/>
      <c r="I95" s="439"/>
      <c r="J95" s="439"/>
      <c r="K95" s="439"/>
      <c r="L95" s="439"/>
      <c r="M95" s="439"/>
      <c r="N95" s="439"/>
      <c r="O95" s="439"/>
      <c r="P95" s="439"/>
      <c r="Q95" s="439"/>
      <c r="R95" s="564"/>
      <c r="S95" s="439"/>
      <c r="T95" s="439"/>
      <c r="U95" s="439"/>
      <c r="V95" s="439"/>
      <c r="W95" s="439"/>
      <c r="X95" s="439"/>
      <c r="Y95" s="439"/>
      <c r="Z95" s="439"/>
      <c r="AA95" s="439"/>
      <c r="AB95" s="439"/>
      <c r="AC95" s="439"/>
      <c r="AD95" s="439"/>
      <c r="AE95" s="564">
        <f t="shared" si="1"/>
        <v>0</v>
      </c>
    </row>
    <row r="96" spans="1:32" outlineLevel="1" x14ac:dyDescent="0.2">
      <c r="A96" s="442"/>
      <c r="B96" s="461"/>
      <c r="C96" s="463"/>
      <c r="D96" s="444" t="s">
        <v>511</v>
      </c>
      <c r="E96" s="459">
        <v>7118</v>
      </c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566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  <c r="AC96" s="445"/>
      <c r="AD96" s="445"/>
      <c r="AE96" s="566">
        <f t="shared" si="1"/>
        <v>0</v>
      </c>
    </row>
    <row r="97" spans="1:33" outlineLevel="1" x14ac:dyDescent="0.2">
      <c r="A97" s="599">
        <v>14</v>
      </c>
      <c r="B97" s="600" t="s">
        <v>546</v>
      </c>
      <c r="C97" s="600" t="s">
        <v>547</v>
      </c>
      <c r="D97" s="601" t="s">
        <v>505</v>
      </c>
      <c r="E97" s="602">
        <v>511</v>
      </c>
      <c r="F97" s="603"/>
      <c r="G97" s="603"/>
      <c r="H97" s="603"/>
      <c r="I97" s="603"/>
      <c r="J97" s="603"/>
      <c r="K97" s="603"/>
      <c r="L97" s="603"/>
      <c r="M97" s="603"/>
      <c r="N97" s="603"/>
      <c r="O97" s="603"/>
      <c r="P97" s="603"/>
      <c r="Q97" s="603"/>
      <c r="R97" s="604"/>
      <c r="S97" s="603"/>
      <c r="T97" s="603"/>
      <c r="U97" s="603"/>
      <c r="V97" s="603"/>
      <c r="W97" s="603"/>
      <c r="X97" s="603"/>
      <c r="Y97" s="603"/>
      <c r="Z97" s="603"/>
      <c r="AA97" s="603"/>
      <c r="AB97" s="603"/>
      <c r="AC97" s="603"/>
      <c r="AD97" s="603"/>
      <c r="AE97" s="604">
        <f t="shared" si="1"/>
        <v>0</v>
      </c>
      <c r="AF97" s="462"/>
      <c r="AG97" s="462"/>
    </row>
    <row r="98" spans="1:33" outlineLevel="1" x14ac:dyDescent="0.2">
      <c r="A98" s="442"/>
      <c r="B98" s="450"/>
      <c r="C98" s="450"/>
      <c r="D98" s="451" t="s">
        <v>515</v>
      </c>
      <c r="E98" s="456">
        <v>511</v>
      </c>
      <c r="F98" s="439"/>
      <c r="G98" s="439"/>
      <c r="H98" s="439"/>
      <c r="I98" s="439"/>
      <c r="J98" s="439"/>
      <c r="K98" s="439"/>
      <c r="L98" s="439"/>
      <c r="M98" s="439"/>
      <c r="N98" s="439"/>
      <c r="O98" s="439"/>
      <c r="P98" s="439"/>
      <c r="Q98" s="439"/>
      <c r="R98" s="564"/>
      <c r="S98" s="439"/>
      <c r="T98" s="439"/>
      <c r="U98" s="439"/>
      <c r="V98" s="439"/>
      <c r="W98" s="439"/>
      <c r="X98" s="439"/>
      <c r="Y98" s="439"/>
      <c r="Z98" s="439"/>
      <c r="AA98" s="439"/>
      <c r="AB98" s="439"/>
      <c r="AC98" s="439"/>
      <c r="AD98" s="439"/>
      <c r="AE98" s="564">
        <f t="shared" si="1"/>
        <v>0</v>
      </c>
    </row>
    <row r="99" spans="1:33" outlineLevel="1" x14ac:dyDescent="0.2">
      <c r="A99" s="442"/>
      <c r="B99" s="450"/>
      <c r="C99" s="450"/>
      <c r="D99" s="429" t="s">
        <v>506</v>
      </c>
      <c r="E99" s="456">
        <v>511</v>
      </c>
      <c r="F99" s="439"/>
      <c r="G99" s="439"/>
      <c r="H99" s="439"/>
      <c r="I99" s="439"/>
      <c r="J99" s="439"/>
      <c r="K99" s="439"/>
      <c r="L99" s="439"/>
      <c r="M99" s="439"/>
      <c r="N99" s="439"/>
      <c r="O99" s="439"/>
      <c r="P99" s="439"/>
      <c r="Q99" s="439"/>
      <c r="R99" s="564"/>
      <c r="S99" s="439"/>
      <c r="T99" s="439"/>
      <c r="U99" s="439"/>
      <c r="V99" s="439"/>
      <c r="W99" s="439"/>
      <c r="X99" s="439"/>
      <c r="Y99" s="439"/>
      <c r="Z99" s="439"/>
      <c r="AA99" s="439"/>
      <c r="AB99" s="439"/>
      <c r="AC99" s="439"/>
      <c r="AD99" s="439"/>
      <c r="AE99" s="564">
        <f t="shared" si="1"/>
        <v>0</v>
      </c>
    </row>
    <row r="100" spans="1:33" outlineLevel="1" x14ac:dyDescent="0.2">
      <c r="A100" s="442"/>
      <c r="B100" s="450"/>
      <c r="C100" s="450"/>
      <c r="D100" s="451" t="s">
        <v>511</v>
      </c>
      <c r="E100" s="459">
        <v>7118</v>
      </c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566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  <c r="AC100" s="445"/>
      <c r="AD100" s="445"/>
      <c r="AE100" s="566">
        <f t="shared" si="1"/>
        <v>0</v>
      </c>
    </row>
    <row r="101" spans="1:33" outlineLevel="1" x14ac:dyDescent="0.2">
      <c r="A101" s="599">
        <v>15</v>
      </c>
      <c r="B101" s="600" t="s">
        <v>548</v>
      </c>
      <c r="C101" s="600" t="s">
        <v>549</v>
      </c>
      <c r="D101" s="601" t="s">
        <v>505</v>
      </c>
      <c r="E101" s="602">
        <v>511</v>
      </c>
      <c r="F101" s="603"/>
      <c r="G101" s="603"/>
      <c r="H101" s="603"/>
      <c r="I101" s="603"/>
      <c r="J101" s="603"/>
      <c r="K101" s="603"/>
      <c r="L101" s="603"/>
      <c r="M101" s="603"/>
      <c r="N101" s="603"/>
      <c r="O101" s="603"/>
      <c r="P101" s="603"/>
      <c r="Q101" s="603"/>
      <c r="R101" s="604"/>
      <c r="S101" s="603"/>
      <c r="T101" s="603"/>
      <c r="U101" s="603"/>
      <c r="V101" s="603"/>
      <c r="W101" s="603"/>
      <c r="X101" s="603"/>
      <c r="Y101" s="603"/>
      <c r="Z101" s="603"/>
      <c r="AA101" s="603"/>
      <c r="AB101" s="603"/>
      <c r="AC101" s="603"/>
      <c r="AD101" s="603"/>
      <c r="AE101" s="604">
        <f t="shared" si="1"/>
        <v>0</v>
      </c>
    </row>
    <row r="102" spans="1:33" outlineLevel="1" x14ac:dyDescent="0.2">
      <c r="A102" s="442"/>
      <c r="B102" s="450"/>
      <c r="C102" s="450"/>
      <c r="D102" s="451" t="s">
        <v>515</v>
      </c>
      <c r="E102" s="456">
        <v>511</v>
      </c>
      <c r="F102" s="439"/>
      <c r="G102" s="439"/>
      <c r="H102" s="439"/>
      <c r="I102" s="439"/>
      <c r="J102" s="439"/>
      <c r="K102" s="439"/>
      <c r="L102" s="439"/>
      <c r="M102" s="439"/>
      <c r="N102" s="439"/>
      <c r="O102" s="439"/>
      <c r="P102" s="439"/>
      <c r="Q102" s="439"/>
      <c r="R102" s="564"/>
      <c r="S102" s="439"/>
      <c r="T102" s="439"/>
      <c r="U102" s="439"/>
      <c r="V102" s="439"/>
      <c r="W102" s="439"/>
      <c r="X102" s="439"/>
      <c r="Y102" s="439"/>
      <c r="Z102" s="439"/>
      <c r="AA102" s="439"/>
      <c r="AB102" s="439"/>
      <c r="AC102" s="439"/>
      <c r="AD102" s="439"/>
      <c r="AE102" s="564">
        <f t="shared" si="1"/>
        <v>0</v>
      </c>
    </row>
    <row r="103" spans="1:33" outlineLevel="1" x14ac:dyDescent="0.2">
      <c r="A103" s="442"/>
      <c r="B103" s="450"/>
      <c r="C103" s="450"/>
      <c r="D103" s="451" t="s">
        <v>511</v>
      </c>
      <c r="E103" s="456">
        <v>511</v>
      </c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566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  <c r="AC103" s="445"/>
      <c r="AD103" s="445"/>
      <c r="AE103" s="566">
        <f t="shared" si="1"/>
        <v>0</v>
      </c>
    </row>
    <row r="104" spans="1:33" outlineLevel="1" x14ac:dyDescent="0.2">
      <c r="A104" s="460">
        <v>16</v>
      </c>
      <c r="B104" s="600" t="s">
        <v>550</v>
      </c>
      <c r="C104" s="600" t="s">
        <v>551</v>
      </c>
      <c r="D104" s="601" t="s">
        <v>505</v>
      </c>
      <c r="E104" s="458">
        <v>511</v>
      </c>
      <c r="F104" s="603"/>
      <c r="G104" s="603"/>
      <c r="H104" s="603"/>
      <c r="I104" s="603"/>
      <c r="J104" s="603"/>
      <c r="K104" s="603"/>
      <c r="L104" s="603"/>
      <c r="M104" s="603"/>
      <c r="N104" s="603"/>
      <c r="O104" s="603"/>
      <c r="P104" s="603"/>
      <c r="Q104" s="603"/>
      <c r="R104" s="604"/>
      <c r="S104" s="603"/>
      <c r="T104" s="603"/>
      <c r="U104" s="603"/>
      <c r="V104" s="603"/>
      <c r="W104" s="603"/>
      <c r="X104" s="603"/>
      <c r="Y104" s="603"/>
      <c r="Z104" s="603"/>
      <c r="AA104" s="603"/>
      <c r="AB104" s="603"/>
      <c r="AC104" s="603"/>
      <c r="AD104" s="603"/>
      <c r="AE104" s="604">
        <f t="shared" si="1"/>
        <v>0</v>
      </c>
    </row>
    <row r="105" spans="1:33" outlineLevel="1" x14ac:dyDescent="0.2">
      <c r="A105" s="442"/>
      <c r="B105" s="448"/>
      <c r="C105" s="452"/>
      <c r="D105" s="441" t="s">
        <v>515</v>
      </c>
      <c r="E105" s="456">
        <v>511</v>
      </c>
      <c r="F105" s="439"/>
      <c r="G105" s="439"/>
      <c r="H105" s="439"/>
      <c r="I105" s="439"/>
      <c r="J105" s="439"/>
      <c r="K105" s="439"/>
      <c r="L105" s="439"/>
      <c r="M105" s="439"/>
      <c r="N105" s="439"/>
      <c r="O105" s="439"/>
      <c r="P105" s="439"/>
      <c r="Q105" s="439"/>
      <c r="R105" s="564"/>
      <c r="S105" s="439"/>
      <c r="T105" s="439"/>
      <c r="U105" s="439"/>
      <c r="V105" s="439"/>
      <c r="W105" s="439"/>
      <c r="X105" s="439"/>
      <c r="Y105" s="439"/>
      <c r="Z105" s="439"/>
      <c r="AA105" s="439"/>
      <c r="AB105" s="439"/>
      <c r="AC105" s="439"/>
      <c r="AD105" s="439"/>
      <c r="AE105" s="564">
        <f t="shared" si="1"/>
        <v>0</v>
      </c>
    </row>
    <row r="106" spans="1:33" outlineLevel="1" x14ac:dyDescent="0.2">
      <c r="A106" s="442"/>
      <c r="B106" s="463"/>
      <c r="C106" s="524"/>
      <c r="D106" s="444" t="s">
        <v>511</v>
      </c>
      <c r="E106" s="464">
        <v>7118</v>
      </c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566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  <c r="AC106" s="445"/>
      <c r="AD106" s="445"/>
      <c r="AE106" s="566">
        <f t="shared" si="1"/>
        <v>0</v>
      </c>
    </row>
    <row r="107" spans="1:33" outlineLevel="1" x14ac:dyDescent="0.2">
      <c r="A107" s="599">
        <v>17</v>
      </c>
      <c r="B107" s="600" t="s">
        <v>552</v>
      </c>
      <c r="C107" s="600" t="s">
        <v>553</v>
      </c>
      <c r="D107" s="601" t="s">
        <v>505</v>
      </c>
      <c r="E107" s="602">
        <v>511</v>
      </c>
      <c r="F107" s="603"/>
      <c r="G107" s="603"/>
      <c r="H107" s="603"/>
      <c r="I107" s="603"/>
      <c r="J107" s="603"/>
      <c r="K107" s="603"/>
      <c r="L107" s="603"/>
      <c r="M107" s="603"/>
      <c r="N107" s="603"/>
      <c r="O107" s="603"/>
      <c r="P107" s="603"/>
      <c r="Q107" s="603"/>
      <c r="R107" s="604"/>
      <c r="S107" s="603"/>
      <c r="T107" s="603"/>
      <c r="U107" s="603"/>
      <c r="V107" s="603"/>
      <c r="W107" s="603"/>
      <c r="X107" s="603"/>
      <c r="Y107" s="603"/>
      <c r="Z107" s="603"/>
      <c r="AA107" s="603"/>
      <c r="AB107" s="603"/>
      <c r="AC107" s="603"/>
      <c r="AD107" s="603"/>
      <c r="AE107" s="604">
        <f t="shared" si="1"/>
        <v>0</v>
      </c>
    </row>
    <row r="108" spans="1:33" outlineLevel="1" x14ac:dyDescent="0.2">
      <c r="A108" s="442"/>
      <c r="B108" s="450"/>
      <c r="C108" s="450"/>
      <c r="D108" s="451" t="s">
        <v>515</v>
      </c>
      <c r="E108" s="456">
        <v>511</v>
      </c>
      <c r="F108" s="439"/>
      <c r="G108" s="439"/>
      <c r="H108" s="439"/>
      <c r="I108" s="439"/>
      <c r="J108" s="439"/>
      <c r="K108" s="439"/>
      <c r="L108" s="439"/>
      <c r="M108" s="439"/>
      <c r="N108" s="439"/>
      <c r="O108" s="439"/>
      <c r="P108" s="439"/>
      <c r="Q108" s="439"/>
      <c r="R108" s="564"/>
      <c r="S108" s="439"/>
      <c r="T108" s="439"/>
      <c r="U108" s="439"/>
      <c r="V108" s="439"/>
      <c r="W108" s="439"/>
      <c r="X108" s="439"/>
      <c r="Y108" s="439"/>
      <c r="Z108" s="439"/>
      <c r="AA108" s="439"/>
      <c r="AB108" s="439"/>
      <c r="AC108" s="439"/>
      <c r="AD108" s="439"/>
      <c r="AE108" s="564">
        <f t="shared" si="1"/>
        <v>0</v>
      </c>
    </row>
    <row r="109" spans="1:33" outlineLevel="1" x14ac:dyDescent="0.2">
      <c r="A109" s="442"/>
      <c r="B109" s="450"/>
      <c r="C109" s="450"/>
      <c r="D109" s="429" t="s">
        <v>506</v>
      </c>
      <c r="E109" s="456">
        <v>511</v>
      </c>
      <c r="F109" s="439"/>
      <c r="G109" s="439"/>
      <c r="H109" s="439"/>
      <c r="I109" s="439"/>
      <c r="J109" s="439"/>
      <c r="K109" s="439"/>
      <c r="L109" s="439"/>
      <c r="M109" s="439"/>
      <c r="N109" s="439"/>
      <c r="O109" s="439"/>
      <c r="P109" s="439"/>
      <c r="Q109" s="439"/>
      <c r="R109" s="564"/>
      <c r="S109" s="439"/>
      <c r="T109" s="439"/>
      <c r="U109" s="439"/>
      <c r="V109" s="439"/>
      <c r="W109" s="439"/>
      <c r="X109" s="439"/>
      <c r="Y109" s="439"/>
      <c r="Z109" s="439"/>
      <c r="AA109" s="439"/>
      <c r="AB109" s="439"/>
      <c r="AC109" s="439"/>
      <c r="AD109" s="439"/>
      <c r="AE109" s="564">
        <f t="shared" si="1"/>
        <v>0</v>
      </c>
    </row>
    <row r="110" spans="1:33" outlineLevel="1" x14ac:dyDescent="0.2">
      <c r="A110" s="442"/>
      <c r="B110" s="450"/>
      <c r="C110" s="450"/>
      <c r="D110" s="451" t="s">
        <v>511</v>
      </c>
      <c r="E110" s="464">
        <v>7118</v>
      </c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566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  <c r="AC110" s="445"/>
      <c r="AD110" s="445"/>
      <c r="AE110" s="566">
        <f t="shared" si="1"/>
        <v>0</v>
      </c>
    </row>
    <row r="111" spans="1:33" outlineLevel="1" x14ac:dyDescent="0.2">
      <c r="A111" s="599">
        <v>18</v>
      </c>
      <c r="B111" s="600" t="s">
        <v>554</v>
      </c>
      <c r="C111" s="600" t="s">
        <v>555</v>
      </c>
      <c r="D111" s="601" t="s">
        <v>505</v>
      </c>
      <c r="E111" s="602">
        <v>511</v>
      </c>
      <c r="F111" s="603"/>
      <c r="G111" s="603"/>
      <c r="H111" s="603"/>
      <c r="I111" s="603"/>
      <c r="J111" s="603"/>
      <c r="K111" s="603"/>
      <c r="L111" s="603"/>
      <c r="M111" s="603"/>
      <c r="N111" s="603"/>
      <c r="O111" s="603"/>
      <c r="P111" s="603"/>
      <c r="Q111" s="603"/>
      <c r="R111" s="604"/>
      <c r="S111" s="603"/>
      <c r="T111" s="603"/>
      <c r="U111" s="603"/>
      <c r="V111" s="603"/>
      <c r="W111" s="603"/>
      <c r="X111" s="603"/>
      <c r="Y111" s="603"/>
      <c r="Z111" s="603"/>
      <c r="AA111" s="603"/>
      <c r="AB111" s="603"/>
      <c r="AC111" s="603"/>
      <c r="AD111" s="603"/>
      <c r="AE111" s="604">
        <f t="shared" si="1"/>
        <v>0</v>
      </c>
    </row>
    <row r="112" spans="1:33" outlineLevel="1" x14ac:dyDescent="0.2">
      <c r="A112" s="442"/>
      <c r="B112" s="450"/>
      <c r="C112" s="450"/>
      <c r="D112" s="451" t="s">
        <v>515</v>
      </c>
      <c r="E112" s="456">
        <v>511</v>
      </c>
      <c r="F112" s="439"/>
      <c r="G112" s="439"/>
      <c r="H112" s="439"/>
      <c r="I112" s="439"/>
      <c r="J112" s="439"/>
      <c r="K112" s="439"/>
      <c r="L112" s="439"/>
      <c r="M112" s="439"/>
      <c r="N112" s="439"/>
      <c r="O112" s="439"/>
      <c r="P112" s="439"/>
      <c r="Q112" s="439"/>
      <c r="R112" s="564"/>
      <c r="S112" s="439"/>
      <c r="T112" s="439"/>
      <c r="U112" s="439"/>
      <c r="V112" s="439"/>
      <c r="W112" s="439"/>
      <c r="X112" s="439"/>
      <c r="Y112" s="439"/>
      <c r="Z112" s="439"/>
      <c r="AA112" s="439"/>
      <c r="AB112" s="439"/>
      <c r="AC112" s="439"/>
      <c r="AD112" s="439"/>
      <c r="AE112" s="564">
        <f t="shared" si="1"/>
        <v>0</v>
      </c>
    </row>
    <row r="113" spans="1:32" outlineLevel="1" x14ac:dyDescent="0.2">
      <c r="A113" s="442"/>
      <c r="B113" s="450"/>
      <c r="C113" s="450"/>
      <c r="D113" s="429" t="s">
        <v>506</v>
      </c>
      <c r="E113" s="456">
        <v>511</v>
      </c>
      <c r="F113" s="439"/>
      <c r="G113" s="439"/>
      <c r="H113" s="439"/>
      <c r="I113" s="439"/>
      <c r="J113" s="439"/>
      <c r="K113" s="439"/>
      <c r="L113" s="439"/>
      <c r="M113" s="439"/>
      <c r="N113" s="439"/>
      <c r="O113" s="439"/>
      <c r="P113" s="439"/>
      <c r="Q113" s="439"/>
      <c r="R113" s="564"/>
      <c r="S113" s="439"/>
      <c r="T113" s="439"/>
      <c r="U113" s="439"/>
      <c r="V113" s="439"/>
      <c r="W113" s="439"/>
      <c r="X113" s="439"/>
      <c r="Y113" s="439"/>
      <c r="Z113" s="439"/>
      <c r="AA113" s="439"/>
      <c r="AB113" s="439"/>
      <c r="AC113" s="439"/>
      <c r="AD113" s="439"/>
      <c r="AE113" s="564">
        <f t="shared" si="1"/>
        <v>0</v>
      </c>
    </row>
    <row r="114" spans="1:32" outlineLevel="1" x14ac:dyDescent="0.2">
      <c r="A114" s="442"/>
      <c r="B114" s="450"/>
      <c r="C114" s="450"/>
      <c r="D114" s="451" t="s">
        <v>511</v>
      </c>
      <c r="E114" s="465">
        <v>7118</v>
      </c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566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  <c r="AC114" s="445"/>
      <c r="AD114" s="445"/>
      <c r="AE114" s="566">
        <f t="shared" si="1"/>
        <v>0</v>
      </c>
    </row>
    <row r="115" spans="1:32" outlineLevel="1" x14ac:dyDescent="0.2">
      <c r="A115" s="599">
        <v>19</v>
      </c>
      <c r="B115" s="600" t="s">
        <v>556</v>
      </c>
      <c r="C115" s="600" t="s">
        <v>557</v>
      </c>
      <c r="D115" s="601" t="s">
        <v>505</v>
      </c>
      <c r="E115" s="602">
        <v>511</v>
      </c>
      <c r="F115" s="603"/>
      <c r="G115" s="603"/>
      <c r="H115" s="603"/>
      <c r="I115" s="603"/>
      <c r="J115" s="603"/>
      <c r="K115" s="603"/>
      <c r="L115" s="603"/>
      <c r="M115" s="603"/>
      <c r="N115" s="603"/>
      <c r="O115" s="603"/>
      <c r="P115" s="603"/>
      <c r="Q115" s="603"/>
      <c r="R115" s="604"/>
      <c r="S115" s="603"/>
      <c r="T115" s="603"/>
      <c r="U115" s="603"/>
      <c r="V115" s="603"/>
      <c r="W115" s="603"/>
      <c r="X115" s="603"/>
      <c r="Y115" s="603"/>
      <c r="Z115" s="603"/>
      <c r="AA115" s="603"/>
      <c r="AB115" s="603"/>
      <c r="AC115" s="603"/>
      <c r="AD115" s="603"/>
      <c r="AE115" s="604">
        <f t="shared" si="1"/>
        <v>0</v>
      </c>
      <c r="AF115" s="447"/>
    </row>
    <row r="116" spans="1:32" outlineLevel="1" x14ac:dyDescent="0.2">
      <c r="A116" s="442"/>
      <c r="B116" s="448"/>
      <c r="C116" s="448"/>
      <c r="D116" s="429" t="s">
        <v>515</v>
      </c>
      <c r="E116" s="456">
        <v>511</v>
      </c>
      <c r="F116" s="439"/>
      <c r="G116" s="439"/>
      <c r="H116" s="439"/>
      <c r="I116" s="439"/>
      <c r="J116" s="439"/>
      <c r="K116" s="439"/>
      <c r="L116" s="439"/>
      <c r="M116" s="439"/>
      <c r="N116" s="439"/>
      <c r="O116" s="439"/>
      <c r="P116" s="439"/>
      <c r="Q116" s="439"/>
      <c r="R116" s="564"/>
      <c r="S116" s="439"/>
      <c r="T116" s="439"/>
      <c r="U116" s="439"/>
      <c r="V116" s="439"/>
      <c r="W116" s="439"/>
      <c r="X116" s="439"/>
      <c r="Y116" s="439"/>
      <c r="Z116" s="439"/>
      <c r="AA116" s="439"/>
      <c r="AB116" s="439"/>
      <c r="AC116" s="439"/>
      <c r="AD116" s="439"/>
      <c r="AE116" s="564">
        <f t="shared" si="1"/>
        <v>0</v>
      </c>
    </row>
    <row r="117" spans="1:32" outlineLevel="1" x14ac:dyDescent="0.2">
      <c r="A117" s="442"/>
      <c r="B117" s="463"/>
      <c r="C117" s="463"/>
      <c r="D117" s="466" t="s">
        <v>511</v>
      </c>
      <c r="E117" s="456">
        <v>511</v>
      </c>
      <c r="F117" s="467"/>
      <c r="G117" s="467"/>
      <c r="H117" s="467"/>
      <c r="I117" s="467"/>
      <c r="J117" s="467"/>
      <c r="K117" s="467"/>
      <c r="L117" s="467"/>
      <c r="M117" s="467"/>
      <c r="N117" s="467"/>
      <c r="O117" s="467"/>
      <c r="P117" s="467"/>
      <c r="Q117" s="467"/>
      <c r="R117" s="566"/>
      <c r="S117" s="467"/>
      <c r="T117" s="445"/>
      <c r="U117" s="445"/>
      <c r="V117" s="445"/>
      <c r="W117" s="445"/>
      <c r="X117" s="445"/>
      <c r="Y117" s="445"/>
      <c r="Z117" s="445"/>
      <c r="AA117" s="445"/>
      <c r="AB117" s="445"/>
      <c r="AC117" s="445"/>
      <c r="AD117" s="445"/>
      <c r="AE117" s="566">
        <f t="shared" si="1"/>
        <v>0</v>
      </c>
    </row>
    <row r="118" spans="1:32" outlineLevel="1" x14ac:dyDescent="0.2">
      <c r="A118" s="460">
        <v>20</v>
      </c>
      <c r="B118" s="600" t="s">
        <v>558</v>
      </c>
      <c r="C118" s="600" t="s">
        <v>559</v>
      </c>
      <c r="D118" s="601" t="s">
        <v>505</v>
      </c>
      <c r="E118" s="468">
        <v>511</v>
      </c>
      <c r="F118" s="605"/>
      <c r="G118" s="605"/>
      <c r="H118" s="605"/>
      <c r="I118" s="605"/>
      <c r="J118" s="605"/>
      <c r="K118" s="605"/>
      <c r="L118" s="605"/>
      <c r="M118" s="605"/>
      <c r="N118" s="605"/>
      <c r="O118" s="605"/>
      <c r="P118" s="605"/>
      <c r="Q118" s="605"/>
      <c r="R118" s="604"/>
      <c r="S118" s="605"/>
      <c r="T118" s="603"/>
      <c r="U118" s="603"/>
      <c r="V118" s="603"/>
      <c r="W118" s="603"/>
      <c r="X118" s="603"/>
      <c r="Y118" s="603"/>
      <c r="Z118" s="603"/>
      <c r="AA118" s="603"/>
      <c r="AB118" s="603"/>
      <c r="AC118" s="603"/>
      <c r="AD118" s="603"/>
      <c r="AE118" s="604">
        <f t="shared" si="1"/>
        <v>0</v>
      </c>
    </row>
    <row r="119" spans="1:32" outlineLevel="1" x14ac:dyDescent="0.2">
      <c r="A119" s="442"/>
      <c r="B119" s="448"/>
      <c r="C119" s="448"/>
      <c r="D119" s="429" t="s">
        <v>515</v>
      </c>
      <c r="E119" s="465">
        <v>511</v>
      </c>
      <c r="F119" s="438"/>
      <c r="G119" s="438"/>
      <c r="H119" s="438"/>
      <c r="I119" s="438"/>
      <c r="J119" s="438"/>
      <c r="K119" s="438"/>
      <c r="L119" s="438"/>
      <c r="M119" s="438"/>
      <c r="N119" s="438"/>
      <c r="O119" s="438"/>
      <c r="P119" s="438"/>
      <c r="Q119" s="438"/>
      <c r="R119" s="564"/>
      <c r="S119" s="438"/>
      <c r="T119" s="439"/>
      <c r="U119" s="439"/>
      <c r="V119" s="439"/>
      <c r="W119" s="439"/>
      <c r="X119" s="439"/>
      <c r="Y119" s="439"/>
      <c r="Z119" s="439"/>
      <c r="AA119" s="439"/>
      <c r="AB119" s="439"/>
      <c r="AC119" s="439"/>
      <c r="AD119" s="439"/>
      <c r="AE119" s="564">
        <f t="shared" si="1"/>
        <v>0</v>
      </c>
    </row>
    <row r="120" spans="1:32" outlineLevel="1" x14ac:dyDescent="0.2">
      <c r="A120" s="442"/>
      <c r="B120" s="463"/>
      <c r="C120" s="463"/>
      <c r="D120" s="466" t="s">
        <v>511</v>
      </c>
      <c r="E120" s="465">
        <v>7118</v>
      </c>
      <c r="F120" s="467"/>
      <c r="G120" s="467"/>
      <c r="H120" s="467"/>
      <c r="I120" s="467"/>
      <c r="J120" s="467"/>
      <c r="K120" s="467"/>
      <c r="L120" s="467"/>
      <c r="M120" s="467"/>
      <c r="N120" s="467"/>
      <c r="O120" s="467"/>
      <c r="P120" s="467"/>
      <c r="Q120" s="467"/>
      <c r="R120" s="566"/>
      <c r="S120" s="467"/>
      <c r="T120" s="445"/>
      <c r="U120" s="445"/>
      <c r="V120" s="445"/>
      <c r="W120" s="445"/>
      <c r="X120" s="445"/>
      <c r="Y120" s="445"/>
      <c r="Z120" s="445"/>
      <c r="AA120" s="445"/>
      <c r="AB120" s="445"/>
      <c r="AC120" s="445"/>
      <c r="AD120" s="445"/>
      <c r="AE120" s="566">
        <f t="shared" si="1"/>
        <v>0</v>
      </c>
    </row>
    <row r="121" spans="1:32" outlineLevel="1" x14ac:dyDescent="0.2">
      <c r="A121" s="460">
        <v>21</v>
      </c>
      <c r="B121" s="600" t="s">
        <v>560</v>
      </c>
      <c r="C121" s="600" t="s">
        <v>561</v>
      </c>
      <c r="D121" s="601" t="s">
        <v>505</v>
      </c>
      <c r="E121" s="458">
        <v>511</v>
      </c>
      <c r="F121" s="603"/>
      <c r="G121" s="603"/>
      <c r="H121" s="603"/>
      <c r="I121" s="603"/>
      <c r="J121" s="603"/>
      <c r="K121" s="603"/>
      <c r="L121" s="603"/>
      <c r="M121" s="603"/>
      <c r="N121" s="603"/>
      <c r="O121" s="603"/>
      <c r="P121" s="603"/>
      <c r="Q121" s="603"/>
      <c r="R121" s="604"/>
      <c r="S121" s="603"/>
      <c r="T121" s="603"/>
      <c r="U121" s="603"/>
      <c r="V121" s="603"/>
      <c r="W121" s="603"/>
      <c r="X121" s="603"/>
      <c r="Y121" s="603"/>
      <c r="Z121" s="603"/>
      <c r="AA121" s="603"/>
      <c r="AB121" s="603"/>
      <c r="AC121" s="603"/>
      <c r="AD121" s="603"/>
      <c r="AE121" s="604">
        <f t="shared" si="1"/>
        <v>0</v>
      </c>
    </row>
    <row r="122" spans="1:32" outlineLevel="1" x14ac:dyDescent="0.2">
      <c r="A122" s="440"/>
      <c r="B122" s="448"/>
      <c r="C122" s="448"/>
      <c r="D122" s="429" t="s">
        <v>515</v>
      </c>
      <c r="E122" s="430">
        <v>511</v>
      </c>
      <c r="F122" s="439"/>
      <c r="G122" s="439"/>
      <c r="H122" s="439"/>
      <c r="I122" s="439"/>
      <c r="J122" s="439"/>
      <c r="K122" s="439"/>
      <c r="L122" s="439"/>
      <c r="M122" s="439"/>
      <c r="N122" s="439"/>
      <c r="O122" s="439"/>
      <c r="P122" s="439"/>
      <c r="Q122" s="439"/>
      <c r="R122" s="567"/>
      <c r="S122" s="439"/>
      <c r="T122" s="439"/>
      <c r="U122" s="439"/>
      <c r="V122" s="439"/>
      <c r="W122" s="439"/>
      <c r="X122" s="439"/>
      <c r="Y122" s="439"/>
      <c r="Z122" s="439"/>
      <c r="AA122" s="439"/>
      <c r="AB122" s="439"/>
      <c r="AC122" s="439"/>
      <c r="AD122" s="439"/>
      <c r="AE122" s="567">
        <f t="shared" si="1"/>
        <v>0</v>
      </c>
    </row>
    <row r="123" spans="1:32" outlineLevel="1" x14ac:dyDescent="0.2">
      <c r="A123" s="431"/>
      <c r="B123" s="463"/>
      <c r="C123" s="463"/>
      <c r="D123" s="466" t="s">
        <v>511</v>
      </c>
      <c r="E123" s="464">
        <v>7118</v>
      </c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565"/>
      <c r="S123" s="435"/>
      <c r="T123" s="435"/>
      <c r="U123" s="435"/>
      <c r="V123" s="435"/>
      <c r="W123" s="435"/>
      <c r="X123" s="435"/>
      <c r="Y123" s="435"/>
      <c r="Z123" s="435"/>
      <c r="AA123" s="435"/>
      <c r="AB123" s="435"/>
      <c r="AC123" s="435"/>
      <c r="AD123" s="435"/>
      <c r="AE123" s="565">
        <f t="shared" si="1"/>
        <v>0</v>
      </c>
    </row>
    <row r="124" spans="1:32" outlineLevel="1" x14ac:dyDescent="0.2">
      <c r="A124" s="599">
        <v>22</v>
      </c>
      <c r="B124" s="600" t="s">
        <v>562</v>
      </c>
      <c r="C124" s="600" t="s">
        <v>563</v>
      </c>
      <c r="D124" s="601" t="s">
        <v>505</v>
      </c>
      <c r="E124" s="602">
        <v>511</v>
      </c>
      <c r="F124" s="603"/>
      <c r="G124" s="603"/>
      <c r="H124" s="603"/>
      <c r="I124" s="603"/>
      <c r="J124" s="603"/>
      <c r="K124" s="603"/>
      <c r="L124" s="603"/>
      <c r="M124" s="603"/>
      <c r="N124" s="603"/>
      <c r="O124" s="603"/>
      <c r="P124" s="603"/>
      <c r="Q124" s="603"/>
      <c r="R124" s="604"/>
      <c r="S124" s="603"/>
      <c r="T124" s="603"/>
      <c r="U124" s="603"/>
      <c r="V124" s="603"/>
      <c r="W124" s="603"/>
      <c r="X124" s="603"/>
      <c r="Y124" s="603"/>
      <c r="Z124" s="603"/>
      <c r="AA124" s="603"/>
      <c r="AB124" s="603"/>
      <c r="AC124" s="603"/>
      <c r="AD124" s="603"/>
      <c r="AE124" s="604">
        <f t="shared" si="1"/>
        <v>0</v>
      </c>
    </row>
    <row r="125" spans="1:32" outlineLevel="1" x14ac:dyDescent="0.2">
      <c r="A125" s="440"/>
      <c r="B125" s="448"/>
      <c r="C125" s="448"/>
      <c r="D125" s="429" t="s">
        <v>515</v>
      </c>
      <c r="E125" s="456">
        <v>511</v>
      </c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567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  <c r="AC125" s="445"/>
      <c r="AD125" s="445"/>
      <c r="AE125" s="567">
        <f t="shared" si="1"/>
        <v>0</v>
      </c>
    </row>
    <row r="126" spans="1:32" outlineLevel="1" x14ac:dyDescent="0.2">
      <c r="A126" s="469"/>
      <c r="B126" s="470"/>
      <c r="C126" s="470"/>
      <c r="D126" s="470" t="s">
        <v>511</v>
      </c>
      <c r="E126" s="465">
        <v>7118</v>
      </c>
      <c r="F126" s="439"/>
      <c r="G126" s="439"/>
      <c r="H126" s="439"/>
      <c r="I126" s="439"/>
      <c r="J126" s="439"/>
      <c r="K126" s="439"/>
      <c r="L126" s="439"/>
      <c r="M126" s="439"/>
      <c r="N126" s="439"/>
      <c r="O126" s="439"/>
      <c r="P126" s="439"/>
      <c r="Q126" s="439"/>
      <c r="R126" s="565"/>
      <c r="S126" s="439"/>
      <c r="T126" s="439"/>
      <c r="U126" s="439"/>
      <c r="V126" s="439"/>
      <c r="W126" s="439"/>
      <c r="X126" s="439"/>
      <c r="Y126" s="439"/>
      <c r="Z126" s="439"/>
      <c r="AA126" s="439"/>
      <c r="AB126" s="439"/>
      <c r="AC126" s="439"/>
      <c r="AD126" s="439"/>
      <c r="AE126" s="565">
        <f t="shared" si="1"/>
        <v>0</v>
      </c>
    </row>
    <row r="127" spans="1:32" x14ac:dyDescent="0.2">
      <c r="A127" s="539" t="s">
        <v>564</v>
      </c>
      <c r="B127" s="536" t="s">
        <v>565</v>
      </c>
      <c r="C127" s="536"/>
      <c r="D127" s="536"/>
      <c r="E127" s="536"/>
      <c r="F127" s="540"/>
      <c r="G127" s="540"/>
      <c r="H127" s="540"/>
      <c r="I127" s="634"/>
      <c r="J127" s="634"/>
      <c r="K127" s="634"/>
      <c r="L127" s="634"/>
      <c r="M127" s="540"/>
      <c r="N127" s="540"/>
      <c r="O127" s="540"/>
      <c r="P127" s="540"/>
      <c r="Q127" s="540"/>
      <c r="R127" s="568"/>
      <c r="S127" s="540"/>
      <c r="T127" s="541"/>
      <c r="U127" s="541"/>
      <c r="V127" s="541"/>
      <c r="W127" s="541"/>
      <c r="X127" s="541"/>
      <c r="Y127" s="541"/>
      <c r="Z127" s="541"/>
      <c r="AA127" s="541"/>
      <c r="AB127" s="541"/>
      <c r="AC127" s="541"/>
      <c r="AD127" s="541"/>
      <c r="AE127" s="568"/>
    </row>
    <row r="128" spans="1:32" x14ac:dyDescent="0.2">
      <c r="A128" s="416">
        <v>1</v>
      </c>
      <c r="B128" s="417" t="s">
        <v>503</v>
      </c>
      <c r="C128" s="417" t="s">
        <v>504</v>
      </c>
      <c r="D128" s="423" t="s">
        <v>566</v>
      </c>
      <c r="E128" s="419">
        <v>641</v>
      </c>
      <c r="F128" s="439"/>
      <c r="G128" s="439"/>
      <c r="H128" s="439"/>
      <c r="I128" s="439"/>
      <c r="J128" s="439"/>
      <c r="K128" s="439"/>
      <c r="L128" s="439"/>
      <c r="M128" s="439"/>
      <c r="N128" s="439"/>
      <c r="O128" s="439"/>
      <c r="P128" s="439"/>
      <c r="Q128" s="439"/>
      <c r="R128" s="564"/>
      <c r="S128" s="439"/>
      <c r="T128" s="439"/>
      <c r="U128" s="439"/>
      <c r="V128" s="439"/>
      <c r="W128" s="439"/>
      <c r="X128" s="439"/>
      <c r="Y128" s="439"/>
      <c r="Z128" s="439"/>
      <c r="AA128" s="439"/>
      <c r="AB128" s="439"/>
      <c r="AC128" s="439"/>
      <c r="AD128" s="439"/>
      <c r="AE128" s="564">
        <f t="shared" ref="AE128:AE199" si="2">SUM(S128:AD128)</f>
        <v>0</v>
      </c>
      <c r="AF128" s="447"/>
    </row>
    <row r="129" spans="1:31" x14ac:dyDescent="0.2">
      <c r="A129" s="440"/>
      <c r="B129" s="506"/>
      <c r="C129" s="527"/>
      <c r="D129" s="426"/>
      <c r="E129" s="419">
        <v>642</v>
      </c>
      <c r="F129" s="439"/>
      <c r="G129" s="439"/>
      <c r="H129" s="439"/>
      <c r="I129" s="439"/>
      <c r="J129" s="439"/>
      <c r="K129" s="439"/>
      <c r="L129" s="439"/>
      <c r="M129" s="439"/>
      <c r="N129" s="439"/>
      <c r="O129" s="439"/>
      <c r="P129" s="439"/>
      <c r="Q129" s="439"/>
      <c r="R129" s="564"/>
      <c r="S129" s="439"/>
      <c r="T129" s="439"/>
      <c r="U129" s="439"/>
      <c r="V129" s="439"/>
      <c r="W129" s="439"/>
      <c r="X129" s="439"/>
      <c r="Y129" s="439"/>
      <c r="Z129" s="439"/>
      <c r="AA129" s="439"/>
      <c r="AB129" s="439"/>
      <c r="AC129" s="439"/>
      <c r="AD129" s="439"/>
      <c r="AE129" s="564">
        <f t="shared" si="2"/>
        <v>0</v>
      </c>
    </row>
    <row r="130" spans="1:31" x14ac:dyDescent="0.2">
      <c r="A130" s="440"/>
      <c r="B130" s="506"/>
      <c r="C130" s="527"/>
      <c r="D130" s="426"/>
      <c r="E130" s="419">
        <v>627</v>
      </c>
      <c r="F130" s="439"/>
      <c r="G130" s="439"/>
      <c r="H130" s="439"/>
      <c r="I130" s="439"/>
      <c r="J130" s="439"/>
      <c r="K130" s="439"/>
      <c r="L130" s="439"/>
      <c r="M130" s="439"/>
      <c r="N130" s="439"/>
      <c r="O130" s="439"/>
      <c r="P130" s="439"/>
      <c r="Q130" s="439"/>
      <c r="R130" s="564"/>
      <c r="S130" s="439"/>
      <c r="T130" s="439"/>
      <c r="U130" s="439"/>
      <c r="V130" s="439"/>
      <c r="W130" s="439"/>
      <c r="X130" s="439"/>
      <c r="Y130" s="439"/>
      <c r="Z130" s="439"/>
      <c r="AA130" s="439"/>
      <c r="AB130" s="439"/>
      <c r="AC130" s="439"/>
      <c r="AD130" s="439"/>
      <c r="AE130" s="564">
        <f t="shared" si="2"/>
        <v>0</v>
      </c>
    </row>
    <row r="131" spans="1:31" x14ac:dyDescent="0.2">
      <c r="A131" s="440"/>
      <c r="B131" s="506"/>
      <c r="C131" s="527"/>
      <c r="D131" s="426" t="s">
        <v>567</v>
      </c>
      <c r="E131" s="419">
        <v>211</v>
      </c>
      <c r="F131" s="439"/>
      <c r="G131" s="439"/>
      <c r="H131" s="439"/>
      <c r="I131" s="439">
        <v>480000000</v>
      </c>
      <c r="J131" s="439"/>
      <c r="K131" s="439"/>
      <c r="L131" s="439"/>
      <c r="M131" s="439"/>
      <c r="N131" s="439"/>
      <c r="O131" s="439"/>
      <c r="P131" s="439"/>
      <c r="Q131" s="439"/>
      <c r="R131" s="564"/>
      <c r="S131" s="439"/>
      <c r="T131" s="439"/>
      <c r="U131" s="439"/>
      <c r="V131" s="439"/>
      <c r="W131" s="439"/>
      <c r="X131" s="439"/>
      <c r="Y131" s="439"/>
      <c r="Z131" s="439"/>
      <c r="AA131" s="439"/>
      <c r="AB131" s="439"/>
      <c r="AC131" s="439"/>
      <c r="AD131" s="439"/>
      <c r="AE131" s="564">
        <f t="shared" si="2"/>
        <v>0</v>
      </c>
    </row>
    <row r="132" spans="1:31" x14ac:dyDescent="0.2">
      <c r="A132" s="440"/>
      <c r="B132" s="506"/>
      <c r="C132" s="527"/>
      <c r="D132" s="426" t="s">
        <v>568</v>
      </c>
      <c r="E132" s="419">
        <v>153</v>
      </c>
      <c r="F132" s="439"/>
      <c r="G132" s="439"/>
      <c r="H132" s="439"/>
      <c r="I132" s="439"/>
      <c r="J132" s="439"/>
      <c r="K132" s="439"/>
      <c r="L132" s="439"/>
      <c r="M132" s="439"/>
      <c r="N132" s="439"/>
      <c r="O132" s="439"/>
      <c r="P132" s="439"/>
      <c r="Q132" s="439"/>
      <c r="R132" s="564"/>
      <c r="S132" s="439"/>
      <c r="T132" s="439"/>
      <c r="U132" s="439"/>
      <c r="V132" s="439"/>
      <c r="W132" s="439"/>
      <c r="X132" s="439"/>
      <c r="Y132" s="439"/>
      <c r="Z132" s="439"/>
      <c r="AA132" s="439"/>
      <c r="AB132" s="439"/>
      <c r="AC132" s="439"/>
      <c r="AD132" s="439"/>
      <c r="AE132" s="564">
        <f t="shared" si="2"/>
        <v>0</v>
      </c>
    </row>
    <row r="133" spans="1:31" x14ac:dyDescent="0.2">
      <c r="A133" s="440"/>
      <c r="B133" s="506"/>
      <c r="C133" s="527"/>
      <c r="D133" s="426" t="s">
        <v>569</v>
      </c>
      <c r="E133" s="419">
        <v>642</v>
      </c>
      <c r="F133" s="439"/>
      <c r="G133" s="439"/>
      <c r="H133" s="439"/>
      <c r="I133" s="439"/>
      <c r="J133" s="439"/>
      <c r="K133" s="439"/>
      <c r="L133" s="439"/>
      <c r="M133" s="439"/>
      <c r="N133" s="439"/>
      <c r="O133" s="439"/>
      <c r="P133" s="439"/>
      <c r="Q133" s="439"/>
      <c r="R133" s="569"/>
      <c r="S133" s="439"/>
      <c r="T133" s="439"/>
      <c r="U133" s="439"/>
      <c r="V133" s="439"/>
      <c r="W133" s="439"/>
      <c r="X133" s="439"/>
      <c r="Y133" s="439"/>
      <c r="Z133" s="439"/>
      <c r="AA133" s="439"/>
      <c r="AB133" s="439"/>
      <c r="AC133" s="439"/>
      <c r="AD133" s="439"/>
      <c r="AE133" s="569">
        <f t="shared" si="2"/>
        <v>0</v>
      </c>
    </row>
    <row r="134" spans="1:31" x14ac:dyDescent="0.2">
      <c r="A134" s="431"/>
      <c r="B134" s="502"/>
      <c r="C134" s="502"/>
      <c r="D134" s="432" t="s">
        <v>570</v>
      </c>
      <c r="E134" s="471"/>
      <c r="F134" s="487"/>
      <c r="G134" s="487"/>
      <c r="H134" s="487"/>
      <c r="I134" s="487"/>
      <c r="J134" s="487"/>
      <c r="K134" s="487"/>
      <c r="L134" s="487"/>
      <c r="M134" s="487"/>
      <c r="N134" s="487"/>
      <c r="O134" s="487"/>
      <c r="P134" s="487"/>
      <c r="Q134" s="487"/>
      <c r="R134" s="570"/>
      <c r="S134" s="487">
        <v>23275862</v>
      </c>
      <c r="T134" s="475">
        <v>23275862</v>
      </c>
      <c r="U134" s="475">
        <v>23275862</v>
      </c>
      <c r="V134" s="475">
        <v>23275862</v>
      </c>
      <c r="W134" s="432">
        <v>23275862</v>
      </c>
      <c r="X134" s="432"/>
      <c r="Y134" s="432"/>
      <c r="Z134" s="432"/>
      <c r="AA134" s="432"/>
      <c r="AB134" s="432"/>
      <c r="AC134" s="432"/>
      <c r="AD134" s="432"/>
      <c r="AE134" s="570">
        <f t="shared" si="2"/>
        <v>116379310</v>
      </c>
    </row>
    <row r="135" spans="1:31" s="581" customFormat="1" x14ac:dyDescent="0.2">
      <c r="A135" s="607">
        <v>2</v>
      </c>
      <c r="B135" s="608" t="s">
        <v>513</v>
      </c>
      <c r="C135" s="608" t="s">
        <v>514</v>
      </c>
      <c r="D135" s="609" t="s">
        <v>571</v>
      </c>
      <c r="E135" s="582">
        <v>1548</v>
      </c>
      <c r="F135" s="580"/>
      <c r="G135" s="580"/>
      <c r="H135" s="580"/>
      <c r="I135" s="580"/>
      <c r="J135" s="580"/>
      <c r="K135" s="580"/>
      <c r="L135" s="580"/>
      <c r="M135" s="580"/>
      <c r="N135" s="580"/>
      <c r="O135" s="580"/>
      <c r="P135" s="580"/>
      <c r="Q135" s="580"/>
      <c r="R135" s="579"/>
      <c r="S135" s="580"/>
      <c r="T135" s="580"/>
      <c r="U135" s="580"/>
      <c r="V135" s="580"/>
      <c r="W135" s="580"/>
      <c r="X135" s="580"/>
      <c r="Y135" s="580"/>
      <c r="Z135" s="580"/>
      <c r="AA135" s="580"/>
      <c r="AB135" s="580"/>
      <c r="AC135" s="580"/>
      <c r="AD135" s="580"/>
      <c r="AE135" s="579">
        <f t="shared" si="2"/>
        <v>0</v>
      </c>
    </row>
    <row r="136" spans="1:31" x14ac:dyDescent="0.2">
      <c r="A136" s="416"/>
      <c r="B136" s="448"/>
      <c r="C136" s="448"/>
      <c r="D136" s="429" t="s">
        <v>572</v>
      </c>
      <c r="E136" s="472">
        <v>152</v>
      </c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564"/>
      <c r="S136" s="421"/>
      <c r="T136" s="421">
        <v>329850000</v>
      </c>
      <c r="U136" s="421">
        <v>329200000</v>
      </c>
      <c r="V136" s="421"/>
      <c r="W136" s="421">
        <v>-663775000</v>
      </c>
      <c r="X136" s="421"/>
      <c r="Y136" s="421"/>
      <c r="Z136" s="421"/>
      <c r="AA136" s="421"/>
      <c r="AB136" s="421"/>
      <c r="AC136" s="421"/>
      <c r="AD136" s="421"/>
      <c r="AE136" s="564">
        <f t="shared" si="2"/>
        <v>-4725000</v>
      </c>
    </row>
    <row r="137" spans="1:31" x14ac:dyDescent="0.2">
      <c r="A137" s="416"/>
      <c r="B137" s="448"/>
      <c r="C137" s="448"/>
      <c r="D137" s="429" t="s">
        <v>573</v>
      </c>
      <c r="E137" s="472" t="s">
        <v>574</v>
      </c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564"/>
      <c r="S137" s="421"/>
      <c r="T137" s="421">
        <v>41403854</v>
      </c>
      <c r="U137" s="421"/>
      <c r="V137" s="421"/>
      <c r="W137" s="421"/>
      <c r="X137" s="421"/>
      <c r="Y137" s="421"/>
      <c r="Z137" s="421"/>
      <c r="AA137" s="421"/>
      <c r="AB137" s="421"/>
      <c r="AC137" s="421"/>
      <c r="AD137" s="421"/>
      <c r="AE137" s="564">
        <f t="shared" si="2"/>
        <v>41403854</v>
      </c>
    </row>
    <row r="138" spans="1:31" x14ac:dyDescent="0.2">
      <c r="A138" s="440"/>
      <c r="B138" s="448"/>
      <c r="C138" s="448"/>
      <c r="D138" s="429" t="s">
        <v>575</v>
      </c>
      <c r="E138" s="473">
        <v>641</v>
      </c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564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  <c r="AC138" s="421"/>
      <c r="AD138" s="421"/>
      <c r="AE138" s="564">
        <f t="shared" si="2"/>
        <v>0</v>
      </c>
    </row>
    <row r="139" spans="1:31" x14ac:dyDescent="0.2">
      <c r="A139" s="440"/>
      <c r="B139" s="448"/>
      <c r="C139" s="448"/>
      <c r="D139" s="429" t="s">
        <v>567</v>
      </c>
      <c r="E139" s="473">
        <v>211</v>
      </c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564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  <c r="AC139" s="421"/>
      <c r="AD139" s="421"/>
      <c r="AE139" s="564">
        <f t="shared" si="2"/>
        <v>0</v>
      </c>
    </row>
    <row r="140" spans="1:31" x14ac:dyDescent="0.2">
      <c r="A140" s="442"/>
      <c r="B140" s="450"/>
      <c r="C140" s="450"/>
      <c r="D140" s="451" t="s">
        <v>570</v>
      </c>
      <c r="E140" s="465"/>
      <c r="F140" s="474"/>
      <c r="G140" s="474"/>
      <c r="H140" s="474"/>
      <c r="I140" s="474"/>
      <c r="J140" s="474"/>
      <c r="K140" s="474"/>
      <c r="L140" s="474"/>
      <c r="M140" s="474"/>
      <c r="N140" s="474"/>
      <c r="O140" s="474"/>
      <c r="P140" s="474"/>
      <c r="Q140" s="474"/>
      <c r="R140" s="566"/>
      <c r="S140" s="474"/>
      <c r="T140" s="474"/>
      <c r="U140" s="474">
        <v>2074074</v>
      </c>
      <c r="V140" s="474">
        <v>3800000</v>
      </c>
      <c r="W140" s="474"/>
      <c r="X140" s="474"/>
      <c r="Y140" s="474"/>
      <c r="Z140" s="474"/>
      <c r="AA140" s="474"/>
      <c r="AB140" s="474"/>
      <c r="AC140" s="474"/>
      <c r="AD140" s="474"/>
      <c r="AE140" s="566">
        <f t="shared" si="2"/>
        <v>5874074</v>
      </c>
    </row>
    <row r="141" spans="1:31" x14ac:dyDescent="0.2">
      <c r="A141" s="599">
        <v>3</v>
      </c>
      <c r="B141" s="600" t="s">
        <v>519</v>
      </c>
      <c r="C141" s="600" t="s">
        <v>520</v>
      </c>
      <c r="D141" s="601" t="s">
        <v>576</v>
      </c>
      <c r="E141" s="610" t="s">
        <v>574</v>
      </c>
      <c r="F141" s="605"/>
      <c r="G141" s="605"/>
      <c r="H141" s="605"/>
      <c r="I141" s="605"/>
      <c r="J141" s="605"/>
      <c r="K141" s="605"/>
      <c r="L141" s="605"/>
      <c r="M141" s="605"/>
      <c r="N141" s="605"/>
      <c r="O141" s="605"/>
      <c r="P141" s="605"/>
      <c r="Q141" s="605"/>
      <c r="R141" s="604"/>
      <c r="S141" s="605"/>
      <c r="T141" s="605"/>
      <c r="U141" s="605"/>
      <c r="V141" s="605"/>
      <c r="W141" s="605"/>
      <c r="X141" s="605"/>
      <c r="Y141" s="605"/>
      <c r="Z141" s="605"/>
      <c r="AA141" s="605"/>
      <c r="AB141" s="605"/>
      <c r="AC141" s="605"/>
      <c r="AD141" s="605"/>
      <c r="AE141" s="604">
        <f t="shared" si="2"/>
        <v>0</v>
      </c>
    </row>
    <row r="142" spans="1:31" x14ac:dyDescent="0.2">
      <c r="A142" s="440"/>
      <c r="B142" s="448"/>
      <c r="C142" s="448"/>
      <c r="D142" s="429" t="s">
        <v>572</v>
      </c>
      <c r="E142" s="472">
        <v>152</v>
      </c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564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  <c r="AC142" s="421"/>
      <c r="AD142" s="421"/>
      <c r="AE142" s="564">
        <f t="shared" si="2"/>
        <v>0</v>
      </c>
    </row>
    <row r="143" spans="1:31" x14ac:dyDescent="0.2">
      <c r="A143" s="440"/>
      <c r="B143" s="448"/>
      <c r="C143" s="448"/>
      <c r="D143" s="429" t="s">
        <v>573</v>
      </c>
      <c r="E143" s="472" t="s">
        <v>574</v>
      </c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564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564">
        <f t="shared" si="2"/>
        <v>0</v>
      </c>
    </row>
    <row r="144" spans="1:31" x14ac:dyDescent="0.2">
      <c r="A144" s="440"/>
      <c r="B144" s="448"/>
      <c r="C144" s="448"/>
      <c r="D144" s="429" t="s">
        <v>567</v>
      </c>
      <c r="E144" s="473">
        <v>211</v>
      </c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564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  <c r="AC144" s="421"/>
      <c r="AD144" s="421"/>
      <c r="AE144" s="564">
        <f t="shared" si="2"/>
        <v>0</v>
      </c>
    </row>
    <row r="145" spans="1:31" x14ac:dyDescent="0.2">
      <c r="A145" s="442"/>
      <c r="B145" s="450"/>
      <c r="C145" s="450"/>
      <c r="D145" s="451" t="s">
        <v>570</v>
      </c>
      <c r="E145" s="465"/>
      <c r="F145" s="474"/>
      <c r="G145" s="474"/>
      <c r="H145" s="474"/>
      <c r="I145" s="474"/>
      <c r="J145" s="474"/>
      <c r="K145" s="474"/>
      <c r="L145" s="474"/>
      <c r="M145" s="474"/>
      <c r="N145" s="474"/>
      <c r="O145" s="474"/>
      <c r="P145" s="474"/>
      <c r="Q145" s="474"/>
      <c r="R145" s="566"/>
      <c r="S145" s="474"/>
      <c r="T145" s="474"/>
      <c r="U145" s="474"/>
      <c r="V145" s="474"/>
      <c r="W145" s="474"/>
      <c r="X145" s="474"/>
      <c r="Y145" s="474"/>
      <c r="Z145" s="474"/>
      <c r="AA145" s="474"/>
      <c r="AB145" s="474"/>
      <c r="AC145" s="474"/>
      <c r="AD145" s="474"/>
      <c r="AE145" s="566">
        <f t="shared" si="2"/>
        <v>0</v>
      </c>
    </row>
    <row r="146" spans="1:31" s="581" customFormat="1" x14ac:dyDescent="0.2">
      <c r="A146" s="607">
        <v>4</v>
      </c>
      <c r="B146" s="608" t="s">
        <v>522</v>
      </c>
      <c r="C146" s="608" t="s">
        <v>523</v>
      </c>
      <c r="D146" s="609" t="s">
        <v>576</v>
      </c>
      <c r="E146" s="642" t="s">
        <v>574</v>
      </c>
      <c r="F146" s="641">
        <v>329004000</v>
      </c>
      <c r="G146" s="641"/>
      <c r="H146" s="641"/>
      <c r="I146" s="641"/>
      <c r="J146" s="641"/>
      <c r="K146" s="641"/>
      <c r="L146" s="641"/>
      <c r="M146" s="641"/>
      <c r="N146" s="641"/>
      <c r="O146" s="641"/>
      <c r="P146" s="641"/>
      <c r="Q146" s="641"/>
      <c r="R146" s="643"/>
      <c r="S146" s="641"/>
      <c r="T146" s="641"/>
      <c r="U146" s="641"/>
      <c r="V146" s="641"/>
      <c r="W146" s="641"/>
      <c r="X146" s="641"/>
      <c r="Y146" s="641"/>
      <c r="Z146" s="641"/>
      <c r="AA146" s="641"/>
      <c r="AB146" s="641"/>
      <c r="AC146" s="641"/>
      <c r="AD146" s="641"/>
      <c r="AE146" s="643">
        <f t="shared" si="2"/>
        <v>0</v>
      </c>
    </row>
    <row r="147" spans="1:31" x14ac:dyDescent="0.2">
      <c r="A147" s="440"/>
      <c r="B147" s="448"/>
      <c r="C147" s="448"/>
      <c r="D147" s="429" t="s">
        <v>572</v>
      </c>
      <c r="E147" s="472">
        <v>152</v>
      </c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564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  <c r="AC147" s="421"/>
      <c r="AD147" s="421"/>
      <c r="AE147" s="564">
        <f t="shared" si="2"/>
        <v>0</v>
      </c>
    </row>
    <row r="148" spans="1:31" x14ac:dyDescent="0.2">
      <c r="A148" s="440"/>
      <c r="B148" s="448"/>
      <c r="C148" s="448"/>
      <c r="D148" s="429" t="s">
        <v>573</v>
      </c>
      <c r="E148" s="472" t="s">
        <v>574</v>
      </c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564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  <c r="AC148" s="421"/>
      <c r="AD148" s="421"/>
      <c r="AE148" s="564">
        <f t="shared" si="2"/>
        <v>0</v>
      </c>
    </row>
    <row r="149" spans="1:31" x14ac:dyDescent="0.2">
      <c r="A149" s="440"/>
      <c r="B149" s="448"/>
      <c r="C149" s="448"/>
      <c r="D149" s="429" t="s">
        <v>567</v>
      </c>
      <c r="E149" s="473">
        <v>211</v>
      </c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564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  <c r="AC149" s="421"/>
      <c r="AD149" s="421"/>
      <c r="AE149" s="564">
        <f t="shared" si="2"/>
        <v>0</v>
      </c>
    </row>
    <row r="150" spans="1:31" x14ac:dyDescent="0.2">
      <c r="A150" s="440"/>
      <c r="B150" s="448"/>
      <c r="C150" s="448"/>
      <c r="D150" s="429" t="s">
        <v>570</v>
      </c>
      <c r="E150" s="473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564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  <c r="AC150" s="421"/>
      <c r="AD150" s="421"/>
      <c r="AE150" s="564">
        <f t="shared" si="2"/>
        <v>0</v>
      </c>
    </row>
    <row r="151" spans="1:31" s="581" customFormat="1" x14ac:dyDescent="0.2">
      <c r="A151" s="607">
        <v>5</v>
      </c>
      <c r="B151" s="608" t="s">
        <v>524</v>
      </c>
      <c r="C151" s="608" t="s">
        <v>525</v>
      </c>
      <c r="D151" s="609" t="s">
        <v>571</v>
      </c>
      <c r="E151" s="642">
        <v>1548</v>
      </c>
      <c r="F151" s="641"/>
      <c r="G151" s="641"/>
      <c r="H151" s="641"/>
      <c r="I151" s="641"/>
      <c r="J151" s="641"/>
      <c r="K151" s="641"/>
      <c r="L151" s="641"/>
      <c r="M151" s="641"/>
      <c r="N151" s="641"/>
      <c r="O151" s="641"/>
      <c r="P151" s="641"/>
      <c r="Q151" s="641"/>
      <c r="R151" s="643"/>
      <c r="S151" s="641"/>
      <c r="T151" s="641"/>
      <c r="U151" s="641"/>
      <c r="V151" s="641"/>
      <c r="W151" s="641"/>
      <c r="X151" s="641"/>
      <c r="Y151" s="641"/>
      <c r="Z151" s="641"/>
      <c r="AA151" s="641"/>
      <c r="AB151" s="641"/>
      <c r="AC151" s="641"/>
      <c r="AD151" s="641"/>
      <c r="AE151" s="643">
        <f t="shared" si="2"/>
        <v>0</v>
      </c>
    </row>
    <row r="152" spans="1:31" x14ac:dyDescent="0.2">
      <c r="A152" s="442"/>
      <c r="B152" s="450"/>
      <c r="C152" s="450"/>
      <c r="D152" s="451" t="s">
        <v>572</v>
      </c>
      <c r="E152" s="473"/>
      <c r="F152" s="421">
        <v>954421000</v>
      </c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564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  <c r="AC152" s="421"/>
      <c r="AD152" s="421"/>
      <c r="AE152" s="564">
        <f t="shared" si="2"/>
        <v>0</v>
      </c>
    </row>
    <row r="153" spans="1:31" x14ac:dyDescent="0.2">
      <c r="A153" s="442"/>
      <c r="B153" s="450"/>
      <c r="C153" s="450"/>
      <c r="D153" s="429" t="s">
        <v>577</v>
      </c>
      <c r="E153" s="473">
        <v>641</v>
      </c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564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  <c r="AC153" s="421"/>
      <c r="AD153" s="421"/>
      <c r="AE153" s="564">
        <f t="shared" si="2"/>
        <v>0</v>
      </c>
    </row>
    <row r="154" spans="1:31" x14ac:dyDescent="0.2">
      <c r="A154" s="442"/>
      <c r="B154" s="450"/>
      <c r="C154" s="450"/>
      <c r="D154" s="451" t="s">
        <v>578</v>
      </c>
      <c r="E154" s="473">
        <v>627</v>
      </c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564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  <c r="AC154" s="421"/>
      <c r="AD154" s="421"/>
      <c r="AE154" s="564">
        <f t="shared" si="2"/>
        <v>0</v>
      </c>
    </row>
    <row r="155" spans="1:31" x14ac:dyDescent="0.2">
      <c r="A155" s="442"/>
      <c r="B155" s="450"/>
      <c r="C155" s="450"/>
      <c r="D155" s="451" t="s">
        <v>570</v>
      </c>
      <c r="E155" s="465"/>
      <c r="F155" s="474"/>
      <c r="G155" s="474"/>
      <c r="H155" s="474"/>
      <c r="I155" s="474"/>
      <c r="J155" s="474"/>
      <c r="K155" s="474"/>
      <c r="L155" s="474"/>
      <c r="M155" s="474"/>
      <c r="N155" s="474"/>
      <c r="O155" s="474"/>
      <c r="P155" s="474"/>
      <c r="Q155" s="474"/>
      <c r="R155" s="566"/>
      <c r="S155" s="474"/>
      <c r="T155" s="474"/>
      <c r="U155" s="474"/>
      <c r="V155" s="474"/>
      <c r="W155" s="474"/>
      <c r="X155" s="474"/>
      <c r="Y155" s="474"/>
      <c r="Z155" s="474"/>
      <c r="AA155" s="474"/>
      <c r="AB155" s="474"/>
      <c r="AC155" s="474"/>
      <c r="AD155" s="474"/>
      <c r="AE155" s="566">
        <f t="shared" si="2"/>
        <v>0</v>
      </c>
    </row>
    <row r="156" spans="1:31" outlineLevel="1" x14ac:dyDescent="0.2">
      <c r="A156" s="599">
        <v>6</v>
      </c>
      <c r="B156" s="600" t="s">
        <v>527</v>
      </c>
      <c r="C156" s="600" t="s">
        <v>528</v>
      </c>
      <c r="D156" s="601" t="s">
        <v>571</v>
      </c>
      <c r="E156" s="610">
        <v>1548</v>
      </c>
      <c r="F156" s="605"/>
      <c r="G156" s="605"/>
      <c r="H156" s="605"/>
      <c r="I156" s="605"/>
      <c r="J156" s="605"/>
      <c r="K156" s="605"/>
      <c r="L156" s="605"/>
      <c r="M156" s="605"/>
      <c r="N156" s="605"/>
      <c r="O156" s="605"/>
      <c r="P156" s="605"/>
      <c r="Q156" s="605"/>
      <c r="R156" s="604"/>
      <c r="S156" s="605"/>
      <c r="T156" s="605"/>
      <c r="U156" s="605"/>
      <c r="V156" s="605"/>
      <c r="W156" s="605"/>
      <c r="X156" s="605"/>
      <c r="Y156" s="605"/>
      <c r="Z156" s="605"/>
      <c r="AA156" s="605"/>
      <c r="AB156" s="605"/>
      <c r="AC156" s="605"/>
      <c r="AD156" s="605"/>
      <c r="AE156" s="604">
        <f t="shared" si="2"/>
        <v>0</v>
      </c>
    </row>
    <row r="157" spans="1:31" outlineLevel="1" x14ac:dyDescent="0.2">
      <c r="A157" s="416"/>
      <c r="B157" s="448"/>
      <c r="C157" s="448"/>
      <c r="D157" s="429" t="s">
        <v>572</v>
      </c>
      <c r="E157" s="473">
        <v>152</v>
      </c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564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  <c r="AC157" s="421"/>
      <c r="AD157" s="421"/>
      <c r="AE157" s="564">
        <f t="shared" si="2"/>
        <v>0</v>
      </c>
    </row>
    <row r="158" spans="1:31" outlineLevel="1" x14ac:dyDescent="0.2">
      <c r="A158" s="416"/>
      <c r="B158" s="448"/>
      <c r="C158" s="448"/>
      <c r="D158" s="429" t="s">
        <v>573</v>
      </c>
      <c r="E158" s="472" t="s">
        <v>574</v>
      </c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564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  <c r="AC158" s="421"/>
      <c r="AD158" s="421"/>
      <c r="AE158" s="564">
        <f t="shared" si="2"/>
        <v>0</v>
      </c>
    </row>
    <row r="159" spans="1:31" outlineLevel="1" x14ac:dyDescent="0.2">
      <c r="A159" s="416"/>
      <c r="B159" s="448"/>
      <c r="C159" s="448"/>
      <c r="D159" s="429" t="s">
        <v>578</v>
      </c>
      <c r="E159" s="473">
        <v>627</v>
      </c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564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  <c r="AC159" s="421"/>
      <c r="AD159" s="421"/>
      <c r="AE159" s="564">
        <f t="shared" si="2"/>
        <v>0</v>
      </c>
    </row>
    <row r="160" spans="1:31" outlineLevel="1" x14ac:dyDescent="0.2">
      <c r="A160" s="416"/>
      <c r="B160" s="448"/>
      <c r="C160" s="448"/>
      <c r="D160" s="429" t="s">
        <v>568</v>
      </c>
      <c r="E160" s="473">
        <v>153</v>
      </c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564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  <c r="AC160" s="421"/>
      <c r="AD160" s="421"/>
      <c r="AE160" s="564">
        <f t="shared" si="2"/>
        <v>0</v>
      </c>
    </row>
    <row r="161" spans="1:31" outlineLevel="1" x14ac:dyDescent="0.2">
      <c r="A161" s="416"/>
      <c r="B161" s="448"/>
      <c r="C161" s="448"/>
      <c r="D161" s="429" t="s">
        <v>567</v>
      </c>
      <c r="E161" s="473">
        <v>211</v>
      </c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564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  <c r="AC161" s="421"/>
      <c r="AD161" s="421"/>
      <c r="AE161" s="564">
        <f t="shared" si="2"/>
        <v>0</v>
      </c>
    </row>
    <row r="162" spans="1:31" outlineLevel="1" x14ac:dyDescent="0.2">
      <c r="A162" s="416"/>
      <c r="B162" s="448"/>
      <c r="C162" s="452"/>
      <c r="D162" s="441" t="s">
        <v>508</v>
      </c>
      <c r="E162" s="472">
        <v>635</v>
      </c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564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  <c r="AC162" s="421"/>
      <c r="AD162" s="421"/>
      <c r="AE162" s="564">
        <f t="shared" si="2"/>
        <v>0</v>
      </c>
    </row>
    <row r="163" spans="1:31" outlineLevel="1" x14ac:dyDescent="0.2">
      <c r="A163" s="442"/>
      <c r="B163" s="527"/>
      <c r="C163" s="527"/>
      <c r="D163" s="426" t="s">
        <v>570</v>
      </c>
      <c r="E163" s="426"/>
      <c r="F163" s="474"/>
      <c r="G163" s="474"/>
      <c r="H163" s="474"/>
      <c r="I163" s="474"/>
      <c r="J163" s="474"/>
      <c r="K163" s="474"/>
      <c r="L163" s="474"/>
      <c r="M163" s="474"/>
      <c r="N163" s="474"/>
      <c r="O163" s="474"/>
      <c r="P163" s="474"/>
      <c r="Q163" s="474"/>
      <c r="R163" s="566"/>
      <c r="S163" s="474"/>
      <c r="T163" s="474"/>
      <c r="U163" s="474"/>
      <c r="V163" s="474"/>
      <c r="W163" s="474"/>
      <c r="X163" s="474"/>
      <c r="Y163" s="474"/>
      <c r="Z163" s="474"/>
      <c r="AA163" s="474"/>
      <c r="AB163" s="474"/>
      <c r="AC163" s="474"/>
      <c r="AD163" s="474"/>
      <c r="AE163" s="566">
        <f t="shared" si="2"/>
        <v>0</v>
      </c>
    </row>
    <row r="164" spans="1:31" outlineLevel="1" x14ac:dyDescent="0.2">
      <c r="A164" s="599">
        <v>7</v>
      </c>
      <c r="B164" s="600" t="s">
        <v>531</v>
      </c>
      <c r="C164" s="600" t="s">
        <v>532</v>
      </c>
      <c r="D164" s="611" t="s">
        <v>571</v>
      </c>
      <c r="E164" s="612">
        <v>1548</v>
      </c>
      <c r="F164" s="605"/>
      <c r="G164" s="605"/>
      <c r="H164" s="605"/>
      <c r="I164" s="605"/>
      <c r="J164" s="605"/>
      <c r="K164" s="605"/>
      <c r="L164" s="605"/>
      <c r="M164" s="605"/>
      <c r="N164" s="605"/>
      <c r="O164" s="605"/>
      <c r="P164" s="605"/>
      <c r="Q164" s="605"/>
      <c r="R164" s="604"/>
      <c r="S164" s="605"/>
      <c r="T164" s="605"/>
      <c r="U164" s="605"/>
      <c r="V164" s="605"/>
      <c r="W164" s="605"/>
      <c r="X164" s="605"/>
      <c r="Y164" s="605"/>
      <c r="Z164" s="605"/>
      <c r="AA164" s="605"/>
      <c r="AB164" s="605"/>
      <c r="AC164" s="605"/>
      <c r="AD164" s="605"/>
      <c r="AE164" s="604">
        <f t="shared" si="2"/>
        <v>0</v>
      </c>
    </row>
    <row r="165" spans="1:31" outlineLevel="1" x14ac:dyDescent="0.2">
      <c r="A165" s="440"/>
      <c r="B165" s="506"/>
      <c r="C165" s="506"/>
      <c r="D165" s="423" t="s">
        <v>572</v>
      </c>
      <c r="E165" s="427">
        <v>152</v>
      </c>
      <c r="F165" s="438"/>
      <c r="G165" s="438"/>
      <c r="H165" s="438"/>
      <c r="I165" s="438"/>
      <c r="J165" s="438"/>
      <c r="K165" s="438"/>
      <c r="L165" s="438"/>
      <c r="M165" s="438"/>
      <c r="N165" s="438"/>
      <c r="O165" s="438"/>
      <c r="P165" s="438"/>
      <c r="Q165" s="438"/>
      <c r="R165" s="567"/>
      <c r="S165" s="438"/>
      <c r="T165" s="438"/>
      <c r="U165" s="438"/>
      <c r="V165" s="438"/>
      <c r="W165" s="438"/>
      <c r="X165" s="438"/>
      <c r="Y165" s="438"/>
      <c r="Z165" s="438"/>
      <c r="AA165" s="438"/>
      <c r="AB165" s="438"/>
      <c r="AC165" s="438"/>
      <c r="AD165" s="438"/>
      <c r="AE165" s="567">
        <f t="shared" si="2"/>
        <v>0</v>
      </c>
    </row>
    <row r="166" spans="1:31" outlineLevel="1" x14ac:dyDescent="0.2">
      <c r="A166" s="440"/>
      <c r="B166" s="506"/>
      <c r="C166" s="506"/>
      <c r="D166" s="423" t="s">
        <v>573</v>
      </c>
      <c r="E166" s="427" t="s">
        <v>574</v>
      </c>
      <c r="F166" s="438"/>
      <c r="G166" s="438"/>
      <c r="H166" s="438"/>
      <c r="I166" s="438"/>
      <c r="J166" s="438"/>
      <c r="K166" s="438"/>
      <c r="L166" s="438"/>
      <c r="M166" s="438"/>
      <c r="N166" s="438"/>
      <c r="O166" s="438"/>
      <c r="P166" s="438"/>
      <c r="Q166" s="438"/>
      <c r="R166" s="567"/>
      <c r="S166" s="438"/>
      <c r="T166" s="438"/>
      <c r="U166" s="438"/>
      <c r="V166" s="438"/>
      <c r="W166" s="438"/>
      <c r="X166" s="438"/>
      <c r="Y166" s="438"/>
      <c r="Z166" s="438"/>
      <c r="AA166" s="438"/>
      <c r="AB166" s="438"/>
      <c r="AC166" s="438"/>
      <c r="AD166" s="438"/>
      <c r="AE166" s="567">
        <f t="shared" si="2"/>
        <v>0</v>
      </c>
    </row>
    <row r="167" spans="1:31" outlineLevel="1" x14ac:dyDescent="0.2">
      <c r="A167" s="440"/>
      <c r="B167" s="506"/>
      <c r="C167" s="506"/>
      <c r="D167" s="423" t="s">
        <v>578</v>
      </c>
      <c r="E167" s="427">
        <v>627</v>
      </c>
      <c r="F167" s="438"/>
      <c r="G167" s="438"/>
      <c r="H167" s="438"/>
      <c r="I167" s="438"/>
      <c r="J167" s="438"/>
      <c r="K167" s="438"/>
      <c r="L167" s="438"/>
      <c r="M167" s="438"/>
      <c r="N167" s="438"/>
      <c r="O167" s="438"/>
      <c r="P167" s="438"/>
      <c r="Q167" s="438"/>
      <c r="R167" s="567"/>
      <c r="S167" s="438"/>
      <c r="T167" s="438"/>
      <c r="U167" s="438"/>
      <c r="V167" s="438"/>
      <c r="W167" s="438"/>
      <c r="X167" s="438"/>
      <c r="Y167" s="438"/>
      <c r="Z167" s="438"/>
      <c r="AA167" s="438"/>
      <c r="AB167" s="438"/>
      <c r="AC167" s="438"/>
      <c r="AD167" s="438"/>
      <c r="AE167" s="567">
        <f t="shared" si="2"/>
        <v>0</v>
      </c>
    </row>
    <row r="168" spans="1:31" outlineLevel="1" x14ac:dyDescent="0.2">
      <c r="A168" s="440"/>
      <c r="B168" s="506"/>
      <c r="C168" s="506"/>
      <c r="D168" s="423" t="s">
        <v>568</v>
      </c>
      <c r="E168" s="427">
        <v>153</v>
      </c>
      <c r="F168" s="438"/>
      <c r="G168" s="438"/>
      <c r="H168" s="438"/>
      <c r="I168" s="438"/>
      <c r="J168" s="438"/>
      <c r="K168" s="438"/>
      <c r="L168" s="438"/>
      <c r="M168" s="438"/>
      <c r="N168" s="438"/>
      <c r="O168" s="438"/>
      <c r="P168" s="438"/>
      <c r="Q168" s="438"/>
      <c r="R168" s="567"/>
      <c r="S168" s="438"/>
      <c r="T168" s="438"/>
      <c r="U168" s="438"/>
      <c r="V168" s="438"/>
      <c r="W168" s="438"/>
      <c r="X168" s="438"/>
      <c r="Y168" s="438"/>
      <c r="Z168" s="438"/>
      <c r="AA168" s="438"/>
      <c r="AB168" s="438"/>
      <c r="AC168" s="438"/>
      <c r="AD168" s="438"/>
      <c r="AE168" s="567">
        <f t="shared" si="2"/>
        <v>0</v>
      </c>
    </row>
    <row r="169" spans="1:31" outlineLevel="1" x14ac:dyDescent="0.2">
      <c r="A169" s="440"/>
      <c r="B169" s="506"/>
      <c r="C169" s="506"/>
      <c r="D169" s="423" t="s">
        <v>567</v>
      </c>
      <c r="E169" s="427">
        <v>211</v>
      </c>
      <c r="F169" s="438"/>
      <c r="G169" s="438"/>
      <c r="H169" s="438"/>
      <c r="I169" s="438"/>
      <c r="J169" s="438"/>
      <c r="K169" s="438"/>
      <c r="L169" s="438"/>
      <c r="M169" s="438"/>
      <c r="N169" s="438"/>
      <c r="O169" s="438"/>
      <c r="P169" s="438"/>
      <c r="Q169" s="438"/>
      <c r="R169" s="567"/>
      <c r="S169" s="438"/>
      <c r="T169" s="438"/>
      <c r="U169" s="438"/>
      <c r="V169" s="438"/>
      <c r="W169" s="438"/>
      <c r="X169" s="438"/>
      <c r="Y169" s="438"/>
      <c r="Z169" s="438"/>
      <c r="AA169" s="438"/>
      <c r="AB169" s="438"/>
      <c r="AC169" s="438"/>
      <c r="AD169" s="438"/>
      <c r="AE169" s="567">
        <f t="shared" si="2"/>
        <v>0</v>
      </c>
    </row>
    <row r="170" spans="1:31" outlineLevel="1" x14ac:dyDescent="0.2">
      <c r="A170" s="440"/>
      <c r="B170" s="506"/>
      <c r="C170" s="506"/>
      <c r="D170" s="423" t="s">
        <v>508</v>
      </c>
      <c r="E170" s="427">
        <v>635</v>
      </c>
      <c r="F170" s="438"/>
      <c r="G170" s="438"/>
      <c r="H170" s="438"/>
      <c r="I170" s="438"/>
      <c r="J170" s="438"/>
      <c r="K170" s="438"/>
      <c r="L170" s="438"/>
      <c r="M170" s="438"/>
      <c r="N170" s="438"/>
      <c r="O170" s="438"/>
      <c r="P170" s="438"/>
      <c r="Q170" s="438"/>
      <c r="R170" s="567"/>
      <c r="S170" s="438"/>
      <c r="T170" s="438"/>
      <c r="U170" s="438"/>
      <c r="V170" s="438"/>
      <c r="W170" s="438"/>
      <c r="X170" s="438"/>
      <c r="Y170" s="438"/>
      <c r="Z170" s="438"/>
      <c r="AA170" s="438"/>
      <c r="AB170" s="438"/>
      <c r="AC170" s="438"/>
      <c r="AD170" s="438"/>
      <c r="AE170" s="567">
        <f t="shared" si="2"/>
        <v>0</v>
      </c>
    </row>
    <row r="171" spans="1:31" outlineLevel="1" x14ac:dyDescent="0.2">
      <c r="A171" s="431"/>
      <c r="B171" s="502"/>
      <c r="C171" s="502"/>
      <c r="D171" s="432" t="s">
        <v>570</v>
      </c>
      <c r="E171" s="471"/>
      <c r="F171" s="475"/>
      <c r="G171" s="475"/>
      <c r="H171" s="475"/>
      <c r="I171" s="475"/>
      <c r="J171" s="475"/>
      <c r="K171" s="475"/>
      <c r="L171" s="475"/>
      <c r="M171" s="475"/>
      <c r="N171" s="475"/>
      <c r="O171" s="475"/>
      <c r="P171" s="475"/>
      <c r="Q171" s="475"/>
      <c r="R171" s="565"/>
      <c r="S171" s="475"/>
      <c r="T171" s="475"/>
      <c r="U171" s="475"/>
      <c r="V171" s="475"/>
      <c r="W171" s="475"/>
      <c r="X171" s="475"/>
      <c r="Y171" s="475"/>
      <c r="Z171" s="475"/>
      <c r="AA171" s="475"/>
      <c r="AB171" s="475"/>
      <c r="AC171" s="475"/>
      <c r="AD171" s="475"/>
      <c r="AE171" s="565">
        <f t="shared" si="2"/>
        <v>0</v>
      </c>
    </row>
    <row r="172" spans="1:31" outlineLevel="1" x14ac:dyDescent="0.2">
      <c r="A172" s="599">
        <v>8</v>
      </c>
      <c r="B172" s="600" t="s">
        <v>533</v>
      </c>
      <c r="C172" s="600" t="s">
        <v>534</v>
      </c>
      <c r="D172" s="601" t="s">
        <v>571</v>
      </c>
      <c r="E172" s="610">
        <v>1548</v>
      </c>
      <c r="F172" s="605"/>
      <c r="G172" s="605"/>
      <c r="H172" s="605"/>
      <c r="I172" s="605"/>
      <c r="J172" s="605"/>
      <c r="K172" s="605"/>
      <c r="L172" s="605"/>
      <c r="M172" s="605"/>
      <c r="N172" s="605"/>
      <c r="O172" s="605"/>
      <c r="P172" s="605"/>
      <c r="Q172" s="605"/>
      <c r="R172" s="604"/>
      <c r="S172" s="605"/>
      <c r="T172" s="605"/>
      <c r="U172" s="605"/>
      <c r="V172" s="605"/>
      <c r="W172" s="605"/>
      <c r="X172" s="605"/>
      <c r="Y172" s="605"/>
      <c r="Z172" s="605"/>
      <c r="AA172" s="605"/>
      <c r="AB172" s="605"/>
      <c r="AC172" s="605"/>
      <c r="AD172" s="605"/>
      <c r="AE172" s="604">
        <f t="shared" si="2"/>
        <v>0</v>
      </c>
    </row>
    <row r="173" spans="1:31" outlineLevel="1" x14ac:dyDescent="0.2">
      <c r="A173" s="416"/>
      <c r="B173" s="452"/>
      <c r="C173" s="452"/>
      <c r="D173" s="429" t="s">
        <v>572</v>
      </c>
      <c r="E173" s="472">
        <v>152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564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564">
        <f t="shared" si="2"/>
        <v>0</v>
      </c>
    </row>
    <row r="174" spans="1:31" outlineLevel="1" x14ac:dyDescent="0.2">
      <c r="A174" s="416"/>
      <c r="B174" s="452"/>
      <c r="C174" s="452"/>
      <c r="D174" s="429" t="s">
        <v>573</v>
      </c>
      <c r="E174" s="472" t="s">
        <v>574</v>
      </c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564"/>
      <c r="S174" s="421"/>
      <c r="T174" s="421"/>
      <c r="U174" s="421"/>
      <c r="V174" s="421"/>
      <c r="W174" s="421">
        <v>3000000</v>
      </c>
      <c r="X174" s="421"/>
      <c r="Y174" s="421"/>
      <c r="Z174" s="421"/>
      <c r="AA174" s="421"/>
      <c r="AB174" s="421"/>
      <c r="AC174" s="421"/>
      <c r="AD174" s="421"/>
      <c r="AE174" s="564">
        <f t="shared" si="2"/>
        <v>3000000</v>
      </c>
    </row>
    <row r="175" spans="1:31" outlineLevel="1" x14ac:dyDescent="0.2">
      <c r="A175" s="416"/>
      <c r="B175" s="452"/>
      <c r="C175" s="452"/>
      <c r="D175" s="429" t="s">
        <v>575</v>
      </c>
      <c r="E175" s="472">
        <v>627</v>
      </c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564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  <c r="AC175" s="421"/>
      <c r="AD175" s="421"/>
      <c r="AE175" s="564">
        <f t="shared" si="2"/>
        <v>0</v>
      </c>
    </row>
    <row r="176" spans="1:31" outlineLevel="1" x14ac:dyDescent="0.2">
      <c r="A176" s="416"/>
      <c r="B176" s="452"/>
      <c r="C176" s="452"/>
      <c r="D176" s="429" t="s">
        <v>578</v>
      </c>
      <c r="E176" s="473">
        <v>627</v>
      </c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564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  <c r="AC176" s="421"/>
      <c r="AD176" s="421"/>
      <c r="AE176" s="564">
        <f t="shared" si="2"/>
        <v>0</v>
      </c>
    </row>
    <row r="177" spans="1:31" outlineLevel="1" x14ac:dyDescent="0.2">
      <c r="A177" s="416"/>
      <c r="B177" s="452"/>
      <c r="C177" s="452"/>
      <c r="D177" s="429" t="s">
        <v>568</v>
      </c>
      <c r="E177" s="473">
        <v>153</v>
      </c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564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  <c r="AC177" s="421"/>
      <c r="AD177" s="421"/>
      <c r="AE177" s="564">
        <f t="shared" si="2"/>
        <v>0</v>
      </c>
    </row>
    <row r="178" spans="1:31" outlineLevel="1" x14ac:dyDescent="0.2">
      <c r="A178" s="416"/>
      <c r="B178" s="448"/>
      <c r="C178" s="448"/>
      <c r="D178" s="429" t="s">
        <v>567</v>
      </c>
      <c r="E178" s="473">
        <v>211</v>
      </c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564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  <c r="AC178" s="421"/>
      <c r="AD178" s="421"/>
      <c r="AE178" s="564">
        <f t="shared" si="2"/>
        <v>0</v>
      </c>
    </row>
    <row r="179" spans="1:31" outlineLevel="1" x14ac:dyDescent="0.2">
      <c r="A179" s="416"/>
      <c r="B179" s="448"/>
      <c r="C179" s="448"/>
      <c r="D179" s="429" t="s">
        <v>579</v>
      </c>
      <c r="E179" s="472">
        <v>627</v>
      </c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564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  <c r="AC179" s="421"/>
      <c r="AD179" s="421"/>
      <c r="AE179" s="564">
        <f t="shared" si="2"/>
        <v>0</v>
      </c>
    </row>
    <row r="180" spans="1:31" outlineLevel="1" x14ac:dyDescent="0.2">
      <c r="A180" s="416"/>
      <c r="B180" s="448"/>
      <c r="C180" s="448"/>
      <c r="D180" s="429" t="s">
        <v>508</v>
      </c>
      <c r="E180" s="472">
        <v>635</v>
      </c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564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  <c r="AC180" s="421"/>
      <c r="AD180" s="421"/>
      <c r="AE180" s="564">
        <f t="shared" si="2"/>
        <v>0</v>
      </c>
    </row>
    <row r="181" spans="1:31" outlineLevel="1" x14ac:dyDescent="0.2">
      <c r="A181" s="449"/>
      <c r="B181" s="450"/>
      <c r="C181" s="524"/>
      <c r="D181" s="444" t="s">
        <v>570</v>
      </c>
      <c r="E181" s="459">
        <v>156</v>
      </c>
      <c r="F181" s="474"/>
      <c r="G181" s="474"/>
      <c r="H181" s="474"/>
      <c r="I181" s="474"/>
      <c r="J181" s="474"/>
      <c r="K181" s="474"/>
      <c r="L181" s="474"/>
      <c r="M181" s="474"/>
      <c r="N181" s="474"/>
      <c r="O181" s="474"/>
      <c r="P181" s="474"/>
      <c r="Q181" s="474"/>
      <c r="R181" s="566"/>
      <c r="S181" s="474"/>
      <c r="T181" s="474"/>
      <c r="U181" s="474"/>
      <c r="V181" s="474"/>
      <c r="W181" s="474"/>
      <c r="X181" s="474"/>
      <c r="Y181" s="474"/>
      <c r="Z181" s="474"/>
      <c r="AA181" s="474"/>
      <c r="AB181" s="474"/>
      <c r="AC181" s="474"/>
      <c r="AD181" s="474"/>
      <c r="AE181" s="566">
        <f t="shared" si="2"/>
        <v>0</v>
      </c>
    </row>
    <row r="182" spans="1:31" outlineLevel="1" x14ac:dyDescent="0.2">
      <c r="A182" s="599">
        <v>9</v>
      </c>
      <c r="B182" s="600" t="s">
        <v>536</v>
      </c>
      <c r="C182" s="600" t="s">
        <v>537</v>
      </c>
      <c r="D182" s="601" t="s">
        <v>576</v>
      </c>
      <c r="E182" s="610" t="s">
        <v>574</v>
      </c>
      <c r="F182" s="605"/>
      <c r="G182" s="605"/>
      <c r="H182" s="605"/>
      <c r="I182" s="605"/>
      <c r="J182" s="605"/>
      <c r="K182" s="605"/>
      <c r="L182" s="605"/>
      <c r="M182" s="605"/>
      <c r="N182" s="605"/>
      <c r="O182" s="605"/>
      <c r="P182" s="605"/>
      <c r="Q182" s="605"/>
      <c r="R182" s="604"/>
      <c r="S182" s="605">
        <v>94360000</v>
      </c>
      <c r="T182" s="605"/>
      <c r="U182" s="605"/>
      <c r="V182" s="605"/>
      <c r="W182" s="605"/>
      <c r="X182" s="605"/>
      <c r="Y182" s="605"/>
      <c r="Z182" s="605"/>
      <c r="AA182" s="605"/>
      <c r="AB182" s="605"/>
      <c r="AC182" s="605"/>
      <c r="AD182" s="605"/>
      <c r="AE182" s="604">
        <f t="shared" si="2"/>
        <v>94360000</v>
      </c>
    </row>
    <row r="183" spans="1:31" outlineLevel="1" x14ac:dyDescent="0.2">
      <c r="A183" s="416"/>
      <c r="B183" s="448"/>
      <c r="C183" s="448"/>
      <c r="D183" s="429" t="s">
        <v>572</v>
      </c>
      <c r="E183" s="472">
        <v>152</v>
      </c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564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  <c r="AC183" s="421"/>
      <c r="AD183" s="421"/>
      <c r="AE183" s="564">
        <f t="shared" si="2"/>
        <v>0</v>
      </c>
    </row>
    <row r="184" spans="1:31" outlineLevel="1" x14ac:dyDescent="0.2">
      <c r="A184" s="416"/>
      <c r="B184" s="448"/>
      <c r="C184" s="448"/>
      <c r="D184" s="429" t="s">
        <v>573</v>
      </c>
      <c r="E184" s="472" t="s">
        <v>574</v>
      </c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564"/>
      <c r="S184" s="421"/>
      <c r="T184" s="421"/>
      <c r="U184" s="421"/>
      <c r="V184" s="421">
        <v>100560000</v>
      </c>
      <c r="W184" s="421">
        <v>83680000</v>
      </c>
      <c r="X184" s="421"/>
      <c r="Y184" s="421"/>
      <c r="Z184" s="421"/>
      <c r="AA184" s="421"/>
      <c r="AB184" s="421"/>
      <c r="AC184" s="421"/>
      <c r="AD184" s="421"/>
      <c r="AE184" s="564">
        <f t="shared" si="2"/>
        <v>184240000</v>
      </c>
    </row>
    <row r="185" spans="1:31" outlineLevel="1" x14ac:dyDescent="0.2">
      <c r="A185" s="416"/>
      <c r="B185" s="448"/>
      <c r="C185" s="448"/>
      <c r="D185" s="429" t="s">
        <v>567</v>
      </c>
      <c r="E185" s="473">
        <v>211</v>
      </c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564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  <c r="AC185" s="421"/>
      <c r="AD185" s="421"/>
      <c r="AE185" s="564">
        <f t="shared" si="2"/>
        <v>0</v>
      </c>
    </row>
    <row r="186" spans="1:31" outlineLevel="1" x14ac:dyDescent="0.2">
      <c r="A186" s="449"/>
      <c r="B186" s="450"/>
      <c r="C186" s="450"/>
      <c r="D186" s="451" t="s">
        <v>570</v>
      </c>
      <c r="E186" s="465"/>
      <c r="F186" s="474"/>
      <c r="G186" s="474"/>
      <c r="H186" s="474"/>
      <c r="I186" s="474"/>
      <c r="J186" s="474"/>
      <c r="K186" s="474"/>
      <c r="L186" s="474"/>
      <c r="M186" s="474"/>
      <c r="N186" s="474"/>
      <c r="O186" s="474"/>
      <c r="P186" s="474"/>
      <c r="Q186" s="474"/>
      <c r="R186" s="566"/>
      <c r="S186" s="474"/>
      <c r="T186" s="474"/>
      <c r="U186" s="474"/>
      <c r="V186" s="474"/>
      <c r="W186" s="474"/>
      <c r="X186" s="474"/>
      <c r="Y186" s="474"/>
      <c r="Z186" s="474"/>
      <c r="AA186" s="474"/>
      <c r="AB186" s="474"/>
      <c r="AC186" s="474"/>
      <c r="AD186" s="474"/>
      <c r="AE186" s="566">
        <f t="shared" si="2"/>
        <v>0</v>
      </c>
    </row>
    <row r="187" spans="1:31" outlineLevel="1" x14ac:dyDescent="0.2">
      <c r="A187" s="599">
        <v>10</v>
      </c>
      <c r="B187" s="613" t="s">
        <v>538</v>
      </c>
      <c r="C187" s="613" t="s">
        <v>539</v>
      </c>
      <c r="D187" s="601" t="s">
        <v>579</v>
      </c>
      <c r="E187" s="610">
        <v>627</v>
      </c>
      <c r="F187" s="605"/>
      <c r="G187" s="605"/>
      <c r="H187" s="605"/>
      <c r="I187" s="605"/>
      <c r="J187" s="605"/>
      <c r="K187" s="605"/>
      <c r="L187" s="605"/>
      <c r="M187" s="605"/>
      <c r="N187" s="605"/>
      <c r="O187" s="605"/>
      <c r="P187" s="605"/>
      <c r="Q187" s="605"/>
      <c r="R187" s="604"/>
      <c r="S187" s="605"/>
      <c r="T187" s="605"/>
      <c r="U187" s="605"/>
      <c r="V187" s="605"/>
      <c r="W187" s="605"/>
      <c r="X187" s="605"/>
      <c r="Y187" s="605"/>
      <c r="Z187" s="605"/>
      <c r="AA187" s="605"/>
      <c r="AB187" s="605"/>
      <c r="AC187" s="605"/>
      <c r="AD187" s="605"/>
      <c r="AE187" s="604">
        <f t="shared" si="2"/>
        <v>0</v>
      </c>
    </row>
    <row r="188" spans="1:31" outlineLevel="1" x14ac:dyDescent="0.2">
      <c r="A188" s="442"/>
      <c r="B188" s="527"/>
      <c r="C188" s="527"/>
      <c r="D188" s="451" t="s">
        <v>567</v>
      </c>
      <c r="E188" s="465">
        <v>211</v>
      </c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564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  <c r="AC188" s="421"/>
      <c r="AD188" s="421"/>
      <c r="AE188" s="564">
        <f t="shared" si="2"/>
        <v>0</v>
      </c>
    </row>
    <row r="189" spans="1:31" outlineLevel="1" x14ac:dyDescent="0.2">
      <c r="A189" s="442"/>
      <c r="B189" s="527"/>
      <c r="C189" s="527"/>
      <c r="D189" s="451" t="s">
        <v>570</v>
      </c>
      <c r="E189" s="465">
        <v>156</v>
      </c>
      <c r="F189" s="474"/>
      <c r="G189" s="474"/>
      <c r="H189" s="474"/>
      <c r="I189" s="474"/>
      <c r="J189" s="474"/>
      <c r="K189" s="474"/>
      <c r="L189" s="474"/>
      <c r="M189" s="474"/>
      <c r="N189" s="474"/>
      <c r="O189" s="474"/>
      <c r="P189" s="474"/>
      <c r="Q189" s="474"/>
      <c r="R189" s="566"/>
      <c r="S189" s="474"/>
      <c r="T189" s="474"/>
      <c r="U189" s="474"/>
      <c r="V189" s="474"/>
      <c r="W189" s="474"/>
      <c r="X189" s="474"/>
      <c r="Y189" s="474"/>
      <c r="Z189" s="474"/>
      <c r="AA189" s="474"/>
      <c r="AB189" s="474"/>
      <c r="AC189" s="474"/>
      <c r="AD189" s="474"/>
      <c r="AE189" s="566">
        <f t="shared" si="2"/>
        <v>0</v>
      </c>
    </row>
    <row r="190" spans="1:31" outlineLevel="1" x14ac:dyDescent="0.2">
      <c r="A190" s="599">
        <v>11</v>
      </c>
      <c r="B190" s="600" t="s">
        <v>540</v>
      </c>
      <c r="C190" s="600" t="s">
        <v>541</v>
      </c>
      <c r="D190" s="601" t="s">
        <v>571</v>
      </c>
      <c r="E190" s="610">
        <v>1548</v>
      </c>
      <c r="F190" s="605"/>
      <c r="G190" s="605"/>
      <c r="H190" s="605"/>
      <c r="I190" s="605"/>
      <c r="J190" s="605"/>
      <c r="K190" s="605"/>
      <c r="L190" s="605"/>
      <c r="M190" s="605"/>
      <c r="N190" s="605"/>
      <c r="O190" s="605"/>
      <c r="P190" s="605"/>
      <c r="Q190" s="605"/>
      <c r="R190" s="604"/>
      <c r="S190" s="605">
        <v>161000000</v>
      </c>
      <c r="T190" s="605"/>
      <c r="U190" s="605"/>
      <c r="V190" s="605"/>
      <c r="W190" s="605"/>
      <c r="X190" s="605"/>
      <c r="Y190" s="605"/>
      <c r="Z190" s="605"/>
      <c r="AA190" s="605"/>
      <c r="AB190" s="605"/>
      <c r="AC190" s="605"/>
      <c r="AD190" s="605"/>
      <c r="AE190" s="604">
        <f t="shared" si="2"/>
        <v>161000000</v>
      </c>
    </row>
    <row r="191" spans="1:31" outlineLevel="1" x14ac:dyDescent="0.2">
      <c r="A191" s="440"/>
      <c r="B191" s="448"/>
      <c r="C191" s="452"/>
      <c r="D191" s="441" t="s">
        <v>576</v>
      </c>
      <c r="E191" s="472" t="s">
        <v>574</v>
      </c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564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  <c r="AC191" s="421"/>
      <c r="AD191" s="421"/>
      <c r="AE191" s="564">
        <f t="shared" si="2"/>
        <v>0</v>
      </c>
    </row>
    <row r="192" spans="1:31" outlineLevel="1" x14ac:dyDescent="0.2">
      <c r="A192" s="440"/>
      <c r="B192" s="448"/>
      <c r="C192" s="448"/>
      <c r="D192" s="429" t="s">
        <v>572</v>
      </c>
      <c r="E192" s="472">
        <v>152</v>
      </c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564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  <c r="AC192" s="421"/>
      <c r="AD192" s="421"/>
      <c r="AE192" s="564">
        <f t="shared" si="2"/>
        <v>0</v>
      </c>
    </row>
    <row r="193" spans="1:31" outlineLevel="1" x14ac:dyDescent="0.2">
      <c r="A193" s="440"/>
      <c r="B193" s="448"/>
      <c r="C193" s="448"/>
      <c r="D193" s="429" t="s">
        <v>573</v>
      </c>
      <c r="E193" s="472" t="s">
        <v>574</v>
      </c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564"/>
      <c r="S193" s="421"/>
      <c r="T193" s="421"/>
      <c r="U193" s="421"/>
      <c r="V193" s="421"/>
      <c r="W193" s="421">
        <v>260000000</v>
      </c>
      <c r="X193" s="421"/>
      <c r="Y193" s="421"/>
      <c r="Z193" s="421"/>
      <c r="AA193" s="421"/>
      <c r="AB193" s="421"/>
      <c r="AC193" s="421"/>
      <c r="AD193" s="421"/>
      <c r="AE193" s="564">
        <f t="shared" si="2"/>
        <v>260000000</v>
      </c>
    </row>
    <row r="194" spans="1:31" outlineLevel="1" x14ac:dyDescent="0.2">
      <c r="A194" s="440"/>
      <c r="B194" s="448"/>
      <c r="C194" s="448"/>
      <c r="D194" s="429" t="s">
        <v>567</v>
      </c>
      <c r="E194" s="473">
        <v>211</v>
      </c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564"/>
      <c r="S194" s="421"/>
      <c r="T194" s="421"/>
      <c r="U194" s="421">
        <v>507000000</v>
      </c>
      <c r="V194" s="421"/>
      <c r="W194" s="421"/>
      <c r="X194" s="421"/>
      <c r="Y194" s="421"/>
      <c r="Z194" s="421"/>
      <c r="AA194" s="421"/>
      <c r="AB194" s="421"/>
      <c r="AC194" s="421"/>
      <c r="AD194" s="421"/>
      <c r="AE194" s="564">
        <f t="shared" si="2"/>
        <v>507000000</v>
      </c>
    </row>
    <row r="195" spans="1:31" outlineLevel="1" x14ac:dyDescent="0.2">
      <c r="A195" s="442"/>
      <c r="B195" s="450"/>
      <c r="C195" s="450"/>
      <c r="D195" s="451" t="s">
        <v>570</v>
      </c>
      <c r="E195" s="465">
        <v>211</v>
      </c>
      <c r="F195" s="474"/>
      <c r="G195" s="474"/>
      <c r="H195" s="474"/>
      <c r="I195" s="474"/>
      <c r="J195" s="474"/>
      <c r="K195" s="474"/>
      <c r="L195" s="474"/>
      <c r="M195" s="474"/>
      <c r="N195" s="474"/>
      <c r="O195" s="474"/>
      <c r="P195" s="474"/>
      <c r="Q195" s="474"/>
      <c r="R195" s="566"/>
      <c r="S195" s="474"/>
      <c r="T195" s="474"/>
      <c r="U195" s="474"/>
      <c r="V195" s="474"/>
      <c r="W195" s="474"/>
      <c r="X195" s="474"/>
      <c r="Y195" s="474"/>
      <c r="Z195" s="474"/>
      <c r="AA195" s="474"/>
      <c r="AB195" s="474"/>
      <c r="AC195" s="474"/>
      <c r="AD195" s="474"/>
      <c r="AE195" s="566">
        <f t="shared" si="2"/>
        <v>0</v>
      </c>
    </row>
    <row r="196" spans="1:31" outlineLevel="1" x14ac:dyDescent="0.2">
      <c r="A196" s="599">
        <v>12</v>
      </c>
      <c r="B196" s="600" t="s">
        <v>542</v>
      </c>
      <c r="C196" s="600" t="s">
        <v>543</v>
      </c>
      <c r="D196" s="601" t="s">
        <v>576</v>
      </c>
      <c r="E196" s="610" t="s">
        <v>574</v>
      </c>
      <c r="F196" s="605"/>
      <c r="G196" s="605"/>
      <c r="H196" s="605"/>
      <c r="I196" s="605"/>
      <c r="J196" s="605"/>
      <c r="K196" s="605"/>
      <c r="L196" s="605"/>
      <c r="M196" s="605"/>
      <c r="N196" s="605"/>
      <c r="O196" s="605"/>
      <c r="P196" s="605"/>
      <c r="Q196" s="605"/>
      <c r="R196" s="604"/>
      <c r="S196" s="605"/>
      <c r="T196" s="605"/>
      <c r="U196" s="605"/>
      <c r="V196" s="605"/>
      <c r="W196" s="605"/>
      <c r="X196" s="605"/>
      <c r="Y196" s="605"/>
      <c r="Z196" s="605"/>
      <c r="AA196" s="605"/>
      <c r="AB196" s="605"/>
      <c r="AC196" s="605"/>
      <c r="AD196" s="605"/>
      <c r="AE196" s="604">
        <f t="shared" si="2"/>
        <v>0</v>
      </c>
    </row>
    <row r="197" spans="1:31" outlineLevel="1" x14ac:dyDescent="0.2">
      <c r="A197" s="442"/>
      <c r="B197" s="450"/>
      <c r="C197" s="450"/>
      <c r="D197" s="451" t="s">
        <v>567</v>
      </c>
      <c r="E197" s="465">
        <v>211</v>
      </c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564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  <c r="AC197" s="421"/>
      <c r="AD197" s="421"/>
      <c r="AE197" s="564">
        <f t="shared" si="2"/>
        <v>0</v>
      </c>
    </row>
    <row r="198" spans="1:31" outlineLevel="1" x14ac:dyDescent="0.2">
      <c r="A198" s="442"/>
      <c r="B198" s="450"/>
      <c r="C198" s="450"/>
      <c r="D198" s="451" t="s">
        <v>570</v>
      </c>
      <c r="E198" s="465">
        <v>152</v>
      </c>
      <c r="F198" s="474"/>
      <c r="G198" s="474"/>
      <c r="H198" s="474"/>
      <c r="I198" s="474"/>
      <c r="J198" s="474"/>
      <c r="K198" s="474"/>
      <c r="L198" s="474"/>
      <c r="M198" s="474"/>
      <c r="N198" s="474"/>
      <c r="O198" s="474"/>
      <c r="P198" s="474"/>
      <c r="Q198" s="474"/>
      <c r="R198" s="566"/>
      <c r="S198" s="474"/>
      <c r="T198" s="474"/>
      <c r="U198" s="474"/>
      <c r="V198" s="474"/>
      <c r="W198" s="474"/>
      <c r="X198" s="474"/>
      <c r="Y198" s="474"/>
      <c r="Z198" s="474"/>
      <c r="AA198" s="474"/>
      <c r="AB198" s="474"/>
      <c r="AC198" s="474"/>
      <c r="AD198" s="474"/>
      <c r="AE198" s="566">
        <f t="shared" si="2"/>
        <v>0</v>
      </c>
    </row>
    <row r="199" spans="1:31" outlineLevel="1" x14ac:dyDescent="0.2">
      <c r="A199" s="599">
        <v>13</v>
      </c>
      <c r="B199" s="600" t="s">
        <v>544</v>
      </c>
      <c r="C199" s="600" t="s">
        <v>545</v>
      </c>
      <c r="D199" s="601" t="s">
        <v>580</v>
      </c>
      <c r="E199" s="610">
        <v>152</v>
      </c>
      <c r="F199" s="605"/>
      <c r="G199" s="605"/>
      <c r="H199" s="605"/>
      <c r="I199" s="605"/>
      <c r="J199" s="605"/>
      <c r="K199" s="605"/>
      <c r="L199" s="605"/>
      <c r="M199" s="605"/>
      <c r="N199" s="605"/>
      <c r="O199" s="605"/>
      <c r="P199" s="605"/>
      <c r="Q199" s="605"/>
      <c r="R199" s="604"/>
      <c r="S199" s="605"/>
      <c r="T199" s="605"/>
      <c r="U199" s="605"/>
      <c r="V199" s="605"/>
      <c r="W199" s="605"/>
      <c r="X199" s="605"/>
      <c r="Y199" s="605"/>
      <c r="Z199" s="605"/>
      <c r="AA199" s="605"/>
      <c r="AB199" s="605"/>
      <c r="AC199" s="605"/>
      <c r="AD199" s="605"/>
      <c r="AE199" s="604">
        <f t="shared" si="2"/>
        <v>0</v>
      </c>
    </row>
    <row r="200" spans="1:31" outlineLevel="1" x14ac:dyDescent="0.2">
      <c r="A200" s="442"/>
      <c r="B200" s="448"/>
      <c r="C200" s="450"/>
      <c r="D200" s="451" t="s">
        <v>572</v>
      </c>
      <c r="E200" s="465" t="s">
        <v>581</v>
      </c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564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  <c r="AC200" s="421"/>
      <c r="AD200" s="421"/>
      <c r="AE200" s="564">
        <f t="shared" ref="AE200:AE230" si="3">SUM(S200:AD200)</f>
        <v>0</v>
      </c>
    </row>
    <row r="201" spans="1:31" outlineLevel="1" x14ac:dyDescent="0.2">
      <c r="A201" s="442"/>
      <c r="B201" s="448"/>
      <c r="C201" s="450"/>
      <c r="D201" s="451" t="s">
        <v>572</v>
      </c>
      <c r="E201" s="465" t="s">
        <v>581</v>
      </c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564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  <c r="AC201" s="421"/>
      <c r="AD201" s="421"/>
      <c r="AE201" s="564">
        <f t="shared" si="3"/>
        <v>0</v>
      </c>
    </row>
    <row r="202" spans="1:31" outlineLevel="1" x14ac:dyDescent="0.2">
      <c r="A202" s="442"/>
      <c r="B202" s="450"/>
      <c r="C202" s="450"/>
      <c r="D202" s="451" t="s">
        <v>570</v>
      </c>
      <c r="E202" s="465"/>
      <c r="F202" s="474"/>
      <c r="G202" s="474"/>
      <c r="H202" s="474"/>
      <c r="I202" s="474"/>
      <c r="J202" s="474"/>
      <c r="K202" s="474"/>
      <c r="L202" s="474"/>
      <c r="M202" s="474"/>
      <c r="N202" s="474"/>
      <c r="O202" s="474"/>
      <c r="P202" s="474"/>
      <c r="Q202" s="474"/>
      <c r="R202" s="566"/>
      <c r="S202" s="474"/>
      <c r="T202" s="474"/>
      <c r="U202" s="474"/>
      <c r="V202" s="474"/>
      <c r="W202" s="474"/>
      <c r="X202" s="474"/>
      <c r="Y202" s="474"/>
      <c r="Z202" s="474"/>
      <c r="AA202" s="474"/>
      <c r="AB202" s="474"/>
      <c r="AC202" s="474"/>
      <c r="AD202" s="474"/>
      <c r="AE202" s="566">
        <f t="shared" si="3"/>
        <v>0</v>
      </c>
    </row>
    <row r="203" spans="1:31" outlineLevel="1" x14ac:dyDescent="0.2">
      <c r="A203" s="599">
        <v>14</v>
      </c>
      <c r="B203" s="600" t="s">
        <v>546</v>
      </c>
      <c r="C203" s="600" t="s">
        <v>547</v>
      </c>
      <c r="D203" s="601" t="s">
        <v>576</v>
      </c>
      <c r="E203" s="610" t="s">
        <v>574</v>
      </c>
      <c r="F203" s="605"/>
      <c r="G203" s="605"/>
      <c r="H203" s="605"/>
      <c r="I203" s="605"/>
      <c r="J203" s="605"/>
      <c r="K203" s="605"/>
      <c r="L203" s="605"/>
      <c r="M203" s="605"/>
      <c r="N203" s="605"/>
      <c r="O203" s="605"/>
      <c r="P203" s="605"/>
      <c r="Q203" s="605"/>
      <c r="R203" s="604"/>
      <c r="S203" s="605"/>
      <c r="T203" s="605"/>
      <c r="U203" s="605"/>
      <c r="V203" s="605"/>
      <c r="W203" s="605"/>
      <c r="X203" s="605"/>
      <c r="Y203" s="605"/>
      <c r="Z203" s="605"/>
      <c r="AA203" s="605"/>
      <c r="AB203" s="605"/>
      <c r="AC203" s="605"/>
      <c r="AD203" s="605"/>
      <c r="AE203" s="604">
        <f t="shared" si="3"/>
        <v>0</v>
      </c>
    </row>
    <row r="204" spans="1:31" outlineLevel="1" x14ac:dyDescent="0.2">
      <c r="A204" s="442"/>
      <c r="B204" s="448"/>
      <c r="C204" s="450"/>
      <c r="D204" s="451" t="s">
        <v>567</v>
      </c>
      <c r="E204" s="465">
        <v>211</v>
      </c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564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  <c r="AC204" s="421"/>
      <c r="AD204" s="421"/>
      <c r="AE204" s="564">
        <f t="shared" si="3"/>
        <v>0</v>
      </c>
    </row>
    <row r="205" spans="1:31" outlineLevel="1" x14ac:dyDescent="0.2">
      <c r="A205" s="442"/>
      <c r="B205" s="450"/>
      <c r="C205" s="450"/>
      <c r="D205" s="451" t="s">
        <v>570</v>
      </c>
      <c r="E205" s="465">
        <v>152</v>
      </c>
      <c r="F205" s="474"/>
      <c r="G205" s="474"/>
      <c r="H205" s="474"/>
      <c r="I205" s="474"/>
      <c r="J205" s="474"/>
      <c r="K205" s="474"/>
      <c r="L205" s="474"/>
      <c r="M205" s="474"/>
      <c r="N205" s="474"/>
      <c r="O205" s="474"/>
      <c r="P205" s="474"/>
      <c r="Q205" s="474"/>
      <c r="R205" s="566"/>
      <c r="S205" s="474"/>
      <c r="T205" s="474"/>
      <c r="U205" s="474"/>
      <c r="V205" s="474"/>
      <c r="W205" s="474"/>
      <c r="X205" s="474"/>
      <c r="Y205" s="474"/>
      <c r="Z205" s="474"/>
      <c r="AA205" s="474"/>
      <c r="AB205" s="474"/>
      <c r="AC205" s="474"/>
      <c r="AD205" s="474"/>
      <c r="AE205" s="566">
        <f t="shared" si="3"/>
        <v>0</v>
      </c>
    </row>
    <row r="206" spans="1:31" outlineLevel="1" x14ac:dyDescent="0.2">
      <c r="A206" s="599">
        <v>15</v>
      </c>
      <c r="B206" s="613" t="s">
        <v>548</v>
      </c>
      <c r="C206" s="613" t="s">
        <v>549</v>
      </c>
      <c r="D206" s="601" t="s">
        <v>576</v>
      </c>
      <c r="E206" s="610" t="s">
        <v>574</v>
      </c>
      <c r="F206" s="605"/>
      <c r="G206" s="605"/>
      <c r="H206" s="605"/>
      <c r="I206" s="605"/>
      <c r="J206" s="605"/>
      <c r="K206" s="605"/>
      <c r="L206" s="605"/>
      <c r="M206" s="605"/>
      <c r="N206" s="605"/>
      <c r="O206" s="605"/>
      <c r="P206" s="605"/>
      <c r="Q206" s="605"/>
      <c r="R206" s="604"/>
      <c r="S206" s="605"/>
      <c r="T206" s="605"/>
      <c r="U206" s="605"/>
      <c r="V206" s="605"/>
      <c r="W206" s="605"/>
      <c r="X206" s="605"/>
      <c r="Y206" s="605"/>
      <c r="Z206" s="605"/>
      <c r="AA206" s="605"/>
      <c r="AB206" s="605"/>
      <c r="AC206" s="605"/>
      <c r="AD206" s="605"/>
      <c r="AE206" s="604">
        <f t="shared" si="3"/>
        <v>0</v>
      </c>
    </row>
    <row r="207" spans="1:31" outlineLevel="1" x14ac:dyDescent="0.2">
      <c r="A207" s="442"/>
      <c r="B207" s="506"/>
      <c r="C207" s="527"/>
      <c r="D207" s="451" t="s">
        <v>567</v>
      </c>
      <c r="E207" s="465">
        <v>211</v>
      </c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564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  <c r="AC207" s="421"/>
      <c r="AD207" s="421"/>
      <c r="AE207" s="564">
        <f t="shared" si="3"/>
        <v>0</v>
      </c>
    </row>
    <row r="208" spans="1:31" outlineLevel="1" x14ac:dyDescent="0.2">
      <c r="A208" s="442"/>
      <c r="B208" s="527"/>
      <c r="C208" s="527"/>
      <c r="D208" s="451" t="s">
        <v>570</v>
      </c>
      <c r="E208" s="465">
        <v>152</v>
      </c>
      <c r="F208" s="474"/>
      <c r="G208" s="474"/>
      <c r="H208" s="474"/>
      <c r="I208" s="474"/>
      <c r="J208" s="474"/>
      <c r="K208" s="474"/>
      <c r="L208" s="474"/>
      <c r="M208" s="474"/>
      <c r="N208" s="474"/>
      <c r="O208" s="474"/>
      <c r="P208" s="474"/>
      <c r="Q208" s="474"/>
      <c r="R208" s="566"/>
      <c r="S208" s="474"/>
      <c r="T208" s="474"/>
      <c r="U208" s="474"/>
      <c r="V208" s="474"/>
      <c r="W208" s="474"/>
      <c r="X208" s="474"/>
      <c r="Y208" s="474"/>
      <c r="Z208" s="474"/>
      <c r="AA208" s="474"/>
      <c r="AB208" s="474"/>
      <c r="AC208" s="474"/>
      <c r="AD208" s="474"/>
      <c r="AE208" s="566">
        <f t="shared" si="3"/>
        <v>0</v>
      </c>
    </row>
    <row r="209" spans="1:31" outlineLevel="1" x14ac:dyDescent="0.2">
      <c r="A209" s="599">
        <v>16</v>
      </c>
      <c r="B209" s="613" t="s">
        <v>550</v>
      </c>
      <c r="C209" s="613" t="s">
        <v>551</v>
      </c>
      <c r="D209" s="601" t="s">
        <v>576</v>
      </c>
      <c r="E209" s="610" t="s">
        <v>574</v>
      </c>
      <c r="F209" s="605"/>
      <c r="G209" s="605"/>
      <c r="H209" s="605"/>
      <c r="I209" s="605"/>
      <c r="J209" s="605"/>
      <c r="K209" s="605"/>
      <c r="L209" s="605"/>
      <c r="M209" s="605"/>
      <c r="N209" s="605"/>
      <c r="O209" s="605"/>
      <c r="P209" s="605"/>
      <c r="Q209" s="605"/>
      <c r="R209" s="604"/>
      <c r="S209" s="605"/>
      <c r="T209" s="605"/>
      <c r="U209" s="605"/>
      <c r="V209" s="605"/>
      <c r="W209" s="605"/>
      <c r="X209" s="605"/>
      <c r="Y209" s="605"/>
      <c r="Z209" s="605"/>
      <c r="AA209" s="605"/>
      <c r="AB209" s="605"/>
      <c r="AC209" s="605"/>
      <c r="AD209" s="605"/>
      <c r="AE209" s="604">
        <f t="shared" si="3"/>
        <v>0</v>
      </c>
    </row>
    <row r="210" spans="1:31" outlineLevel="1" x14ac:dyDescent="0.2">
      <c r="A210" s="442"/>
      <c r="B210" s="506"/>
      <c r="C210" s="527"/>
      <c r="D210" s="451" t="s">
        <v>567</v>
      </c>
      <c r="E210" s="465">
        <v>211</v>
      </c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564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  <c r="AC210" s="421"/>
      <c r="AD210" s="421"/>
      <c r="AE210" s="564">
        <f t="shared" si="3"/>
        <v>0</v>
      </c>
    </row>
    <row r="211" spans="1:31" outlineLevel="1" x14ac:dyDescent="0.2">
      <c r="A211" s="442"/>
      <c r="B211" s="527"/>
      <c r="C211" s="527"/>
      <c r="D211" s="451" t="s">
        <v>570</v>
      </c>
      <c r="E211" s="465">
        <v>152</v>
      </c>
      <c r="F211" s="474"/>
      <c r="G211" s="474"/>
      <c r="H211" s="474"/>
      <c r="I211" s="474"/>
      <c r="J211" s="474"/>
      <c r="K211" s="474"/>
      <c r="L211" s="474"/>
      <c r="M211" s="474"/>
      <c r="N211" s="474"/>
      <c r="O211" s="474"/>
      <c r="P211" s="474"/>
      <c r="Q211" s="474"/>
      <c r="R211" s="566"/>
      <c r="S211" s="474"/>
      <c r="T211" s="474"/>
      <c r="U211" s="474"/>
      <c r="V211" s="474"/>
      <c r="W211" s="474"/>
      <c r="X211" s="474"/>
      <c r="Y211" s="474"/>
      <c r="Z211" s="474"/>
      <c r="AA211" s="474"/>
      <c r="AB211" s="474"/>
      <c r="AC211" s="474"/>
      <c r="AD211" s="474"/>
      <c r="AE211" s="566">
        <f t="shared" si="3"/>
        <v>0</v>
      </c>
    </row>
    <row r="212" spans="1:31" outlineLevel="1" x14ac:dyDescent="0.2">
      <c r="A212" s="599">
        <v>17</v>
      </c>
      <c r="B212" s="613" t="s">
        <v>552</v>
      </c>
      <c r="C212" s="613" t="s">
        <v>553</v>
      </c>
      <c r="D212" s="601" t="s">
        <v>576</v>
      </c>
      <c r="E212" s="610" t="s">
        <v>574</v>
      </c>
      <c r="F212" s="605"/>
      <c r="G212" s="605"/>
      <c r="H212" s="605"/>
      <c r="I212" s="605"/>
      <c r="J212" s="605"/>
      <c r="K212" s="605"/>
      <c r="L212" s="605"/>
      <c r="M212" s="605"/>
      <c r="N212" s="605"/>
      <c r="O212" s="605"/>
      <c r="P212" s="605"/>
      <c r="Q212" s="605"/>
      <c r="R212" s="604"/>
      <c r="S212" s="605"/>
      <c r="T212" s="605"/>
      <c r="U212" s="605"/>
      <c r="V212" s="605"/>
      <c r="W212" s="605"/>
      <c r="X212" s="605"/>
      <c r="Y212" s="605"/>
      <c r="Z212" s="605"/>
      <c r="AA212" s="605"/>
      <c r="AB212" s="605"/>
      <c r="AC212" s="605"/>
      <c r="AD212" s="605"/>
      <c r="AE212" s="604">
        <f t="shared" si="3"/>
        <v>0</v>
      </c>
    </row>
    <row r="213" spans="1:31" outlineLevel="1" x14ac:dyDescent="0.2">
      <c r="A213" s="442"/>
      <c r="B213" s="506"/>
      <c r="C213" s="527"/>
      <c r="D213" s="451" t="s">
        <v>567</v>
      </c>
      <c r="E213" s="465">
        <v>211</v>
      </c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564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  <c r="AC213" s="421"/>
      <c r="AD213" s="421"/>
      <c r="AE213" s="564">
        <f t="shared" si="3"/>
        <v>0</v>
      </c>
    </row>
    <row r="214" spans="1:31" outlineLevel="1" x14ac:dyDescent="0.2">
      <c r="A214" s="442"/>
      <c r="B214" s="527"/>
      <c r="C214" s="527"/>
      <c r="D214" s="451" t="s">
        <v>570</v>
      </c>
      <c r="E214" s="465">
        <v>152</v>
      </c>
      <c r="F214" s="474"/>
      <c r="G214" s="474"/>
      <c r="H214" s="474"/>
      <c r="I214" s="474"/>
      <c r="J214" s="474"/>
      <c r="K214" s="474"/>
      <c r="L214" s="474"/>
      <c r="M214" s="474"/>
      <c r="N214" s="474"/>
      <c r="O214" s="474"/>
      <c r="P214" s="474"/>
      <c r="Q214" s="474"/>
      <c r="R214" s="566"/>
      <c r="S214" s="474"/>
      <c r="T214" s="474"/>
      <c r="U214" s="474"/>
      <c r="V214" s="474"/>
      <c r="W214" s="474"/>
      <c r="X214" s="474"/>
      <c r="Y214" s="474"/>
      <c r="Z214" s="474"/>
      <c r="AA214" s="474"/>
      <c r="AB214" s="474"/>
      <c r="AC214" s="474"/>
      <c r="AD214" s="474"/>
      <c r="AE214" s="566">
        <f t="shared" si="3"/>
        <v>0</v>
      </c>
    </row>
    <row r="215" spans="1:31" outlineLevel="1" x14ac:dyDescent="0.2">
      <c r="A215" s="599">
        <v>18</v>
      </c>
      <c r="B215" s="600" t="s">
        <v>554</v>
      </c>
      <c r="C215" s="600" t="s">
        <v>555</v>
      </c>
      <c r="D215" s="601" t="s">
        <v>576</v>
      </c>
      <c r="E215" s="610" t="s">
        <v>574</v>
      </c>
      <c r="F215" s="605"/>
      <c r="G215" s="605"/>
      <c r="H215" s="605"/>
      <c r="I215" s="605"/>
      <c r="J215" s="605"/>
      <c r="K215" s="605"/>
      <c r="L215" s="605"/>
      <c r="M215" s="605"/>
      <c r="N215" s="605"/>
      <c r="O215" s="605"/>
      <c r="P215" s="605"/>
      <c r="Q215" s="605"/>
      <c r="R215" s="604"/>
      <c r="S215" s="605"/>
      <c r="T215" s="605"/>
      <c r="U215" s="605"/>
      <c r="V215" s="605"/>
      <c r="W215" s="605"/>
      <c r="X215" s="605"/>
      <c r="Y215" s="605"/>
      <c r="Z215" s="605"/>
      <c r="AA215" s="605"/>
      <c r="AB215" s="605"/>
      <c r="AC215" s="605"/>
      <c r="AD215" s="605"/>
      <c r="AE215" s="604">
        <f t="shared" si="3"/>
        <v>0</v>
      </c>
    </row>
    <row r="216" spans="1:31" outlineLevel="1" x14ac:dyDescent="0.2">
      <c r="A216" s="442"/>
      <c r="B216" s="448"/>
      <c r="C216" s="448"/>
      <c r="D216" s="429" t="s">
        <v>567</v>
      </c>
      <c r="E216" s="473">
        <v>211</v>
      </c>
      <c r="F216" s="438"/>
      <c r="G216" s="438"/>
      <c r="H216" s="438"/>
      <c r="I216" s="438"/>
      <c r="J216" s="438"/>
      <c r="K216" s="438"/>
      <c r="L216" s="438"/>
      <c r="M216" s="438"/>
      <c r="N216" s="438"/>
      <c r="O216" s="438"/>
      <c r="P216" s="438"/>
      <c r="Q216" s="438"/>
      <c r="R216" s="567"/>
      <c r="S216" s="438"/>
      <c r="T216" s="438"/>
      <c r="U216" s="438"/>
      <c r="V216" s="438"/>
      <c r="W216" s="438"/>
      <c r="X216" s="438"/>
      <c r="Y216" s="438"/>
      <c r="Z216" s="438"/>
      <c r="AA216" s="438"/>
      <c r="AB216" s="438"/>
      <c r="AC216" s="438"/>
      <c r="AD216" s="438"/>
      <c r="AE216" s="567">
        <f t="shared" si="3"/>
        <v>0</v>
      </c>
    </row>
    <row r="217" spans="1:31" outlineLevel="1" x14ac:dyDescent="0.2">
      <c r="A217" s="442"/>
      <c r="B217" s="527"/>
      <c r="C217" s="527"/>
      <c r="D217" s="451" t="s">
        <v>570</v>
      </c>
      <c r="E217" s="465">
        <v>152</v>
      </c>
      <c r="F217" s="467"/>
      <c r="G217" s="467"/>
      <c r="H217" s="467"/>
      <c r="I217" s="467"/>
      <c r="J217" s="467"/>
      <c r="K217" s="467"/>
      <c r="L217" s="467"/>
      <c r="M217" s="467"/>
      <c r="N217" s="467"/>
      <c r="O217" s="467"/>
      <c r="P217" s="467"/>
      <c r="Q217" s="467"/>
      <c r="R217" s="571"/>
      <c r="S217" s="467"/>
      <c r="T217" s="467"/>
      <c r="U217" s="467"/>
      <c r="V217" s="467"/>
      <c r="W217" s="467"/>
      <c r="X217" s="467"/>
      <c r="Y217" s="467"/>
      <c r="Z217" s="467"/>
      <c r="AA217" s="467"/>
      <c r="AB217" s="467"/>
      <c r="AC217" s="467"/>
      <c r="AD217" s="467"/>
      <c r="AE217" s="571">
        <f t="shared" si="3"/>
        <v>0</v>
      </c>
    </row>
    <row r="218" spans="1:31" outlineLevel="1" x14ac:dyDescent="0.2">
      <c r="A218" s="599">
        <v>19</v>
      </c>
      <c r="B218" s="600" t="s">
        <v>556</v>
      </c>
      <c r="C218" s="600" t="s">
        <v>557</v>
      </c>
      <c r="D218" s="601" t="s">
        <v>576</v>
      </c>
      <c r="E218" s="610" t="s">
        <v>574</v>
      </c>
      <c r="F218" s="605"/>
      <c r="G218" s="605"/>
      <c r="H218" s="605"/>
      <c r="I218" s="605"/>
      <c r="J218" s="605"/>
      <c r="K218" s="605"/>
      <c r="L218" s="605"/>
      <c r="M218" s="605"/>
      <c r="N218" s="605"/>
      <c r="O218" s="605"/>
      <c r="P218" s="605"/>
      <c r="Q218" s="605"/>
      <c r="R218" s="604"/>
      <c r="S218" s="605"/>
      <c r="T218" s="605"/>
      <c r="U218" s="605"/>
      <c r="V218" s="605"/>
      <c r="W218" s="605"/>
      <c r="X218" s="605"/>
      <c r="Y218" s="605"/>
      <c r="Z218" s="605"/>
      <c r="AA218" s="605"/>
      <c r="AB218" s="605"/>
      <c r="AC218" s="605"/>
      <c r="AD218" s="605"/>
      <c r="AE218" s="604">
        <f t="shared" si="3"/>
        <v>0</v>
      </c>
    </row>
    <row r="219" spans="1:31" outlineLevel="1" x14ac:dyDescent="0.2">
      <c r="A219" s="442"/>
      <c r="B219" s="506"/>
      <c r="C219" s="527"/>
      <c r="D219" s="451" t="s">
        <v>567</v>
      </c>
      <c r="E219" s="465">
        <v>211</v>
      </c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564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  <c r="AC219" s="421"/>
      <c r="AD219" s="421"/>
      <c r="AE219" s="564">
        <f t="shared" si="3"/>
        <v>0</v>
      </c>
    </row>
    <row r="220" spans="1:31" outlineLevel="1" x14ac:dyDescent="0.2">
      <c r="A220" s="442"/>
      <c r="B220" s="527"/>
      <c r="C220" s="527"/>
      <c r="D220" s="451" t="s">
        <v>570</v>
      </c>
      <c r="E220" s="465">
        <v>152</v>
      </c>
      <c r="F220" s="474"/>
      <c r="G220" s="474"/>
      <c r="H220" s="474"/>
      <c r="I220" s="474"/>
      <c r="J220" s="474"/>
      <c r="K220" s="474"/>
      <c r="L220" s="474"/>
      <c r="M220" s="474"/>
      <c r="N220" s="474"/>
      <c r="O220" s="474"/>
      <c r="P220" s="474"/>
      <c r="Q220" s="474"/>
      <c r="R220" s="566"/>
      <c r="S220" s="474"/>
      <c r="T220" s="474"/>
      <c r="U220" s="474"/>
      <c r="V220" s="474"/>
      <c r="W220" s="474"/>
      <c r="X220" s="474"/>
      <c r="Y220" s="474"/>
      <c r="Z220" s="474"/>
      <c r="AA220" s="474"/>
      <c r="AB220" s="474"/>
      <c r="AC220" s="474"/>
      <c r="AD220" s="474"/>
      <c r="AE220" s="566">
        <f t="shared" si="3"/>
        <v>0</v>
      </c>
    </row>
    <row r="221" spans="1:31" outlineLevel="1" x14ac:dyDescent="0.2">
      <c r="A221" s="599">
        <v>20</v>
      </c>
      <c r="B221" s="613" t="s">
        <v>558</v>
      </c>
      <c r="C221" s="614" t="s">
        <v>559</v>
      </c>
      <c r="D221" s="615" t="s">
        <v>576</v>
      </c>
      <c r="E221" s="610" t="s">
        <v>574</v>
      </c>
      <c r="F221" s="605"/>
      <c r="G221" s="605"/>
      <c r="H221" s="605"/>
      <c r="I221" s="605"/>
      <c r="J221" s="605"/>
      <c r="K221" s="605"/>
      <c r="L221" s="605"/>
      <c r="M221" s="605"/>
      <c r="N221" s="605"/>
      <c r="O221" s="605"/>
      <c r="P221" s="605"/>
      <c r="Q221" s="605"/>
      <c r="R221" s="604"/>
      <c r="S221" s="605"/>
      <c r="T221" s="605"/>
      <c r="U221" s="605"/>
      <c r="V221" s="605"/>
      <c r="W221" s="605"/>
      <c r="X221" s="605"/>
      <c r="Y221" s="605"/>
      <c r="Z221" s="605"/>
      <c r="AA221" s="605"/>
      <c r="AB221" s="605"/>
      <c r="AC221" s="605"/>
      <c r="AD221" s="605"/>
      <c r="AE221" s="604">
        <f t="shared" si="3"/>
        <v>0</v>
      </c>
    </row>
    <row r="222" spans="1:31" outlineLevel="1" x14ac:dyDescent="0.2">
      <c r="A222" s="442"/>
      <c r="B222" s="506"/>
      <c r="C222" s="527"/>
      <c r="D222" s="451" t="s">
        <v>567</v>
      </c>
      <c r="E222" s="465">
        <v>211</v>
      </c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564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  <c r="AC222" s="421"/>
      <c r="AD222" s="421"/>
      <c r="AE222" s="564">
        <f t="shared" si="3"/>
        <v>0</v>
      </c>
    </row>
    <row r="223" spans="1:31" outlineLevel="1" x14ac:dyDescent="0.2">
      <c r="A223" s="442"/>
      <c r="B223" s="527"/>
      <c r="C223" s="527"/>
      <c r="D223" s="451" t="s">
        <v>570</v>
      </c>
      <c r="E223" s="465">
        <v>152</v>
      </c>
      <c r="F223" s="474"/>
      <c r="G223" s="474"/>
      <c r="H223" s="474"/>
      <c r="I223" s="474"/>
      <c r="J223" s="474"/>
      <c r="K223" s="474"/>
      <c r="L223" s="474"/>
      <c r="M223" s="474"/>
      <c r="N223" s="474"/>
      <c r="O223" s="474"/>
      <c r="P223" s="474"/>
      <c r="Q223" s="474"/>
      <c r="R223" s="566"/>
      <c r="S223" s="474"/>
      <c r="T223" s="474"/>
      <c r="U223" s="474"/>
      <c r="V223" s="474"/>
      <c r="W223" s="474"/>
      <c r="X223" s="474"/>
      <c r="Y223" s="474"/>
      <c r="Z223" s="474"/>
      <c r="AA223" s="474"/>
      <c r="AB223" s="474"/>
      <c r="AC223" s="474"/>
      <c r="AD223" s="474"/>
      <c r="AE223" s="566">
        <f t="shared" si="3"/>
        <v>0</v>
      </c>
    </row>
    <row r="224" spans="1:31" outlineLevel="1" x14ac:dyDescent="0.2">
      <c r="A224" s="599">
        <v>21</v>
      </c>
      <c r="B224" s="613" t="s">
        <v>560</v>
      </c>
      <c r="C224" s="613" t="s">
        <v>561</v>
      </c>
      <c r="D224" s="601" t="s">
        <v>576</v>
      </c>
      <c r="E224" s="610" t="s">
        <v>574</v>
      </c>
      <c r="F224" s="605"/>
      <c r="G224" s="605"/>
      <c r="H224" s="605"/>
      <c r="I224" s="605"/>
      <c r="J224" s="605"/>
      <c r="K224" s="605"/>
      <c r="L224" s="605"/>
      <c r="M224" s="605"/>
      <c r="N224" s="605"/>
      <c r="O224" s="605"/>
      <c r="P224" s="605"/>
      <c r="Q224" s="605"/>
      <c r="R224" s="604"/>
      <c r="S224" s="605"/>
      <c r="T224" s="605"/>
      <c r="U224" s="605"/>
      <c r="V224" s="605"/>
      <c r="W224" s="605"/>
      <c r="X224" s="605"/>
      <c r="Y224" s="605"/>
      <c r="Z224" s="605"/>
      <c r="AA224" s="605"/>
      <c r="AB224" s="605"/>
      <c r="AC224" s="605"/>
      <c r="AD224" s="605"/>
      <c r="AE224" s="604">
        <f t="shared" si="3"/>
        <v>0</v>
      </c>
    </row>
    <row r="225" spans="1:31" outlineLevel="1" x14ac:dyDescent="0.2">
      <c r="A225" s="442"/>
      <c r="B225" s="506"/>
      <c r="C225" s="527"/>
      <c r="D225" s="451" t="s">
        <v>567</v>
      </c>
      <c r="E225" s="465">
        <v>211</v>
      </c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564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  <c r="AC225" s="421"/>
      <c r="AD225" s="421"/>
      <c r="AE225" s="564">
        <f t="shared" si="3"/>
        <v>0</v>
      </c>
    </row>
    <row r="226" spans="1:31" outlineLevel="1" x14ac:dyDescent="0.2">
      <c r="A226" s="442"/>
      <c r="B226" s="527"/>
      <c r="C226" s="527"/>
      <c r="D226" s="451" t="s">
        <v>570</v>
      </c>
      <c r="E226" s="465">
        <v>152</v>
      </c>
      <c r="F226" s="474"/>
      <c r="G226" s="474"/>
      <c r="H226" s="474"/>
      <c r="I226" s="474"/>
      <c r="J226" s="474"/>
      <c r="K226" s="474"/>
      <c r="L226" s="474"/>
      <c r="M226" s="474"/>
      <c r="N226" s="474"/>
      <c r="O226" s="474"/>
      <c r="P226" s="474"/>
      <c r="Q226" s="474"/>
      <c r="R226" s="566"/>
      <c r="S226" s="474"/>
      <c r="T226" s="474"/>
      <c r="U226" s="474"/>
      <c r="V226" s="474"/>
      <c r="W226" s="474"/>
      <c r="X226" s="474"/>
      <c r="Y226" s="474"/>
      <c r="Z226" s="474"/>
      <c r="AA226" s="474"/>
      <c r="AB226" s="474"/>
      <c r="AC226" s="474"/>
      <c r="AD226" s="474"/>
      <c r="AE226" s="566">
        <f t="shared" si="3"/>
        <v>0</v>
      </c>
    </row>
    <row r="227" spans="1:31" outlineLevel="1" x14ac:dyDescent="0.2">
      <c r="A227" s="599">
        <v>22</v>
      </c>
      <c r="B227" s="613" t="s">
        <v>562</v>
      </c>
      <c r="C227" s="613" t="s">
        <v>563</v>
      </c>
      <c r="D227" s="601" t="s">
        <v>576</v>
      </c>
      <c r="E227" s="610" t="s">
        <v>574</v>
      </c>
      <c r="F227" s="605"/>
      <c r="G227" s="605"/>
      <c r="H227" s="605"/>
      <c r="I227" s="605"/>
      <c r="J227" s="605"/>
      <c r="K227" s="605"/>
      <c r="L227" s="605"/>
      <c r="M227" s="605"/>
      <c r="N227" s="605"/>
      <c r="O227" s="605"/>
      <c r="P227" s="605"/>
      <c r="Q227" s="605"/>
      <c r="R227" s="604"/>
      <c r="S227" s="605"/>
      <c r="T227" s="605"/>
      <c r="U227" s="605"/>
      <c r="V227" s="605"/>
      <c r="W227" s="605"/>
      <c r="X227" s="605"/>
      <c r="Y227" s="605"/>
      <c r="Z227" s="605"/>
      <c r="AA227" s="605"/>
      <c r="AB227" s="605"/>
      <c r="AC227" s="605"/>
      <c r="AD227" s="605"/>
      <c r="AE227" s="604">
        <f t="shared" si="3"/>
        <v>0</v>
      </c>
    </row>
    <row r="228" spans="1:31" outlineLevel="1" x14ac:dyDescent="0.2">
      <c r="A228" s="442"/>
      <c r="B228" s="506"/>
      <c r="C228" s="527"/>
      <c r="D228" s="451" t="s">
        <v>567</v>
      </c>
      <c r="E228" s="465">
        <v>211</v>
      </c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564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  <c r="AC228" s="421"/>
      <c r="AD228" s="421"/>
      <c r="AE228" s="564">
        <f t="shared" si="3"/>
        <v>0</v>
      </c>
    </row>
    <row r="229" spans="1:31" outlineLevel="1" x14ac:dyDescent="0.2">
      <c r="A229" s="442"/>
      <c r="B229" s="506"/>
      <c r="C229" s="527"/>
      <c r="D229" s="451" t="s">
        <v>570</v>
      </c>
      <c r="E229" s="465">
        <v>152</v>
      </c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564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  <c r="AC229" s="421"/>
      <c r="AD229" s="421"/>
      <c r="AE229" s="564">
        <f t="shared" si="3"/>
        <v>0</v>
      </c>
    </row>
    <row r="230" spans="1:31" outlineLevel="1" x14ac:dyDescent="0.2">
      <c r="A230" s="442"/>
      <c r="B230" s="527"/>
      <c r="C230" s="527"/>
      <c r="D230" s="426"/>
      <c r="E230" s="426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564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  <c r="AC230" s="421"/>
      <c r="AD230" s="421"/>
      <c r="AE230" s="564">
        <f t="shared" si="3"/>
        <v>0</v>
      </c>
    </row>
    <row r="231" spans="1:31" x14ac:dyDescent="0.2">
      <c r="A231" s="539" t="s">
        <v>582</v>
      </c>
      <c r="B231" s="536" t="s">
        <v>583</v>
      </c>
      <c r="C231" s="536"/>
      <c r="D231" s="542" t="s">
        <v>584</v>
      </c>
      <c r="E231" s="543" t="s">
        <v>585</v>
      </c>
      <c r="F231" s="540"/>
      <c r="G231" s="540"/>
      <c r="H231" s="540"/>
      <c r="I231" s="540"/>
      <c r="J231" s="540"/>
      <c r="K231" s="540"/>
      <c r="L231" s="540"/>
      <c r="M231" s="540"/>
      <c r="N231" s="540"/>
      <c r="O231" s="540"/>
      <c r="P231" s="540"/>
      <c r="Q231" s="540"/>
      <c r="R231" s="568"/>
      <c r="S231" s="540"/>
      <c r="T231" s="541"/>
      <c r="U231" s="541"/>
      <c r="V231" s="541"/>
      <c r="W231" s="541"/>
      <c r="X231" s="541"/>
      <c r="Y231" s="541"/>
      <c r="Z231" s="541"/>
      <c r="AA231" s="541"/>
      <c r="AB231" s="541"/>
      <c r="AC231" s="541"/>
      <c r="AD231" s="541"/>
      <c r="AE231" s="568"/>
    </row>
    <row r="232" spans="1:31" outlineLevel="1" x14ac:dyDescent="0.2">
      <c r="A232" s="476"/>
      <c r="B232" s="506" t="s">
        <v>503</v>
      </c>
      <c r="C232" s="417" t="s">
        <v>504</v>
      </c>
      <c r="D232" s="611" t="s">
        <v>586</v>
      </c>
      <c r="E232" s="477">
        <v>128</v>
      </c>
      <c r="F232" s="616"/>
      <c r="G232" s="616"/>
      <c r="H232" s="616"/>
      <c r="I232" s="616"/>
      <c r="J232" s="616"/>
      <c r="K232" s="616"/>
      <c r="L232" s="616"/>
      <c r="M232" s="616"/>
      <c r="N232" s="616"/>
      <c r="O232" s="616"/>
      <c r="P232" s="616"/>
      <c r="Q232" s="616"/>
      <c r="R232" s="564"/>
      <c r="S232" s="616"/>
      <c r="T232" s="611"/>
      <c r="U232" s="611"/>
      <c r="V232" s="611"/>
      <c r="W232" s="611"/>
      <c r="X232" s="611"/>
      <c r="Y232" s="611"/>
      <c r="Z232" s="611"/>
      <c r="AA232" s="611"/>
      <c r="AB232" s="611"/>
      <c r="AC232" s="611"/>
      <c r="AD232" s="611"/>
      <c r="AE232" s="564">
        <f t="shared" ref="AE232:AE239" si="4">SUM(S232:AD232)</f>
        <v>0</v>
      </c>
    </row>
    <row r="233" spans="1:31" outlineLevel="1" x14ac:dyDescent="0.2">
      <c r="A233" s="476"/>
      <c r="B233" s="528"/>
      <c r="C233" s="473"/>
      <c r="D233" s="423"/>
      <c r="E233" s="477">
        <v>138</v>
      </c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564"/>
      <c r="S233" s="455"/>
      <c r="T233" s="423"/>
      <c r="U233" s="423"/>
      <c r="V233" s="423"/>
      <c r="W233" s="423"/>
      <c r="X233" s="423"/>
      <c r="Y233" s="423"/>
      <c r="Z233" s="423"/>
      <c r="AA233" s="423"/>
      <c r="AB233" s="423"/>
      <c r="AC233" s="423"/>
      <c r="AD233" s="423"/>
      <c r="AE233" s="564">
        <f t="shared" si="4"/>
        <v>0</v>
      </c>
    </row>
    <row r="234" spans="1:31" outlineLevel="1" x14ac:dyDescent="0.2">
      <c r="A234" s="476"/>
      <c r="B234" s="448" t="s">
        <v>550</v>
      </c>
      <c r="C234" s="448" t="s">
        <v>551</v>
      </c>
      <c r="D234" s="423" t="s">
        <v>483</v>
      </c>
      <c r="E234" s="477">
        <v>128</v>
      </c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564"/>
      <c r="S234" s="455"/>
      <c r="T234" s="423"/>
      <c r="U234" s="423"/>
      <c r="V234" s="423"/>
      <c r="W234" s="423"/>
      <c r="X234" s="423"/>
      <c r="Y234" s="423"/>
      <c r="Z234" s="423"/>
      <c r="AA234" s="423"/>
      <c r="AB234" s="423"/>
      <c r="AC234" s="423"/>
      <c r="AD234" s="423"/>
      <c r="AE234" s="564">
        <f t="shared" si="4"/>
        <v>0</v>
      </c>
    </row>
    <row r="235" spans="1:31" outlineLevel="1" x14ac:dyDescent="0.2">
      <c r="A235" s="476"/>
      <c r="B235" s="448"/>
      <c r="C235" s="452"/>
      <c r="D235" s="418"/>
      <c r="E235" s="479">
        <v>138</v>
      </c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564"/>
      <c r="S235" s="455"/>
      <c r="T235" s="423"/>
      <c r="U235" s="423"/>
      <c r="V235" s="423"/>
      <c r="W235" s="423"/>
      <c r="X235" s="423"/>
      <c r="Y235" s="423"/>
      <c r="Z235" s="423"/>
      <c r="AA235" s="423"/>
      <c r="AB235" s="423"/>
      <c r="AC235" s="423"/>
      <c r="AD235" s="423"/>
      <c r="AE235" s="564">
        <f t="shared" si="4"/>
        <v>0</v>
      </c>
    </row>
    <row r="236" spans="1:31" outlineLevel="1" x14ac:dyDescent="0.2">
      <c r="A236" s="476"/>
      <c r="B236" s="448" t="s">
        <v>538</v>
      </c>
      <c r="C236" s="448" t="s">
        <v>539</v>
      </c>
      <c r="D236" s="423" t="s">
        <v>483</v>
      </c>
      <c r="E236" s="479">
        <v>128</v>
      </c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564"/>
      <c r="S236" s="455"/>
      <c r="T236" s="423"/>
      <c r="U236" s="423"/>
      <c r="V236" s="423"/>
      <c r="W236" s="423"/>
      <c r="X236" s="423"/>
      <c r="Y236" s="423"/>
      <c r="Z236" s="423"/>
      <c r="AA236" s="423"/>
      <c r="AB236" s="423"/>
      <c r="AC236" s="423"/>
      <c r="AD236" s="423"/>
      <c r="AE236" s="564">
        <f t="shared" si="4"/>
        <v>0</v>
      </c>
    </row>
    <row r="237" spans="1:31" outlineLevel="1" x14ac:dyDescent="0.2">
      <c r="A237" s="476"/>
      <c r="B237" s="506" t="s">
        <v>587</v>
      </c>
      <c r="C237" s="417"/>
      <c r="D237" s="480" t="s">
        <v>588</v>
      </c>
      <c r="E237" s="479">
        <v>128</v>
      </c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564"/>
      <c r="S237" s="455"/>
      <c r="T237" s="423"/>
      <c r="U237" s="423"/>
      <c r="V237" s="423"/>
      <c r="W237" s="423"/>
      <c r="X237" s="423"/>
      <c r="Y237" s="423"/>
      <c r="Z237" s="423"/>
      <c r="AA237" s="423"/>
      <c r="AB237" s="423"/>
      <c r="AC237" s="423"/>
      <c r="AD237" s="423"/>
      <c r="AE237" s="564">
        <f t="shared" si="4"/>
        <v>0</v>
      </c>
    </row>
    <row r="238" spans="1:31" outlineLevel="1" x14ac:dyDescent="0.2">
      <c r="A238" s="476"/>
      <c r="B238" s="506" t="s">
        <v>589</v>
      </c>
      <c r="C238" s="506"/>
      <c r="D238" s="481"/>
      <c r="E238" s="477">
        <v>138</v>
      </c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564"/>
      <c r="S238" s="455"/>
      <c r="T238" s="423"/>
      <c r="U238" s="423"/>
      <c r="V238" s="423"/>
      <c r="W238" s="423"/>
      <c r="X238" s="423"/>
      <c r="Y238" s="423"/>
      <c r="Z238" s="423"/>
      <c r="AA238" s="423"/>
      <c r="AB238" s="423"/>
      <c r="AC238" s="423"/>
      <c r="AD238" s="423"/>
      <c r="AE238" s="564">
        <f t="shared" si="4"/>
        <v>0</v>
      </c>
    </row>
    <row r="239" spans="1:31" outlineLevel="1" x14ac:dyDescent="0.2">
      <c r="A239" s="482"/>
      <c r="B239" s="502" t="s">
        <v>590</v>
      </c>
      <c r="C239" s="502"/>
      <c r="D239" s="483"/>
      <c r="E239" s="484">
        <v>138</v>
      </c>
      <c r="F239" s="436"/>
      <c r="G239" s="436"/>
      <c r="H239" s="436"/>
      <c r="I239" s="436"/>
      <c r="J239" s="436"/>
      <c r="K239" s="436"/>
      <c r="L239" s="436"/>
      <c r="M239" s="436"/>
      <c r="N239" s="436"/>
      <c r="O239" s="436"/>
      <c r="P239" s="436"/>
      <c r="Q239" s="436"/>
      <c r="R239" s="564"/>
      <c r="S239" s="436"/>
      <c r="T239" s="432"/>
      <c r="U239" s="432"/>
      <c r="V239" s="432"/>
      <c r="W239" s="432"/>
      <c r="X239" s="432"/>
      <c r="Y239" s="432"/>
      <c r="Z239" s="432"/>
      <c r="AA239" s="432"/>
      <c r="AB239" s="432"/>
      <c r="AC239" s="432"/>
      <c r="AD239" s="432"/>
      <c r="AE239" s="564">
        <f t="shared" si="4"/>
        <v>0</v>
      </c>
    </row>
    <row r="240" spans="1:31" outlineLevel="1" x14ac:dyDescent="0.2">
      <c r="A240" s="539" t="s">
        <v>591</v>
      </c>
      <c r="B240" s="536" t="s">
        <v>592</v>
      </c>
      <c r="C240" s="536"/>
      <c r="D240" s="542" t="s">
        <v>584</v>
      </c>
      <c r="E240" s="543" t="s">
        <v>585</v>
      </c>
      <c r="F240" s="540"/>
      <c r="G240" s="540"/>
      <c r="H240" s="540"/>
      <c r="I240" s="540"/>
      <c r="J240" s="540"/>
      <c r="K240" s="540"/>
      <c r="L240" s="540"/>
      <c r="M240" s="540"/>
      <c r="N240" s="540"/>
      <c r="O240" s="540"/>
      <c r="P240" s="540"/>
      <c r="Q240" s="540"/>
      <c r="R240" s="568"/>
      <c r="S240" s="540"/>
      <c r="T240" s="541"/>
      <c r="U240" s="541"/>
      <c r="V240" s="541"/>
      <c r="W240" s="541"/>
      <c r="X240" s="541"/>
      <c r="Y240" s="541"/>
      <c r="Z240" s="541"/>
      <c r="AA240" s="541"/>
      <c r="AB240" s="541"/>
      <c r="AC240" s="541"/>
      <c r="AD240" s="541"/>
      <c r="AE240" s="568"/>
    </row>
    <row r="241" spans="1:31" outlineLevel="1" x14ac:dyDescent="0.2">
      <c r="A241" s="485"/>
      <c r="B241" s="423" t="s">
        <v>503</v>
      </c>
      <c r="C241" s="418" t="s">
        <v>504</v>
      </c>
      <c r="D241" s="611" t="s">
        <v>586</v>
      </c>
      <c r="E241" s="477">
        <v>128</v>
      </c>
      <c r="F241" s="616"/>
      <c r="G241" s="616"/>
      <c r="H241" s="616"/>
      <c r="I241" s="616"/>
      <c r="J241" s="616"/>
      <c r="K241" s="616"/>
      <c r="L241" s="616"/>
      <c r="M241" s="616"/>
      <c r="N241" s="616"/>
      <c r="O241" s="616"/>
      <c r="P241" s="616"/>
      <c r="Q241" s="616"/>
      <c r="R241" s="564"/>
      <c r="S241" s="616"/>
      <c r="T241" s="611"/>
      <c r="U241" s="611"/>
      <c r="V241" s="611"/>
      <c r="W241" s="611"/>
      <c r="X241" s="611"/>
      <c r="Y241" s="611"/>
      <c r="Z241" s="611"/>
      <c r="AA241" s="611"/>
      <c r="AB241" s="611"/>
      <c r="AC241" s="611"/>
      <c r="AD241" s="611"/>
      <c r="AE241" s="564">
        <f t="shared" ref="AE241:AE246" si="5">SUM(S241:AD241)</f>
        <v>0</v>
      </c>
    </row>
    <row r="242" spans="1:31" outlineLevel="1" x14ac:dyDescent="0.2">
      <c r="A242" s="485"/>
      <c r="B242" s="478"/>
      <c r="C242" s="427"/>
      <c r="D242" s="423"/>
      <c r="E242" s="477">
        <v>138</v>
      </c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564"/>
      <c r="S242" s="455"/>
      <c r="T242" s="423"/>
      <c r="U242" s="423"/>
      <c r="V242" s="423"/>
      <c r="W242" s="423"/>
      <c r="X242" s="423"/>
      <c r="Y242" s="423"/>
      <c r="Z242" s="423"/>
      <c r="AA242" s="423"/>
      <c r="AB242" s="423"/>
      <c r="AC242" s="423"/>
      <c r="AD242" s="423"/>
      <c r="AE242" s="564">
        <f t="shared" si="5"/>
        <v>0</v>
      </c>
    </row>
    <row r="243" spans="1:31" outlineLevel="1" x14ac:dyDescent="0.2">
      <c r="A243" s="485"/>
      <c r="B243" s="448" t="s">
        <v>550</v>
      </c>
      <c r="C243" s="448" t="s">
        <v>551</v>
      </c>
      <c r="D243" s="423" t="s">
        <v>483</v>
      </c>
      <c r="E243" s="477">
        <v>128</v>
      </c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564"/>
      <c r="S243" s="455"/>
      <c r="T243" s="423"/>
      <c r="U243" s="423"/>
      <c r="V243" s="423"/>
      <c r="W243" s="423"/>
      <c r="X243" s="423"/>
      <c r="Y243" s="423"/>
      <c r="Z243" s="423"/>
      <c r="AA243" s="423"/>
      <c r="AB243" s="423"/>
      <c r="AC243" s="423"/>
      <c r="AD243" s="423"/>
      <c r="AE243" s="564">
        <f t="shared" si="5"/>
        <v>0</v>
      </c>
    </row>
    <row r="244" spans="1:31" outlineLevel="1" x14ac:dyDescent="0.2">
      <c r="A244" s="485"/>
      <c r="B244" s="448"/>
      <c r="C244" s="452"/>
      <c r="D244" s="418"/>
      <c r="E244" s="479">
        <v>138</v>
      </c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564"/>
      <c r="S244" s="455"/>
      <c r="T244" s="423"/>
      <c r="U244" s="423"/>
      <c r="V244" s="423"/>
      <c r="W244" s="423"/>
      <c r="X244" s="423"/>
      <c r="Y244" s="423"/>
      <c r="Z244" s="423"/>
      <c r="AA244" s="423"/>
      <c r="AB244" s="423"/>
      <c r="AC244" s="423"/>
      <c r="AD244" s="423"/>
      <c r="AE244" s="564">
        <f t="shared" si="5"/>
        <v>0</v>
      </c>
    </row>
    <row r="245" spans="1:31" outlineLevel="1" x14ac:dyDescent="0.2">
      <c r="A245" s="485"/>
      <c r="B245" s="448" t="s">
        <v>538</v>
      </c>
      <c r="C245" s="448" t="s">
        <v>539</v>
      </c>
      <c r="D245" s="423" t="s">
        <v>483</v>
      </c>
      <c r="E245" s="479">
        <v>128</v>
      </c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564"/>
      <c r="S245" s="455"/>
      <c r="T245" s="423"/>
      <c r="U245" s="423"/>
      <c r="V245" s="423"/>
      <c r="W245" s="423"/>
      <c r="X245" s="423"/>
      <c r="Y245" s="423"/>
      <c r="Z245" s="423"/>
      <c r="AA245" s="423"/>
      <c r="AB245" s="423"/>
      <c r="AC245" s="423"/>
      <c r="AD245" s="423"/>
      <c r="AE245" s="564">
        <f t="shared" si="5"/>
        <v>0</v>
      </c>
    </row>
    <row r="246" spans="1:31" outlineLevel="1" x14ac:dyDescent="0.2">
      <c r="A246" s="485"/>
      <c r="B246" s="423" t="s">
        <v>587</v>
      </c>
      <c r="C246" s="418"/>
      <c r="D246" s="480" t="s">
        <v>588</v>
      </c>
      <c r="E246" s="479">
        <v>128</v>
      </c>
      <c r="F246" s="436"/>
      <c r="G246" s="436"/>
      <c r="H246" s="436"/>
      <c r="I246" s="436"/>
      <c r="J246" s="436"/>
      <c r="K246" s="436"/>
      <c r="L246" s="436"/>
      <c r="M246" s="436"/>
      <c r="N246" s="436"/>
      <c r="O246" s="436"/>
      <c r="P246" s="436"/>
      <c r="Q246" s="436"/>
      <c r="R246" s="564"/>
      <c r="S246" s="436"/>
      <c r="T246" s="432"/>
      <c r="U246" s="432"/>
      <c r="V246" s="432"/>
      <c r="W246" s="432"/>
      <c r="X246" s="432"/>
      <c r="Y246" s="432"/>
      <c r="Z246" s="432"/>
      <c r="AA246" s="432"/>
      <c r="AB246" s="432"/>
      <c r="AC246" s="432"/>
      <c r="AD246" s="432"/>
      <c r="AE246" s="564">
        <f t="shared" si="5"/>
        <v>0</v>
      </c>
    </row>
    <row r="247" spans="1:31" outlineLevel="1" x14ac:dyDescent="0.2">
      <c r="A247" s="539" t="s">
        <v>593</v>
      </c>
      <c r="B247" s="536" t="s">
        <v>594</v>
      </c>
      <c r="C247" s="536"/>
      <c r="D247" s="542" t="s">
        <v>584</v>
      </c>
      <c r="E247" s="543" t="s">
        <v>585</v>
      </c>
      <c r="F247" s="540"/>
      <c r="G247" s="540"/>
      <c r="H247" s="540"/>
      <c r="I247" s="540"/>
      <c r="J247" s="540"/>
      <c r="K247" s="540"/>
      <c r="L247" s="540"/>
      <c r="M247" s="540"/>
      <c r="N247" s="540"/>
      <c r="O247" s="540"/>
      <c r="P247" s="540"/>
      <c r="Q247" s="540"/>
      <c r="R247" s="568"/>
      <c r="S247" s="540"/>
      <c r="T247" s="541"/>
      <c r="U247" s="541"/>
      <c r="V247" s="541"/>
      <c r="W247" s="541"/>
      <c r="X247" s="541"/>
      <c r="Y247" s="541"/>
      <c r="Z247" s="541"/>
      <c r="AA247" s="541"/>
      <c r="AB247" s="541"/>
      <c r="AC247" s="541"/>
      <c r="AD247" s="541"/>
      <c r="AE247" s="568"/>
    </row>
    <row r="248" spans="1:31" outlineLevel="1" x14ac:dyDescent="0.2">
      <c r="A248" s="476"/>
      <c r="B248" s="600" t="s">
        <v>533</v>
      </c>
      <c r="C248" s="600" t="s">
        <v>534</v>
      </c>
      <c r="D248" s="613" t="s">
        <v>483</v>
      </c>
      <c r="E248" s="477">
        <v>341</v>
      </c>
      <c r="F248" s="616"/>
      <c r="G248" s="616"/>
      <c r="H248" s="616"/>
      <c r="I248" s="616"/>
      <c r="J248" s="616"/>
      <c r="K248" s="616"/>
      <c r="L248" s="616"/>
      <c r="M248" s="616"/>
      <c r="N248" s="616"/>
      <c r="O248" s="616"/>
      <c r="P248" s="616"/>
      <c r="Q248" s="616"/>
      <c r="R248" s="564"/>
      <c r="S248" s="616"/>
      <c r="T248" s="611"/>
      <c r="U248" s="611"/>
      <c r="V248" s="611"/>
      <c r="W248" s="611"/>
      <c r="X248" s="611"/>
      <c r="Y248" s="611"/>
      <c r="Z248" s="611"/>
      <c r="AA248" s="611"/>
      <c r="AB248" s="611"/>
      <c r="AC248" s="611"/>
      <c r="AD248" s="611"/>
      <c r="AE248" s="564">
        <f t="shared" ref="AE248:AE250" si="6">SUM(S248:AD248)</f>
        <v>0</v>
      </c>
    </row>
    <row r="249" spans="1:31" outlineLevel="1" x14ac:dyDescent="0.2">
      <c r="A249" s="476"/>
      <c r="B249" s="448" t="s">
        <v>513</v>
      </c>
      <c r="C249" s="452" t="s">
        <v>514</v>
      </c>
      <c r="D249" s="417" t="s">
        <v>483</v>
      </c>
      <c r="E249" s="477">
        <v>338</v>
      </c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564"/>
      <c r="S249" s="455"/>
      <c r="T249" s="423"/>
      <c r="U249" s="423"/>
      <c r="V249" s="423"/>
      <c r="W249" s="423"/>
      <c r="X249" s="423"/>
      <c r="Y249" s="423"/>
      <c r="Z249" s="423"/>
      <c r="AA249" s="423"/>
      <c r="AB249" s="423"/>
      <c r="AC249" s="423"/>
      <c r="AD249" s="423"/>
      <c r="AE249" s="564">
        <f t="shared" si="6"/>
        <v>0</v>
      </c>
    </row>
    <row r="250" spans="1:31" outlineLevel="1" x14ac:dyDescent="0.2">
      <c r="A250" s="485"/>
      <c r="B250" s="423" t="s">
        <v>587</v>
      </c>
      <c r="C250" s="486"/>
      <c r="D250" s="486"/>
      <c r="E250" s="477">
        <v>341</v>
      </c>
      <c r="F250" s="487"/>
      <c r="G250" s="487"/>
      <c r="H250" s="487"/>
      <c r="I250" s="487"/>
      <c r="J250" s="487"/>
      <c r="K250" s="487"/>
      <c r="L250" s="487"/>
      <c r="M250" s="487"/>
      <c r="N250" s="487"/>
      <c r="O250" s="487"/>
      <c r="P250" s="487"/>
      <c r="Q250" s="487"/>
      <c r="R250" s="572"/>
      <c r="S250" s="487"/>
      <c r="T250" s="432"/>
      <c r="U250" s="432"/>
      <c r="V250" s="432"/>
      <c r="W250" s="432"/>
      <c r="X250" s="432"/>
      <c r="Y250" s="432"/>
      <c r="Z250" s="432"/>
      <c r="AA250" s="432"/>
      <c r="AB250" s="432"/>
      <c r="AC250" s="432"/>
      <c r="AD250" s="432"/>
      <c r="AE250" s="572">
        <f t="shared" si="6"/>
        <v>0</v>
      </c>
    </row>
    <row r="251" spans="1:31" outlineLevel="1" x14ac:dyDescent="0.2">
      <c r="A251" s="539" t="s">
        <v>595</v>
      </c>
      <c r="B251" s="536" t="s">
        <v>596</v>
      </c>
      <c r="C251" s="536"/>
      <c r="D251" s="542" t="s">
        <v>584</v>
      </c>
      <c r="E251" s="543" t="s">
        <v>585</v>
      </c>
      <c r="F251" s="540"/>
      <c r="G251" s="540"/>
      <c r="H251" s="540"/>
      <c r="I251" s="540"/>
      <c r="J251" s="540"/>
      <c r="K251" s="540"/>
      <c r="L251" s="540"/>
      <c r="M251" s="540"/>
      <c r="N251" s="540"/>
      <c r="O251" s="540"/>
      <c r="P251" s="540"/>
      <c r="Q251" s="540"/>
      <c r="R251" s="568"/>
      <c r="S251" s="540"/>
      <c r="T251" s="541"/>
      <c r="U251" s="541"/>
      <c r="V251" s="541"/>
      <c r="W251" s="541"/>
      <c r="X251" s="541"/>
      <c r="Y251" s="541"/>
      <c r="Z251" s="541"/>
      <c r="AA251" s="541"/>
      <c r="AB251" s="541"/>
      <c r="AC251" s="541"/>
      <c r="AD251" s="541"/>
      <c r="AE251" s="568"/>
    </row>
    <row r="252" spans="1:31" outlineLevel="1" x14ac:dyDescent="0.2">
      <c r="A252" s="488"/>
      <c r="B252" s="600" t="s">
        <v>533</v>
      </c>
      <c r="C252" s="600" t="s">
        <v>534</v>
      </c>
      <c r="D252" s="613" t="s">
        <v>483</v>
      </c>
      <c r="E252" s="477">
        <v>341</v>
      </c>
      <c r="F252" s="616"/>
      <c r="G252" s="616"/>
      <c r="H252" s="616"/>
      <c r="I252" s="616"/>
      <c r="J252" s="616"/>
      <c r="K252" s="616"/>
      <c r="L252" s="616"/>
      <c r="M252" s="616"/>
      <c r="N252" s="616"/>
      <c r="O252" s="616"/>
      <c r="P252" s="616"/>
      <c r="Q252" s="616"/>
      <c r="R252" s="564"/>
      <c r="S252" s="616"/>
      <c r="T252" s="611"/>
      <c r="U252" s="611"/>
      <c r="V252" s="611"/>
      <c r="W252" s="611"/>
      <c r="X252" s="611"/>
      <c r="Y252" s="611"/>
      <c r="Z252" s="611"/>
      <c r="AA252" s="611"/>
      <c r="AB252" s="611"/>
      <c r="AC252" s="611"/>
      <c r="AD252" s="611"/>
      <c r="AE252" s="564">
        <f t="shared" ref="AE252:AE254" si="7">SUM(S252:AD252)</f>
        <v>0</v>
      </c>
    </row>
    <row r="253" spans="1:31" outlineLevel="1" x14ac:dyDescent="0.2">
      <c r="A253" s="488"/>
      <c r="B253" s="506" t="s">
        <v>587</v>
      </c>
      <c r="C253" s="489"/>
      <c r="D253" s="489"/>
      <c r="E253" s="490"/>
      <c r="F253" s="491"/>
      <c r="G253" s="491"/>
      <c r="H253" s="491"/>
      <c r="I253" s="491"/>
      <c r="J253" s="491"/>
      <c r="K253" s="491"/>
      <c r="L253" s="491"/>
      <c r="M253" s="491"/>
      <c r="N253" s="491"/>
      <c r="O253" s="491"/>
      <c r="P253" s="491"/>
      <c r="Q253" s="491"/>
      <c r="R253" s="572"/>
      <c r="S253" s="491"/>
      <c r="T253" s="423"/>
      <c r="U253" s="423"/>
      <c r="V253" s="423"/>
      <c r="W253" s="423"/>
      <c r="X253" s="423"/>
      <c r="Y253" s="423"/>
      <c r="Z253" s="423"/>
      <c r="AA253" s="423"/>
      <c r="AB253" s="423"/>
      <c r="AC253" s="423"/>
      <c r="AD253" s="423"/>
      <c r="AE253" s="572">
        <f t="shared" si="7"/>
        <v>0</v>
      </c>
    </row>
    <row r="254" spans="1:31" outlineLevel="1" x14ac:dyDescent="0.2">
      <c r="A254" s="482"/>
      <c r="B254" s="448"/>
      <c r="C254" s="450"/>
      <c r="D254" s="432"/>
      <c r="E254" s="432"/>
      <c r="F254" s="436"/>
      <c r="G254" s="436"/>
      <c r="H254" s="436"/>
      <c r="I254" s="436"/>
      <c r="J254" s="436"/>
      <c r="K254" s="436"/>
      <c r="L254" s="436"/>
      <c r="M254" s="436"/>
      <c r="N254" s="436"/>
      <c r="O254" s="436"/>
      <c r="P254" s="436"/>
      <c r="Q254" s="436"/>
      <c r="R254" s="564"/>
      <c r="S254" s="436"/>
      <c r="T254" s="432"/>
      <c r="U254" s="432"/>
      <c r="V254" s="432"/>
      <c r="W254" s="432"/>
      <c r="X254" s="432"/>
      <c r="Y254" s="432"/>
      <c r="Z254" s="432"/>
      <c r="AA254" s="432"/>
      <c r="AB254" s="432"/>
      <c r="AC254" s="432"/>
      <c r="AD254" s="432"/>
      <c r="AE254" s="564">
        <f t="shared" si="7"/>
        <v>0</v>
      </c>
    </row>
    <row r="255" spans="1:31" outlineLevel="1" x14ac:dyDescent="0.2">
      <c r="A255" s="539" t="s">
        <v>597</v>
      </c>
      <c r="B255" s="536" t="s">
        <v>598</v>
      </c>
      <c r="C255" s="536"/>
      <c r="D255" s="542" t="s">
        <v>584</v>
      </c>
      <c r="E255" s="543" t="s">
        <v>585</v>
      </c>
      <c r="F255" s="540"/>
      <c r="G255" s="540"/>
      <c r="H255" s="540"/>
      <c r="I255" s="540"/>
      <c r="J255" s="540"/>
      <c r="K255" s="540"/>
      <c r="L255" s="540"/>
      <c r="M255" s="540"/>
      <c r="N255" s="540"/>
      <c r="O255" s="540"/>
      <c r="P255" s="540"/>
      <c r="Q255" s="540"/>
      <c r="R255" s="568"/>
      <c r="S255" s="540"/>
      <c r="T255" s="541"/>
      <c r="U255" s="541"/>
      <c r="V255" s="541"/>
      <c r="W255" s="541"/>
      <c r="X255" s="541"/>
      <c r="Y255" s="541"/>
      <c r="Z255" s="541"/>
      <c r="AA255" s="541"/>
      <c r="AB255" s="541"/>
      <c r="AC255" s="541"/>
      <c r="AD255" s="541"/>
      <c r="AE255" s="568"/>
    </row>
    <row r="256" spans="1:31" outlineLevel="1" x14ac:dyDescent="0.2">
      <c r="A256" s="617"/>
      <c r="B256" s="600"/>
      <c r="C256" s="600"/>
      <c r="D256" s="611" t="s">
        <v>599</v>
      </c>
      <c r="E256" s="618">
        <v>515</v>
      </c>
      <c r="F256" s="616"/>
      <c r="G256" s="616"/>
      <c r="H256" s="616"/>
      <c r="I256" s="616"/>
      <c r="J256" s="616"/>
      <c r="K256" s="616"/>
      <c r="L256" s="616"/>
      <c r="M256" s="616"/>
      <c r="N256" s="616"/>
      <c r="O256" s="616"/>
      <c r="P256" s="616"/>
      <c r="Q256" s="616"/>
      <c r="R256" s="564"/>
      <c r="S256" s="616"/>
      <c r="T256" s="611"/>
      <c r="U256" s="611"/>
      <c r="V256" s="611"/>
      <c r="W256" s="611"/>
      <c r="X256" s="611"/>
      <c r="Y256" s="611"/>
      <c r="Z256" s="611"/>
      <c r="AA256" s="611"/>
      <c r="AB256" s="611"/>
      <c r="AC256" s="611"/>
      <c r="AD256" s="611"/>
      <c r="AE256" s="564">
        <f t="shared" ref="AE256:AE264" si="8">SUM(S256:AD256)</f>
        <v>0</v>
      </c>
    </row>
    <row r="257" spans="1:31" outlineLevel="1" x14ac:dyDescent="0.2">
      <c r="A257" s="476"/>
      <c r="B257" s="506"/>
      <c r="C257" s="506"/>
      <c r="D257" s="423"/>
      <c r="E257" s="427">
        <v>138</v>
      </c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564"/>
      <c r="S257" s="455"/>
      <c r="T257" s="423"/>
      <c r="U257" s="423"/>
      <c r="V257" s="423"/>
      <c r="W257" s="423"/>
      <c r="X257" s="423"/>
      <c r="Y257" s="423"/>
      <c r="Z257" s="423"/>
      <c r="AA257" s="423"/>
      <c r="AB257" s="423"/>
      <c r="AC257" s="423"/>
      <c r="AD257" s="423"/>
      <c r="AE257" s="564">
        <f t="shared" si="8"/>
        <v>0</v>
      </c>
    </row>
    <row r="258" spans="1:31" outlineLevel="1" x14ac:dyDescent="0.2">
      <c r="A258" s="476"/>
      <c r="B258" s="506"/>
      <c r="C258" s="506"/>
      <c r="D258" s="423" t="s">
        <v>599</v>
      </c>
      <c r="E258" s="477">
        <v>515</v>
      </c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564"/>
      <c r="S258" s="455"/>
      <c r="T258" s="423"/>
      <c r="U258" s="423"/>
      <c r="V258" s="423"/>
      <c r="W258" s="423"/>
      <c r="X258" s="423"/>
      <c r="Y258" s="423"/>
      <c r="Z258" s="423"/>
      <c r="AA258" s="423"/>
      <c r="AB258" s="423"/>
      <c r="AC258" s="423"/>
      <c r="AD258" s="423"/>
      <c r="AE258" s="564">
        <f t="shared" si="8"/>
        <v>0</v>
      </c>
    </row>
    <row r="259" spans="1:31" outlineLevel="1" x14ac:dyDescent="0.2">
      <c r="A259" s="476"/>
      <c r="B259" s="506"/>
      <c r="C259" s="506"/>
      <c r="D259" s="423"/>
      <c r="E259" s="427">
        <v>138</v>
      </c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564"/>
      <c r="S259" s="455"/>
      <c r="T259" s="423"/>
      <c r="U259" s="423"/>
      <c r="V259" s="423"/>
      <c r="W259" s="423"/>
      <c r="X259" s="423"/>
      <c r="Y259" s="423"/>
      <c r="Z259" s="423"/>
      <c r="AA259" s="423"/>
      <c r="AB259" s="423"/>
      <c r="AC259" s="423"/>
      <c r="AD259" s="423"/>
      <c r="AE259" s="564">
        <f t="shared" si="8"/>
        <v>0</v>
      </c>
    </row>
    <row r="260" spans="1:31" outlineLevel="1" x14ac:dyDescent="0.2">
      <c r="A260" s="476"/>
      <c r="B260" s="529"/>
      <c r="C260" s="473"/>
      <c r="D260" s="423" t="s">
        <v>599</v>
      </c>
      <c r="E260" s="477">
        <v>515</v>
      </c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564"/>
      <c r="S260" s="455"/>
      <c r="T260" s="423"/>
      <c r="U260" s="423"/>
      <c r="V260" s="423"/>
      <c r="W260" s="423"/>
      <c r="X260" s="423"/>
      <c r="Y260" s="423"/>
      <c r="Z260" s="423"/>
      <c r="AA260" s="423"/>
      <c r="AB260" s="423"/>
      <c r="AC260" s="423"/>
      <c r="AD260" s="423"/>
      <c r="AE260" s="564">
        <f t="shared" si="8"/>
        <v>0</v>
      </c>
    </row>
    <row r="261" spans="1:31" outlineLevel="1" x14ac:dyDescent="0.2">
      <c r="A261" s="476"/>
      <c r="B261" s="530"/>
      <c r="C261" s="506"/>
      <c r="D261" s="423"/>
      <c r="E261" s="427">
        <v>138</v>
      </c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564"/>
      <c r="S261" s="455"/>
      <c r="T261" s="423"/>
      <c r="U261" s="423"/>
      <c r="V261" s="423"/>
      <c r="W261" s="423"/>
      <c r="X261" s="423"/>
      <c r="Y261" s="423"/>
      <c r="Z261" s="423"/>
      <c r="AA261" s="423"/>
      <c r="AB261" s="423"/>
      <c r="AC261" s="423"/>
      <c r="AD261" s="423"/>
      <c r="AE261" s="564">
        <f t="shared" si="8"/>
        <v>0</v>
      </c>
    </row>
    <row r="262" spans="1:31" outlineLevel="1" x14ac:dyDescent="0.2">
      <c r="A262" s="476"/>
      <c r="B262" s="529"/>
      <c r="C262" s="473"/>
      <c r="D262" s="423" t="s">
        <v>599</v>
      </c>
      <c r="E262" s="477">
        <v>515</v>
      </c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564"/>
      <c r="S262" s="455"/>
      <c r="T262" s="423"/>
      <c r="U262" s="423"/>
      <c r="V262" s="423"/>
      <c r="W262" s="423"/>
      <c r="X262" s="423"/>
      <c r="Y262" s="423"/>
      <c r="Z262" s="423"/>
      <c r="AA262" s="423"/>
      <c r="AB262" s="423"/>
      <c r="AC262" s="423"/>
      <c r="AD262" s="423"/>
      <c r="AE262" s="564">
        <f t="shared" si="8"/>
        <v>0</v>
      </c>
    </row>
    <row r="263" spans="1:31" outlineLevel="1" x14ac:dyDescent="0.2">
      <c r="A263" s="476"/>
      <c r="B263" s="530"/>
      <c r="C263" s="506"/>
      <c r="D263" s="423"/>
      <c r="E263" s="427">
        <v>138</v>
      </c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564"/>
      <c r="S263" s="455"/>
      <c r="T263" s="423"/>
      <c r="U263" s="423"/>
      <c r="V263" s="423"/>
      <c r="W263" s="423"/>
      <c r="X263" s="423"/>
      <c r="Y263" s="423"/>
      <c r="Z263" s="423"/>
      <c r="AA263" s="423"/>
      <c r="AB263" s="423"/>
      <c r="AC263" s="423"/>
      <c r="AD263" s="423"/>
      <c r="AE263" s="564">
        <f t="shared" si="8"/>
        <v>0</v>
      </c>
    </row>
    <row r="264" spans="1:31" outlineLevel="1" x14ac:dyDescent="0.2">
      <c r="A264" s="482"/>
      <c r="B264" s="502"/>
      <c r="C264" s="502"/>
      <c r="D264" s="432"/>
      <c r="E264" s="431"/>
      <c r="F264" s="436"/>
      <c r="G264" s="436"/>
      <c r="H264" s="436"/>
      <c r="I264" s="436"/>
      <c r="J264" s="436"/>
      <c r="K264" s="436"/>
      <c r="L264" s="436"/>
      <c r="M264" s="436"/>
      <c r="N264" s="436"/>
      <c r="O264" s="436"/>
      <c r="P264" s="436"/>
      <c r="Q264" s="436"/>
      <c r="R264" s="564"/>
      <c r="S264" s="436"/>
      <c r="T264" s="432"/>
      <c r="U264" s="432"/>
      <c r="V264" s="432"/>
      <c r="W264" s="432"/>
      <c r="X264" s="432"/>
      <c r="Y264" s="432"/>
      <c r="Z264" s="432"/>
      <c r="AA264" s="432"/>
      <c r="AB264" s="432"/>
      <c r="AC264" s="432"/>
      <c r="AD264" s="432"/>
      <c r="AE264" s="564">
        <f t="shared" si="8"/>
        <v>0</v>
      </c>
    </row>
    <row r="265" spans="1:31" outlineLevel="1" x14ac:dyDescent="0.2">
      <c r="A265" s="539" t="s">
        <v>600</v>
      </c>
      <c r="B265" s="536" t="s">
        <v>601</v>
      </c>
      <c r="C265" s="536"/>
      <c r="D265" s="542" t="s">
        <v>584</v>
      </c>
      <c r="E265" s="543" t="s">
        <v>585</v>
      </c>
      <c r="F265" s="540"/>
      <c r="G265" s="540"/>
      <c r="H265" s="540"/>
      <c r="I265" s="540"/>
      <c r="J265" s="540"/>
      <c r="K265" s="540"/>
      <c r="L265" s="540"/>
      <c r="M265" s="540"/>
      <c r="N265" s="540"/>
      <c r="O265" s="540"/>
      <c r="P265" s="540"/>
      <c r="Q265" s="540"/>
      <c r="R265" s="568"/>
      <c r="S265" s="540"/>
      <c r="T265" s="541"/>
      <c r="U265" s="541"/>
      <c r="V265" s="541"/>
      <c r="W265" s="541"/>
      <c r="X265" s="541"/>
      <c r="Y265" s="541"/>
      <c r="Z265" s="541"/>
      <c r="AA265" s="541"/>
      <c r="AB265" s="541"/>
      <c r="AC265" s="541"/>
      <c r="AD265" s="541"/>
      <c r="AE265" s="568"/>
    </row>
    <row r="266" spans="1:31" outlineLevel="1" x14ac:dyDescent="0.2">
      <c r="A266" s="485"/>
      <c r="B266" s="506" t="s">
        <v>503</v>
      </c>
      <c r="C266" s="417" t="s">
        <v>504</v>
      </c>
      <c r="D266" s="611"/>
      <c r="E266" s="477" t="s">
        <v>602</v>
      </c>
      <c r="F266" s="616"/>
      <c r="G266" s="616"/>
      <c r="H266" s="616"/>
      <c r="I266" s="616"/>
      <c r="J266" s="616"/>
      <c r="K266" s="616"/>
      <c r="L266" s="616"/>
      <c r="M266" s="616"/>
      <c r="N266" s="616"/>
      <c r="O266" s="616"/>
      <c r="P266" s="616"/>
      <c r="Q266" s="616"/>
      <c r="R266" s="564"/>
      <c r="S266" s="616"/>
      <c r="T266" s="611"/>
      <c r="U266" s="611"/>
      <c r="V266" s="611"/>
      <c r="W266" s="611"/>
      <c r="X266" s="611"/>
      <c r="Y266" s="611"/>
      <c r="Z266" s="611"/>
      <c r="AA266" s="611"/>
      <c r="AB266" s="611"/>
      <c r="AC266" s="611"/>
      <c r="AD266" s="611"/>
      <c r="AE266" s="564">
        <f t="shared" ref="AE266:AE270" si="9">SUM(S266:AD266)</f>
        <v>0</v>
      </c>
    </row>
    <row r="267" spans="1:31" outlineLevel="1" x14ac:dyDescent="0.2">
      <c r="A267" s="485"/>
      <c r="B267" s="506"/>
      <c r="C267" s="417"/>
      <c r="D267" s="418"/>
      <c r="E267" s="477" t="s">
        <v>603</v>
      </c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564"/>
      <c r="S267" s="455"/>
      <c r="T267" s="423"/>
      <c r="U267" s="423"/>
      <c r="V267" s="423"/>
      <c r="W267" s="423"/>
      <c r="X267" s="423"/>
      <c r="Y267" s="423"/>
      <c r="Z267" s="423"/>
      <c r="AA267" s="423"/>
      <c r="AB267" s="423"/>
      <c r="AC267" s="423"/>
      <c r="AD267" s="423"/>
      <c r="AE267" s="564">
        <f t="shared" si="9"/>
        <v>0</v>
      </c>
    </row>
    <row r="268" spans="1:31" outlineLevel="1" x14ac:dyDescent="0.2">
      <c r="A268" s="485"/>
      <c r="B268" s="506" t="s">
        <v>587</v>
      </c>
      <c r="C268" s="417"/>
      <c r="D268" s="480"/>
      <c r="E268" s="477" t="s">
        <v>603</v>
      </c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564"/>
      <c r="S268" s="455"/>
      <c r="T268" s="423"/>
      <c r="U268" s="423"/>
      <c r="V268" s="423"/>
      <c r="W268" s="423"/>
      <c r="X268" s="423"/>
      <c r="Y268" s="423"/>
      <c r="Z268" s="423"/>
      <c r="AA268" s="423"/>
      <c r="AB268" s="423"/>
      <c r="AC268" s="423"/>
      <c r="AD268" s="423"/>
      <c r="AE268" s="564">
        <f t="shared" si="9"/>
        <v>0</v>
      </c>
    </row>
    <row r="269" spans="1:31" outlineLevel="1" x14ac:dyDescent="0.2">
      <c r="A269" s="485"/>
      <c r="B269" s="448" t="s">
        <v>604</v>
      </c>
      <c r="C269" s="452"/>
      <c r="D269" s="480"/>
      <c r="E269" s="477" t="s">
        <v>603</v>
      </c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564"/>
      <c r="S269" s="455"/>
      <c r="T269" s="423"/>
      <c r="U269" s="423"/>
      <c r="V269" s="423"/>
      <c r="W269" s="423"/>
      <c r="X269" s="423"/>
      <c r="Y269" s="423"/>
      <c r="Z269" s="423"/>
      <c r="AA269" s="423"/>
      <c r="AB269" s="423"/>
      <c r="AC269" s="423"/>
      <c r="AD269" s="423"/>
      <c r="AE269" s="564">
        <f t="shared" si="9"/>
        <v>0</v>
      </c>
    </row>
    <row r="270" spans="1:31" outlineLevel="1" x14ac:dyDescent="0.2">
      <c r="A270" s="485"/>
      <c r="B270" s="448" t="s">
        <v>605</v>
      </c>
      <c r="C270" s="452"/>
      <c r="D270" s="480"/>
      <c r="E270" s="477" t="s">
        <v>603</v>
      </c>
      <c r="F270" s="436"/>
      <c r="G270" s="436"/>
      <c r="H270" s="436"/>
      <c r="I270" s="436"/>
      <c r="J270" s="436"/>
      <c r="K270" s="436"/>
      <c r="L270" s="436"/>
      <c r="M270" s="436"/>
      <c r="N270" s="436"/>
      <c r="O270" s="436"/>
      <c r="P270" s="436"/>
      <c r="Q270" s="436"/>
      <c r="R270" s="564"/>
      <c r="S270" s="436"/>
      <c r="T270" s="432"/>
      <c r="U270" s="432"/>
      <c r="V270" s="432"/>
      <c r="W270" s="432"/>
      <c r="X270" s="432"/>
      <c r="Y270" s="432"/>
      <c r="Z270" s="432"/>
      <c r="AA270" s="432"/>
      <c r="AB270" s="432"/>
      <c r="AC270" s="432"/>
      <c r="AD270" s="432"/>
      <c r="AE270" s="564">
        <f t="shared" si="9"/>
        <v>0</v>
      </c>
    </row>
    <row r="271" spans="1:31" outlineLevel="1" x14ac:dyDescent="0.2">
      <c r="A271" s="539" t="s">
        <v>606</v>
      </c>
      <c r="B271" s="536" t="s">
        <v>607</v>
      </c>
      <c r="C271" s="536"/>
      <c r="D271" s="542" t="s">
        <v>584</v>
      </c>
      <c r="E271" s="543" t="s">
        <v>585</v>
      </c>
      <c r="F271" s="540"/>
      <c r="G271" s="540"/>
      <c r="H271" s="540"/>
      <c r="I271" s="540"/>
      <c r="J271" s="540"/>
      <c r="K271" s="540"/>
      <c r="L271" s="540"/>
      <c r="M271" s="540"/>
      <c r="N271" s="540"/>
      <c r="O271" s="540"/>
      <c r="P271" s="540"/>
      <c r="Q271" s="540"/>
      <c r="R271" s="568"/>
      <c r="S271" s="540"/>
      <c r="T271" s="541"/>
      <c r="U271" s="541"/>
      <c r="V271" s="541"/>
      <c r="W271" s="541"/>
      <c r="X271" s="541"/>
      <c r="Y271" s="541"/>
      <c r="Z271" s="541"/>
      <c r="AA271" s="541"/>
      <c r="AB271" s="541"/>
      <c r="AC271" s="541"/>
      <c r="AD271" s="541"/>
      <c r="AE271" s="568"/>
    </row>
    <row r="272" spans="1:31" outlineLevel="1" x14ac:dyDescent="0.2">
      <c r="A272" s="485"/>
      <c r="B272" s="506" t="s">
        <v>503</v>
      </c>
      <c r="C272" s="417" t="s">
        <v>504</v>
      </c>
      <c r="D272" s="611"/>
      <c r="E272" s="477" t="s">
        <v>608</v>
      </c>
      <c r="F272" s="616"/>
      <c r="G272" s="616"/>
      <c r="H272" s="616"/>
      <c r="I272" s="616"/>
      <c r="J272" s="616"/>
      <c r="K272" s="616"/>
      <c r="L272" s="616"/>
      <c r="M272" s="616"/>
      <c r="N272" s="616"/>
      <c r="O272" s="616"/>
      <c r="P272" s="616"/>
      <c r="Q272" s="616"/>
      <c r="R272" s="564"/>
      <c r="S272" s="616"/>
      <c r="T272" s="611"/>
      <c r="U272" s="611"/>
      <c r="V272" s="611"/>
      <c r="W272" s="611"/>
      <c r="X272" s="611"/>
      <c r="Y272" s="611"/>
      <c r="Z272" s="611"/>
      <c r="AA272" s="611"/>
      <c r="AB272" s="611"/>
      <c r="AC272" s="611"/>
      <c r="AD272" s="611"/>
      <c r="AE272" s="564">
        <f t="shared" ref="AE272:AE279" si="10">SUM(S272:AD272)</f>
        <v>0</v>
      </c>
    </row>
    <row r="273" spans="1:31" outlineLevel="1" x14ac:dyDescent="0.2">
      <c r="A273" s="485"/>
      <c r="B273" s="506"/>
      <c r="C273" s="417"/>
      <c r="D273" s="418"/>
      <c r="E273" s="477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564"/>
      <c r="S273" s="455"/>
      <c r="T273" s="423"/>
      <c r="U273" s="423"/>
      <c r="V273" s="423"/>
      <c r="W273" s="423"/>
      <c r="X273" s="423"/>
      <c r="Y273" s="423"/>
      <c r="Z273" s="423"/>
      <c r="AA273" s="423"/>
      <c r="AB273" s="423"/>
      <c r="AC273" s="423"/>
      <c r="AD273" s="423"/>
      <c r="AE273" s="564">
        <f t="shared" si="10"/>
        <v>0</v>
      </c>
    </row>
    <row r="274" spans="1:31" outlineLevel="1" x14ac:dyDescent="0.2">
      <c r="A274" s="485"/>
      <c r="B274" s="506" t="s">
        <v>587</v>
      </c>
      <c r="C274" s="417"/>
      <c r="D274" s="480"/>
      <c r="E274" s="477" t="s">
        <v>608</v>
      </c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564"/>
      <c r="S274" s="455"/>
      <c r="T274" s="423"/>
      <c r="U274" s="423"/>
      <c r="V274" s="423"/>
      <c r="W274" s="423"/>
      <c r="X274" s="423"/>
      <c r="Y274" s="423"/>
      <c r="Z274" s="423"/>
      <c r="AA274" s="423"/>
      <c r="AB274" s="423"/>
      <c r="AC274" s="423"/>
      <c r="AD274" s="423"/>
      <c r="AE274" s="564">
        <f t="shared" si="10"/>
        <v>0</v>
      </c>
    </row>
    <row r="275" spans="1:31" outlineLevel="1" x14ac:dyDescent="0.2">
      <c r="A275" s="485"/>
      <c r="B275" s="506"/>
      <c r="C275" s="417"/>
      <c r="D275" s="480"/>
      <c r="E275" s="477" t="s">
        <v>609</v>
      </c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564"/>
      <c r="S275" s="455"/>
      <c r="T275" s="423"/>
      <c r="U275" s="423"/>
      <c r="V275" s="423"/>
      <c r="W275" s="423"/>
      <c r="X275" s="423"/>
      <c r="Y275" s="423"/>
      <c r="Z275" s="423"/>
      <c r="AA275" s="423"/>
      <c r="AB275" s="423"/>
      <c r="AC275" s="423"/>
      <c r="AD275" s="423"/>
      <c r="AE275" s="564">
        <f t="shared" si="10"/>
        <v>0</v>
      </c>
    </row>
    <row r="276" spans="1:31" outlineLevel="1" x14ac:dyDescent="0.2">
      <c r="A276" s="485"/>
      <c r="B276" s="448" t="s">
        <v>604</v>
      </c>
      <c r="C276" s="452"/>
      <c r="D276" s="480"/>
      <c r="E276" s="477" t="s">
        <v>608</v>
      </c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564"/>
      <c r="S276" s="455"/>
      <c r="T276" s="423"/>
      <c r="U276" s="423"/>
      <c r="V276" s="423"/>
      <c r="W276" s="423"/>
      <c r="X276" s="423"/>
      <c r="Y276" s="423"/>
      <c r="Z276" s="423"/>
      <c r="AA276" s="423"/>
      <c r="AB276" s="423"/>
      <c r="AC276" s="423"/>
      <c r="AD276" s="423"/>
      <c r="AE276" s="564">
        <f t="shared" si="10"/>
        <v>0</v>
      </c>
    </row>
    <row r="277" spans="1:31" outlineLevel="1" x14ac:dyDescent="0.2">
      <c r="B277" s="448"/>
      <c r="C277" s="452"/>
      <c r="D277" s="480"/>
      <c r="E277" s="477" t="s">
        <v>609</v>
      </c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564"/>
      <c r="S277" s="455"/>
      <c r="T277" s="423"/>
      <c r="U277" s="423"/>
      <c r="V277" s="423"/>
      <c r="W277" s="423"/>
      <c r="X277" s="423"/>
      <c r="Y277" s="423"/>
      <c r="Z277" s="423"/>
      <c r="AA277" s="423"/>
      <c r="AB277" s="423"/>
      <c r="AC277" s="423"/>
      <c r="AD277" s="423"/>
      <c r="AE277" s="564">
        <f t="shared" si="10"/>
        <v>0</v>
      </c>
    </row>
    <row r="278" spans="1:31" outlineLevel="1" x14ac:dyDescent="0.2">
      <c r="A278" s="485"/>
      <c r="B278" s="448" t="s">
        <v>605</v>
      </c>
      <c r="C278" s="452"/>
      <c r="D278" s="480" t="s">
        <v>610</v>
      </c>
      <c r="E278" s="477" t="s">
        <v>608</v>
      </c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564"/>
      <c r="S278" s="455"/>
      <c r="T278" s="423"/>
      <c r="U278" s="423"/>
      <c r="V278" s="423"/>
      <c r="W278" s="423"/>
      <c r="X278" s="423"/>
      <c r="Y278" s="423"/>
      <c r="Z278" s="423"/>
      <c r="AA278" s="423"/>
      <c r="AB278" s="423"/>
      <c r="AC278" s="423"/>
      <c r="AD278" s="423"/>
      <c r="AE278" s="564">
        <f t="shared" si="10"/>
        <v>0</v>
      </c>
    </row>
    <row r="279" spans="1:31" outlineLevel="1" x14ac:dyDescent="0.2">
      <c r="A279" s="492"/>
      <c r="B279" s="463"/>
      <c r="C279" s="525"/>
      <c r="D279" s="493"/>
      <c r="E279" s="484" t="s">
        <v>609</v>
      </c>
      <c r="F279" s="436"/>
      <c r="G279" s="436"/>
      <c r="H279" s="436"/>
      <c r="I279" s="436"/>
      <c r="J279" s="436"/>
      <c r="K279" s="436"/>
      <c r="L279" s="436"/>
      <c r="M279" s="436"/>
      <c r="N279" s="436"/>
      <c r="O279" s="436"/>
      <c r="P279" s="436"/>
      <c r="Q279" s="436"/>
      <c r="R279" s="565"/>
      <c r="S279" s="436"/>
      <c r="T279" s="432"/>
      <c r="U279" s="432"/>
      <c r="V279" s="432"/>
      <c r="W279" s="432"/>
      <c r="X279" s="432"/>
      <c r="Y279" s="432"/>
      <c r="Z279" s="432"/>
      <c r="AA279" s="432"/>
      <c r="AB279" s="432"/>
      <c r="AC279" s="432"/>
      <c r="AD279" s="432"/>
      <c r="AE279" s="565">
        <f t="shared" si="10"/>
        <v>0</v>
      </c>
    </row>
    <row r="280" spans="1:31" x14ac:dyDescent="0.2">
      <c r="B280" s="461"/>
      <c r="C280" s="461"/>
      <c r="D280" s="494"/>
      <c r="E280" s="495"/>
    </row>
    <row r="282" spans="1:31" x14ac:dyDescent="0.2">
      <c r="A282" s="408" t="s">
        <v>611</v>
      </c>
      <c r="B282" s="409" t="s">
        <v>612</v>
      </c>
      <c r="C282" s="409"/>
      <c r="D282" s="410"/>
    </row>
    <row r="283" spans="1:31" x14ac:dyDescent="0.2">
      <c r="F283" s="411" t="s">
        <v>613</v>
      </c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S283" s="411" t="s">
        <v>613</v>
      </c>
      <c r="T283" s="412"/>
      <c r="U283" s="412"/>
      <c r="V283" s="412"/>
      <c r="W283" s="412"/>
      <c r="X283" s="412"/>
      <c r="Y283" s="412"/>
      <c r="Z283" s="412"/>
      <c r="AA283" s="412"/>
      <c r="AB283" s="412"/>
      <c r="AC283" s="412"/>
      <c r="AD283" s="412"/>
    </row>
    <row r="284" spans="1:31" x14ac:dyDescent="0.2">
      <c r="A284" s="619" t="s">
        <v>501</v>
      </c>
      <c r="B284" s="620" t="s">
        <v>614</v>
      </c>
      <c r="C284" s="620"/>
      <c r="D284" s="621" t="s">
        <v>585</v>
      </c>
      <c r="E284" s="611"/>
      <c r="F284" s="544" t="s">
        <v>615</v>
      </c>
      <c r="G284" s="544" t="s">
        <v>488</v>
      </c>
      <c r="H284" s="544" t="s">
        <v>489</v>
      </c>
      <c r="I284" s="544" t="s">
        <v>490</v>
      </c>
      <c r="J284" s="544" t="s">
        <v>491</v>
      </c>
      <c r="K284" s="544" t="s">
        <v>492</v>
      </c>
      <c r="L284" s="544" t="s">
        <v>493</v>
      </c>
      <c r="M284" s="544" t="s">
        <v>494</v>
      </c>
      <c r="N284" s="544" t="s">
        <v>495</v>
      </c>
      <c r="O284" s="544" t="s">
        <v>496</v>
      </c>
      <c r="P284" s="544" t="s">
        <v>497</v>
      </c>
      <c r="Q284" s="544" t="s">
        <v>498</v>
      </c>
      <c r="S284" s="544" t="s">
        <v>616</v>
      </c>
      <c r="T284" s="544" t="s">
        <v>488</v>
      </c>
      <c r="U284" s="544" t="s">
        <v>489</v>
      </c>
      <c r="V284" s="544" t="s">
        <v>490</v>
      </c>
      <c r="W284" s="544" t="s">
        <v>491</v>
      </c>
      <c r="X284" s="544" t="s">
        <v>492</v>
      </c>
      <c r="Y284" s="544" t="s">
        <v>493</v>
      </c>
      <c r="Z284" s="544" t="s">
        <v>494</v>
      </c>
      <c r="AA284" s="544" t="s">
        <v>495</v>
      </c>
      <c r="AB284" s="544" t="s">
        <v>496</v>
      </c>
      <c r="AC284" s="544" t="s">
        <v>497</v>
      </c>
      <c r="AD284" s="544" t="s">
        <v>498</v>
      </c>
    </row>
    <row r="285" spans="1:31" outlineLevel="1" x14ac:dyDescent="0.2">
      <c r="A285" s="622">
        <v>1</v>
      </c>
      <c r="B285" s="613" t="s">
        <v>503</v>
      </c>
      <c r="C285" s="613" t="s">
        <v>504</v>
      </c>
      <c r="D285" s="612">
        <v>131</v>
      </c>
      <c r="E285" s="611"/>
      <c r="F285" s="623"/>
      <c r="G285" s="623"/>
      <c r="H285" s="623"/>
      <c r="I285" s="623"/>
      <c r="J285" s="623"/>
      <c r="K285" s="623"/>
      <c r="L285" s="623"/>
      <c r="M285" s="623"/>
      <c r="N285" s="623"/>
      <c r="O285" s="623"/>
      <c r="P285" s="623"/>
      <c r="Q285" s="605"/>
      <c r="S285" s="623"/>
      <c r="T285" s="623"/>
      <c r="U285" s="623"/>
      <c r="V285" s="623"/>
      <c r="W285" s="623"/>
      <c r="X285" s="623"/>
      <c r="Y285" s="623"/>
      <c r="Z285" s="623"/>
      <c r="AA285" s="623"/>
      <c r="AB285" s="623"/>
      <c r="AC285" s="623"/>
      <c r="AD285" s="605"/>
    </row>
    <row r="286" spans="1:31" outlineLevel="1" x14ac:dyDescent="0.2">
      <c r="A286" s="496"/>
      <c r="B286" s="497"/>
      <c r="C286" s="497"/>
      <c r="D286" s="498">
        <v>138</v>
      </c>
      <c r="E286" s="470"/>
      <c r="F286" s="499"/>
      <c r="G286" s="499"/>
      <c r="H286" s="499"/>
      <c r="I286" s="499"/>
      <c r="J286" s="499"/>
      <c r="K286" s="499"/>
      <c r="L286" s="499"/>
      <c r="M286" s="499"/>
      <c r="N286" s="499"/>
      <c r="O286" s="499"/>
      <c r="P286" s="499"/>
      <c r="Q286" s="500"/>
      <c r="S286" s="499"/>
      <c r="T286" s="499"/>
      <c r="U286" s="499"/>
      <c r="V286" s="499"/>
      <c r="W286" s="499"/>
      <c r="X286" s="499"/>
      <c r="Y286" s="499"/>
      <c r="Z286" s="499"/>
      <c r="AA286" s="499"/>
      <c r="AB286" s="499"/>
      <c r="AC286" s="499"/>
      <c r="AD286" s="500"/>
    </row>
    <row r="287" spans="1:31" s="585" customFormat="1" x14ac:dyDescent="0.2">
      <c r="A287" s="624">
        <v>2</v>
      </c>
      <c r="B287" s="625" t="s">
        <v>513</v>
      </c>
      <c r="C287" s="625" t="s">
        <v>514</v>
      </c>
      <c r="D287" s="626">
        <v>131</v>
      </c>
      <c r="E287" s="627"/>
      <c r="F287" s="628">
        <v>1818060000</v>
      </c>
      <c r="G287" s="628">
        <v>4391185668</v>
      </c>
      <c r="H287" s="628">
        <v>3139383126</v>
      </c>
      <c r="I287" s="628">
        <v>1736475485</v>
      </c>
      <c r="J287" s="628">
        <v>3520424677</v>
      </c>
      <c r="K287" s="628">
        <v>2830034433</v>
      </c>
      <c r="L287" s="628">
        <v>1039909703</v>
      </c>
      <c r="M287" s="628">
        <v>2499850304</v>
      </c>
      <c r="N287" s="628">
        <v>1927694021</v>
      </c>
      <c r="O287" s="628">
        <v>2785647821</v>
      </c>
      <c r="P287" s="628">
        <v>3190212778</v>
      </c>
      <c r="Q287" s="629">
        <v>492988680</v>
      </c>
      <c r="R287" s="586"/>
      <c r="S287" s="628">
        <v>1497872250</v>
      </c>
      <c r="T287" s="628">
        <v>1361117282</v>
      </c>
      <c r="U287" s="628">
        <v>1212091020</v>
      </c>
      <c r="V287" s="628">
        <f>2409977394-1000000000</f>
        <v>1409977394</v>
      </c>
      <c r="W287" s="644">
        <v>2761970702</v>
      </c>
      <c r="X287" s="628"/>
      <c r="Y287" s="628"/>
      <c r="Z287" s="628"/>
      <c r="AA287" s="628"/>
      <c r="AB287" s="628"/>
      <c r="AC287" s="628"/>
      <c r="AD287" s="629"/>
      <c r="AE287" s="586"/>
    </row>
    <row r="288" spans="1:31" outlineLevel="1" x14ac:dyDescent="0.2">
      <c r="A288" s="496"/>
      <c r="B288" s="497"/>
      <c r="C288" s="497"/>
      <c r="D288" s="498">
        <v>138</v>
      </c>
      <c r="E288" s="470"/>
      <c r="F288" s="499"/>
      <c r="G288" s="499"/>
      <c r="H288" s="499"/>
      <c r="I288" s="499"/>
      <c r="J288" s="499"/>
      <c r="K288" s="499"/>
      <c r="L288" s="499"/>
      <c r="M288" s="499"/>
      <c r="N288" s="499"/>
      <c r="O288" s="499"/>
      <c r="P288" s="499"/>
      <c r="Q288" s="500"/>
      <c r="S288" s="499"/>
      <c r="T288" s="499"/>
      <c r="U288" s="499"/>
      <c r="V288" s="499"/>
      <c r="W288" s="499"/>
      <c r="X288" s="499"/>
      <c r="Y288" s="499"/>
      <c r="Z288" s="499"/>
      <c r="AA288" s="499"/>
      <c r="AB288" s="499"/>
      <c r="AC288" s="499"/>
      <c r="AD288" s="500"/>
    </row>
    <row r="289" spans="1:30" s="405" customFormat="1" outlineLevel="1" x14ac:dyDescent="0.2">
      <c r="A289" s="622">
        <v>3</v>
      </c>
      <c r="B289" s="613" t="s">
        <v>519</v>
      </c>
      <c r="C289" s="613" t="s">
        <v>520</v>
      </c>
      <c r="D289" s="612">
        <v>131</v>
      </c>
      <c r="E289" s="611"/>
      <c r="F289" s="623"/>
      <c r="G289" s="623"/>
      <c r="H289" s="623"/>
      <c r="I289" s="623"/>
      <c r="J289" s="623"/>
      <c r="K289" s="623"/>
      <c r="L289" s="623"/>
      <c r="M289" s="623"/>
      <c r="N289" s="623"/>
      <c r="O289" s="623"/>
      <c r="P289" s="623"/>
      <c r="Q289" s="605"/>
      <c r="S289" s="623"/>
      <c r="T289" s="623"/>
      <c r="U289" s="623"/>
      <c r="V289" s="623"/>
      <c r="W289" s="623"/>
      <c r="X289" s="623"/>
      <c r="Y289" s="623"/>
      <c r="Z289" s="623"/>
      <c r="AA289" s="623"/>
      <c r="AB289" s="623"/>
      <c r="AC289" s="623"/>
      <c r="AD289" s="605"/>
    </row>
    <row r="290" spans="1:30" s="405" customFormat="1" outlineLevel="1" x14ac:dyDescent="0.2">
      <c r="A290" s="496"/>
      <c r="B290" s="497"/>
      <c r="C290" s="497"/>
      <c r="D290" s="498">
        <v>138</v>
      </c>
      <c r="E290" s="470"/>
      <c r="F290" s="499"/>
      <c r="G290" s="499"/>
      <c r="H290" s="499"/>
      <c r="I290" s="499"/>
      <c r="J290" s="499"/>
      <c r="K290" s="499"/>
      <c r="L290" s="499"/>
      <c r="M290" s="499"/>
      <c r="N290" s="499"/>
      <c r="O290" s="499"/>
      <c r="P290" s="499"/>
      <c r="Q290" s="500"/>
      <c r="S290" s="499"/>
      <c r="T290" s="499"/>
      <c r="U290" s="499"/>
      <c r="V290" s="499"/>
      <c r="W290" s="499"/>
      <c r="X290" s="499"/>
      <c r="Y290" s="499"/>
      <c r="Z290" s="499"/>
      <c r="AA290" s="499"/>
      <c r="AB290" s="499"/>
      <c r="AC290" s="499"/>
      <c r="AD290" s="500"/>
    </row>
    <row r="291" spans="1:30" s="405" customFormat="1" outlineLevel="1" x14ac:dyDescent="0.2">
      <c r="A291" s="622">
        <v>4</v>
      </c>
      <c r="B291" s="613" t="s">
        <v>522</v>
      </c>
      <c r="C291" s="613" t="s">
        <v>523</v>
      </c>
      <c r="D291" s="612">
        <v>131</v>
      </c>
      <c r="E291" s="611"/>
      <c r="F291" s="623"/>
      <c r="G291" s="623"/>
      <c r="H291" s="623"/>
      <c r="I291" s="623"/>
      <c r="J291" s="623"/>
      <c r="K291" s="623"/>
      <c r="L291" s="623"/>
      <c r="M291" s="623"/>
      <c r="N291" s="623"/>
      <c r="O291" s="623"/>
      <c r="P291" s="623"/>
      <c r="Q291" s="605"/>
      <c r="S291" s="623"/>
      <c r="T291" s="623"/>
      <c r="U291" s="623"/>
      <c r="V291" s="623"/>
      <c r="W291" s="623"/>
      <c r="X291" s="623"/>
      <c r="Y291" s="623"/>
      <c r="Z291" s="623"/>
      <c r="AA291" s="623"/>
      <c r="AB291" s="623"/>
      <c r="AC291" s="623"/>
      <c r="AD291" s="605"/>
    </row>
    <row r="292" spans="1:30" s="405" customFormat="1" outlineLevel="1" x14ac:dyDescent="0.2">
      <c r="A292" s="496"/>
      <c r="B292" s="497"/>
      <c r="C292" s="497"/>
      <c r="D292" s="498">
        <v>138</v>
      </c>
      <c r="E292" s="470"/>
      <c r="F292" s="499"/>
      <c r="G292" s="499"/>
      <c r="H292" s="499"/>
      <c r="I292" s="499"/>
      <c r="J292" s="499"/>
      <c r="K292" s="499"/>
      <c r="L292" s="499"/>
      <c r="M292" s="499"/>
      <c r="N292" s="499"/>
      <c r="O292" s="499"/>
      <c r="P292" s="499"/>
      <c r="Q292" s="500"/>
      <c r="S292" s="499"/>
      <c r="T292" s="499"/>
      <c r="U292" s="499"/>
      <c r="V292" s="499"/>
      <c r="W292" s="499"/>
      <c r="X292" s="499"/>
      <c r="Y292" s="499"/>
      <c r="Z292" s="499"/>
      <c r="AA292" s="499"/>
      <c r="AB292" s="499"/>
      <c r="AC292" s="499"/>
      <c r="AD292" s="500"/>
    </row>
    <row r="293" spans="1:30" s="405" customFormat="1" outlineLevel="1" x14ac:dyDescent="0.2">
      <c r="A293" s="622">
        <v>5</v>
      </c>
      <c r="B293" s="613" t="s">
        <v>524</v>
      </c>
      <c r="C293" s="613" t="s">
        <v>525</v>
      </c>
      <c r="D293" s="612">
        <v>131</v>
      </c>
      <c r="E293" s="611"/>
      <c r="F293" s="623"/>
      <c r="G293" s="623"/>
      <c r="H293" s="623"/>
      <c r="I293" s="623"/>
      <c r="J293" s="623"/>
      <c r="K293" s="623"/>
      <c r="L293" s="623"/>
      <c r="M293" s="623"/>
      <c r="N293" s="623"/>
      <c r="O293" s="623"/>
      <c r="P293" s="623"/>
      <c r="Q293" s="605"/>
      <c r="S293" s="623"/>
      <c r="T293" s="623"/>
      <c r="U293" s="623"/>
      <c r="V293" s="623"/>
      <c r="W293" s="623"/>
      <c r="X293" s="623"/>
      <c r="Y293" s="623"/>
      <c r="Z293" s="623"/>
      <c r="AA293" s="623"/>
      <c r="AB293" s="623"/>
      <c r="AC293" s="623"/>
      <c r="AD293" s="605"/>
    </row>
    <row r="294" spans="1:30" s="405" customFormat="1" outlineLevel="1" x14ac:dyDescent="0.2">
      <c r="A294" s="496"/>
      <c r="B294" s="497"/>
      <c r="C294" s="497"/>
      <c r="D294" s="498">
        <v>138</v>
      </c>
      <c r="E294" s="470"/>
      <c r="F294" s="499"/>
      <c r="G294" s="499"/>
      <c r="H294" s="499"/>
      <c r="I294" s="499"/>
      <c r="J294" s="499"/>
      <c r="K294" s="499"/>
      <c r="L294" s="499"/>
      <c r="M294" s="499"/>
      <c r="N294" s="499"/>
      <c r="O294" s="499"/>
      <c r="P294" s="499"/>
      <c r="Q294" s="500"/>
      <c r="S294" s="499"/>
      <c r="T294" s="499"/>
      <c r="U294" s="499"/>
      <c r="V294" s="499"/>
      <c r="W294" s="499"/>
      <c r="X294" s="499"/>
      <c r="Y294" s="499"/>
      <c r="Z294" s="499"/>
      <c r="AA294" s="499"/>
      <c r="AB294" s="499"/>
      <c r="AC294" s="499"/>
      <c r="AD294" s="500"/>
    </row>
    <row r="295" spans="1:30" s="405" customFormat="1" outlineLevel="1" x14ac:dyDescent="0.2">
      <c r="A295" s="622">
        <v>6</v>
      </c>
      <c r="B295" s="613" t="s">
        <v>527</v>
      </c>
      <c r="C295" s="613" t="s">
        <v>528</v>
      </c>
      <c r="D295" s="612">
        <v>131</v>
      </c>
      <c r="E295" s="611"/>
      <c r="F295" s="623"/>
      <c r="G295" s="623"/>
      <c r="H295" s="623"/>
      <c r="I295" s="623"/>
      <c r="J295" s="623"/>
      <c r="K295" s="623"/>
      <c r="L295" s="623"/>
      <c r="M295" s="623"/>
      <c r="N295" s="623"/>
      <c r="O295" s="623"/>
      <c r="P295" s="623"/>
      <c r="Q295" s="605"/>
      <c r="S295" s="623"/>
      <c r="T295" s="623"/>
      <c r="U295" s="623"/>
      <c r="V295" s="623"/>
      <c r="W295" s="623"/>
      <c r="X295" s="623"/>
      <c r="Y295" s="623"/>
      <c r="Z295" s="623"/>
      <c r="AA295" s="623"/>
      <c r="AB295" s="623"/>
      <c r="AC295" s="623"/>
      <c r="AD295" s="605"/>
    </row>
    <row r="296" spans="1:30" s="405" customFormat="1" outlineLevel="1" x14ac:dyDescent="0.2">
      <c r="A296" s="496"/>
      <c r="B296" s="497"/>
      <c r="C296" s="497"/>
      <c r="D296" s="498">
        <v>138</v>
      </c>
      <c r="E296" s="470"/>
      <c r="F296" s="499"/>
      <c r="G296" s="499"/>
      <c r="H296" s="499"/>
      <c r="I296" s="499"/>
      <c r="J296" s="499"/>
      <c r="K296" s="499"/>
      <c r="L296" s="499"/>
      <c r="M296" s="499"/>
      <c r="N296" s="499"/>
      <c r="O296" s="499"/>
      <c r="P296" s="499"/>
      <c r="Q296" s="500"/>
      <c r="S296" s="499"/>
      <c r="T296" s="499"/>
      <c r="U296" s="499"/>
      <c r="V296" s="499"/>
      <c r="W296" s="499"/>
      <c r="X296" s="499"/>
      <c r="Y296" s="499"/>
      <c r="Z296" s="499"/>
      <c r="AA296" s="499"/>
      <c r="AB296" s="499"/>
      <c r="AC296" s="499"/>
      <c r="AD296" s="500"/>
    </row>
    <row r="297" spans="1:30" s="405" customFormat="1" outlineLevel="1" x14ac:dyDescent="0.2">
      <c r="A297" s="622">
        <v>7</v>
      </c>
      <c r="B297" s="600" t="s">
        <v>531</v>
      </c>
      <c r="C297" s="600" t="s">
        <v>532</v>
      </c>
      <c r="D297" s="612">
        <v>131</v>
      </c>
      <c r="E297" s="611"/>
      <c r="F297" s="623"/>
      <c r="G297" s="623"/>
      <c r="H297" s="623"/>
      <c r="I297" s="623"/>
      <c r="J297" s="623"/>
      <c r="K297" s="623"/>
      <c r="L297" s="623"/>
      <c r="M297" s="623"/>
      <c r="N297" s="623"/>
      <c r="O297" s="623"/>
      <c r="P297" s="623"/>
      <c r="Q297" s="605"/>
      <c r="S297" s="623"/>
      <c r="T297" s="623"/>
      <c r="U297" s="623"/>
      <c r="V297" s="623"/>
      <c r="W297" s="623"/>
      <c r="X297" s="623"/>
      <c r="Y297" s="623"/>
      <c r="Z297" s="623"/>
      <c r="AA297" s="623"/>
      <c r="AB297" s="623"/>
      <c r="AC297" s="623"/>
      <c r="AD297" s="605"/>
    </row>
    <row r="298" spans="1:30" s="405" customFormat="1" outlineLevel="1" x14ac:dyDescent="0.2">
      <c r="A298" s="501"/>
      <c r="B298" s="502"/>
      <c r="C298" s="502"/>
      <c r="D298" s="471">
        <v>138</v>
      </c>
      <c r="E298" s="432"/>
      <c r="F298" s="503"/>
      <c r="G298" s="503"/>
      <c r="H298" s="503"/>
      <c r="I298" s="503"/>
      <c r="J298" s="503"/>
      <c r="K298" s="503"/>
      <c r="L298" s="503"/>
      <c r="M298" s="503"/>
      <c r="N298" s="503"/>
      <c r="O298" s="503"/>
      <c r="P298" s="503"/>
      <c r="Q298" s="475"/>
      <c r="S298" s="503"/>
      <c r="T298" s="503"/>
      <c r="U298" s="503"/>
      <c r="V298" s="503"/>
      <c r="W298" s="503"/>
      <c r="X298" s="503"/>
      <c r="Y298" s="503"/>
      <c r="Z298" s="503"/>
      <c r="AA298" s="503"/>
      <c r="AB298" s="503"/>
      <c r="AC298" s="503"/>
      <c r="AD298" s="475"/>
    </row>
    <row r="299" spans="1:30" s="405" customFormat="1" outlineLevel="1" x14ac:dyDescent="0.2">
      <c r="A299" s="622">
        <v>8</v>
      </c>
      <c r="B299" s="613" t="s">
        <v>533</v>
      </c>
      <c r="C299" s="613" t="s">
        <v>534</v>
      </c>
      <c r="D299" s="612">
        <v>131</v>
      </c>
      <c r="E299" s="611"/>
      <c r="F299" s="623"/>
      <c r="G299" s="623"/>
      <c r="H299" s="623"/>
      <c r="I299" s="623"/>
      <c r="J299" s="623"/>
      <c r="K299" s="623"/>
      <c r="L299" s="623"/>
      <c r="M299" s="623"/>
      <c r="N299" s="623"/>
      <c r="O299" s="623"/>
      <c r="P299" s="623"/>
      <c r="Q299" s="605"/>
      <c r="S299" s="623"/>
      <c r="T299" s="623"/>
      <c r="U299" s="623"/>
      <c r="V299" s="623"/>
      <c r="W299" s="623"/>
      <c r="X299" s="623"/>
      <c r="Y299" s="623"/>
      <c r="Z299" s="623"/>
      <c r="AA299" s="623"/>
      <c r="AB299" s="623"/>
      <c r="AC299" s="623"/>
      <c r="AD299" s="605"/>
    </row>
    <row r="300" spans="1:30" s="405" customFormat="1" outlineLevel="1" x14ac:dyDescent="0.2">
      <c r="A300" s="496"/>
      <c r="B300" s="497"/>
      <c r="C300" s="497"/>
      <c r="D300" s="498">
        <v>138</v>
      </c>
      <c r="E300" s="470"/>
      <c r="F300" s="499"/>
      <c r="G300" s="499"/>
      <c r="H300" s="499"/>
      <c r="I300" s="499"/>
      <c r="J300" s="499"/>
      <c r="K300" s="499"/>
      <c r="L300" s="499"/>
      <c r="M300" s="499"/>
      <c r="N300" s="499"/>
      <c r="O300" s="499"/>
      <c r="P300" s="499"/>
      <c r="Q300" s="500"/>
      <c r="S300" s="499"/>
      <c r="T300" s="499"/>
      <c r="U300" s="499"/>
      <c r="V300" s="499"/>
      <c r="W300" s="499"/>
      <c r="X300" s="499"/>
      <c r="Y300" s="499"/>
      <c r="Z300" s="499"/>
      <c r="AA300" s="499"/>
      <c r="AB300" s="499"/>
      <c r="AC300" s="499"/>
      <c r="AD300" s="500"/>
    </row>
    <row r="301" spans="1:30" s="405" customFormat="1" outlineLevel="1" x14ac:dyDescent="0.2">
      <c r="A301" s="622">
        <v>9</v>
      </c>
      <c r="B301" s="613" t="s">
        <v>536</v>
      </c>
      <c r="C301" s="613" t="s">
        <v>537</v>
      </c>
      <c r="D301" s="612">
        <v>131</v>
      </c>
      <c r="E301" s="611"/>
      <c r="F301" s="623"/>
      <c r="G301" s="623"/>
      <c r="H301" s="623"/>
      <c r="I301" s="623"/>
      <c r="J301" s="623"/>
      <c r="K301" s="623"/>
      <c r="L301" s="623"/>
      <c r="M301" s="623"/>
      <c r="N301" s="623"/>
      <c r="O301" s="623"/>
      <c r="P301" s="623"/>
      <c r="Q301" s="605"/>
      <c r="S301" s="623"/>
      <c r="T301" s="623"/>
      <c r="U301" s="623"/>
      <c r="V301" s="623"/>
      <c r="W301" s="623"/>
      <c r="X301" s="623"/>
      <c r="Y301" s="623"/>
      <c r="Z301" s="623"/>
      <c r="AA301" s="623"/>
      <c r="AB301" s="623"/>
      <c r="AC301" s="623"/>
      <c r="AD301" s="605"/>
    </row>
    <row r="302" spans="1:30" s="405" customFormat="1" outlineLevel="1" x14ac:dyDescent="0.2">
      <c r="A302" s="496"/>
      <c r="B302" s="497"/>
      <c r="C302" s="497"/>
      <c r="D302" s="498">
        <v>138</v>
      </c>
      <c r="E302" s="470"/>
      <c r="F302" s="499"/>
      <c r="G302" s="499"/>
      <c r="H302" s="499"/>
      <c r="I302" s="499"/>
      <c r="J302" s="499"/>
      <c r="K302" s="499"/>
      <c r="L302" s="499"/>
      <c r="M302" s="499"/>
      <c r="N302" s="499"/>
      <c r="O302" s="499"/>
      <c r="P302" s="499"/>
      <c r="Q302" s="500"/>
      <c r="S302" s="499"/>
      <c r="T302" s="499"/>
      <c r="U302" s="499"/>
      <c r="V302" s="499"/>
      <c r="W302" s="499"/>
      <c r="X302" s="499"/>
      <c r="Y302" s="499"/>
      <c r="Z302" s="499"/>
      <c r="AA302" s="499"/>
      <c r="AB302" s="499"/>
      <c r="AC302" s="499"/>
      <c r="AD302" s="500"/>
    </row>
    <row r="303" spans="1:30" s="405" customFormat="1" outlineLevel="1" x14ac:dyDescent="0.2">
      <c r="A303" s="622">
        <v>10</v>
      </c>
      <c r="B303" s="613" t="s">
        <v>538</v>
      </c>
      <c r="C303" s="613" t="s">
        <v>539</v>
      </c>
      <c r="D303" s="612">
        <v>131</v>
      </c>
      <c r="E303" s="611"/>
      <c r="F303" s="623"/>
      <c r="G303" s="623"/>
      <c r="H303" s="623"/>
      <c r="I303" s="623"/>
      <c r="J303" s="623"/>
      <c r="K303" s="623"/>
      <c r="L303" s="623"/>
      <c r="M303" s="623"/>
      <c r="N303" s="623"/>
      <c r="O303" s="623"/>
      <c r="P303" s="623"/>
      <c r="Q303" s="605"/>
      <c r="S303" s="623"/>
      <c r="T303" s="623"/>
      <c r="U303" s="623"/>
      <c r="V303" s="623"/>
      <c r="W303" s="623"/>
      <c r="X303" s="623"/>
      <c r="Y303" s="623"/>
      <c r="Z303" s="623"/>
      <c r="AA303" s="623"/>
      <c r="AB303" s="623"/>
      <c r="AC303" s="623"/>
      <c r="AD303" s="605"/>
    </row>
    <row r="304" spans="1:30" s="405" customFormat="1" outlineLevel="1" x14ac:dyDescent="0.2">
      <c r="A304" s="496"/>
      <c r="B304" s="497"/>
      <c r="C304" s="497"/>
      <c r="D304" s="498">
        <v>138</v>
      </c>
      <c r="E304" s="470"/>
      <c r="F304" s="499"/>
      <c r="G304" s="499"/>
      <c r="H304" s="499"/>
      <c r="I304" s="499"/>
      <c r="J304" s="499"/>
      <c r="K304" s="499"/>
      <c r="L304" s="499"/>
      <c r="M304" s="499"/>
      <c r="N304" s="499"/>
      <c r="O304" s="499"/>
      <c r="P304" s="499"/>
      <c r="Q304" s="500"/>
      <c r="S304" s="499"/>
      <c r="T304" s="499"/>
      <c r="U304" s="499"/>
      <c r="V304" s="499"/>
      <c r="W304" s="499"/>
      <c r="X304" s="499"/>
      <c r="Y304" s="499"/>
      <c r="Z304" s="499"/>
      <c r="AA304" s="499"/>
      <c r="AB304" s="499"/>
      <c r="AC304" s="499"/>
      <c r="AD304" s="500"/>
    </row>
    <row r="305" spans="1:30" s="405" customFormat="1" outlineLevel="1" x14ac:dyDescent="0.2">
      <c r="A305" s="622">
        <v>11</v>
      </c>
      <c r="B305" s="613" t="s">
        <v>540</v>
      </c>
      <c r="C305" s="613" t="s">
        <v>541</v>
      </c>
      <c r="D305" s="612">
        <v>131</v>
      </c>
      <c r="E305" s="611"/>
      <c r="F305" s="623"/>
      <c r="G305" s="623"/>
      <c r="H305" s="623"/>
      <c r="I305" s="623"/>
      <c r="J305" s="623"/>
      <c r="K305" s="623"/>
      <c r="L305" s="623"/>
      <c r="M305" s="623"/>
      <c r="N305" s="623"/>
      <c r="O305" s="623"/>
      <c r="P305" s="623"/>
      <c r="Q305" s="605"/>
      <c r="S305" s="623"/>
      <c r="T305" s="623"/>
      <c r="U305" s="623"/>
      <c r="V305" s="623"/>
      <c r="W305" s="623"/>
      <c r="X305" s="623"/>
      <c r="Y305" s="623"/>
      <c r="Z305" s="623"/>
      <c r="AA305" s="623"/>
      <c r="AB305" s="623"/>
      <c r="AC305" s="623"/>
      <c r="AD305" s="605"/>
    </row>
    <row r="306" spans="1:30" s="405" customFormat="1" outlineLevel="1" x14ac:dyDescent="0.2">
      <c r="A306" s="496"/>
      <c r="B306" s="497"/>
      <c r="C306" s="497"/>
      <c r="D306" s="498">
        <v>138</v>
      </c>
      <c r="E306" s="470"/>
      <c r="F306" s="499"/>
      <c r="G306" s="499"/>
      <c r="H306" s="499"/>
      <c r="I306" s="499"/>
      <c r="J306" s="499"/>
      <c r="K306" s="499"/>
      <c r="L306" s="499"/>
      <c r="M306" s="499"/>
      <c r="N306" s="499"/>
      <c r="O306" s="499"/>
      <c r="P306" s="499"/>
      <c r="Q306" s="500"/>
      <c r="S306" s="499"/>
      <c r="T306" s="499"/>
      <c r="U306" s="499"/>
      <c r="V306" s="499"/>
      <c r="W306" s="499"/>
      <c r="X306" s="499"/>
      <c r="Y306" s="499"/>
      <c r="Z306" s="499"/>
      <c r="AA306" s="499"/>
      <c r="AB306" s="499"/>
      <c r="AC306" s="499"/>
      <c r="AD306" s="500"/>
    </row>
    <row r="307" spans="1:30" s="405" customFormat="1" outlineLevel="1" x14ac:dyDescent="0.2">
      <c r="A307" s="622">
        <v>12</v>
      </c>
      <c r="B307" s="613" t="s">
        <v>542</v>
      </c>
      <c r="C307" s="613" t="s">
        <v>543</v>
      </c>
      <c r="D307" s="612">
        <v>131</v>
      </c>
      <c r="E307" s="611"/>
      <c r="F307" s="623"/>
      <c r="G307" s="623"/>
      <c r="H307" s="623"/>
      <c r="I307" s="623"/>
      <c r="J307" s="623"/>
      <c r="K307" s="623"/>
      <c r="L307" s="623"/>
      <c r="M307" s="623"/>
      <c r="N307" s="623"/>
      <c r="O307" s="623"/>
      <c r="P307" s="623"/>
      <c r="Q307" s="605"/>
      <c r="S307" s="623"/>
      <c r="T307" s="623"/>
      <c r="U307" s="623"/>
      <c r="V307" s="623"/>
      <c r="W307" s="623"/>
      <c r="X307" s="623"/>
      <c r="Y307" s="623"/>
      <c r="Z307" s="623"/>
      <c r="AA307" s="623"/>
      <c r="AB307" s="623"/>
      <c r="AC307" s="623"/>
      <c r="AD307" s="605"/>
    </row>
    <row r="308" spans="1:30" s="405" customFormat="1" outlineLevel="1" x14ac:dyDescent="0.2">
      <c r="A308" s="496"/>
      <c r="B308" s="497"/>
      <c r="C308" s="497"/>
      <c r="D308" s="498">
        <v>138</v>
      </c>
      <c r="E308" s="470"/>
      <c r="F308" s="499"/>
      <c r="G308" s="499"/>
      <c r="H308" s="499"/>
      <c r="I308" s="499"/>
      <c r="J308" s="499"/>
      <c r="K308" s="499"/>
      <c r="L308" s="499"/>
      <c r="M308" s="499"/>
      <c r="N308" s="499"/>
      <c r="O308" s="499"/>
      <c r="P308" s="499"/>
      <c r="Q308" s="500"/>
      <c r="S308" s="499"/>
      <c r="T308" s="499"/>
      <c r="U308" s="499"/>
      <c r="V308" s="499"/>
      <c r="W308" s="499"/>
      <c r="X308" s="499"/>
      <c r="Y308" s="499"/>
      <c r="Z308" s="499"/>
      <c r="AA308" s="499"/>
      <c r="AB308" s="499"/>
      <c r="AC308" s="499"/>
      <c r="AD308" s="500"/>
    </row>
    <row r="309" spans="1:30" s="405" customFormat="1" outlineLevel="1" x14ac:dyDescent="0.2">
      <c r="A309" s="622">
        <v>13</v>
      </c>
      <c r="B309" s="613" t="s">
        <v>544</v>
      </c>
      <c r="C309" s="613" t="s">
        <v>545</v>
      </c>
      <c r="D309" s="612">
        <v>131</v>
      </c>
      <c r="E309" s="611"/>
      <c r="F309" s="623"/>
      <c r="G309" s="623"/>
      <c r="H309" s="623"/>
      <c r="I309" s="623"/>
      <c r="J309" s="623"/>
      <c r="K309" s="623"/>
      <c r="L309" s="623"/>
      <c r="M309" s="623"/>
      <c r="N309" s="623"/>
      <c r="O309" s="623"/>
      <c r="P309" s="623"/>
      <c r="Q309" s="605"/>
      <c r="S309" s="623"/>
      <c r="T309" s="623"/>
      <c r="U309" s="623"/>
      <c r="V309" s="623"/>
      <c r="W309" s="623"/>
      <c r="X309" s="623"/>
      <c r="Y309" s="623"/>
      <c r="Z309" s="623"/>
      <c r="AA309" s="623"/>
      <c r="AB309" s="623"/>
      <c r="AC309" s="623"/>
      <c r="AD309" s="605"/>
    </row>
    <row r="310" spans="1:30" s="405" customFormat="1" outlineLevel="1" x14ac:dyDescent="0.2">
      <c r="A310" s="496"/>
      <c r="B310" s="497"/>
      <c r="C310" s="497"/>
      <c r="D310" s="498">
        <v>138</v>
      </c>
      <c r="E310" s="470"/>
      <c r="F310" s="499"/>
      <c r="G310" s="499"/>
      <c r="H310" s="499"/>
      <c r="I310" s="499"/>
      <c r="J310" s="499"/>
      <c r="K310" s="499"/>
      <c r="L310" s="499"/>
      <c r="M310" s="499"/>
      <c r="N310" s="499"/>
      <c r="O310" s="499"/>
      <c r="P310" s="499"/>
      <c r="Q310" s="500"/>
      <c r="S310" s="499"/>
      <c r="T310" s="499"/>
      <c r="U310" s="499"/>
      <c r="V310" s="499"/>
      <c r="W310" s="499"/>
      <c r="X310" s="499"/>
      <c r="Y310" s="499"/>
      <c r="Z310" s="499"/>
      <c r="AA310" s="499"/>
      <c r="AB310" s="499"/>
      <c r="AC310" s="499"/>
      <c r="AD310" s="500"/>
    </row>
    <row r="311" spans="1:30" s="405" customFormat="1" outlineLevel="1" x14ac:dyDescent="0.2">
      <c r="A311" s="622">
        <v>14</v>
      </c>
      <c r="B311" s="613" t="s">
        <v>546</v>
      </c>
      <c r="C311" s="613" t="s">
        <v>547</v>
      </c>
      <c r="D311" s="612">
        <v>131</v>
      </c>
      <c r="E311" s="611"/>
      <c r="F311" s="623"/>
      <c r="G311" s="623"/>
      <c r="H311" s="623"/>
      <c r="I311" s="623"/>
      <c r="J311" s="623"/>
      <c r="K311" s="623"/>
      <c r="L311" s="623"/>
      <c r="M311" s="623"/>
      <c r="N311" s="623"/>
      <c r="O311" s="623"/>
      <c r="P311" s="623"/>
      <c r="Q311" s="605"/>
      <c r="S311" s="623"/>
      <c r="T311" s="623"/>
      <c r="U311" s="623"/>
      <c r="V311" s="623"/>
      <c r="W311" s="623"/>
      <c r="X311" s="623"/>
      <c r="Y311" s="623"/>
      <c r="Z311" s="623"/>
      <c r="AA311" s="623"/>
      <c r="AB311" s="623"/>
      <c r="AC311" s="623"/>
      <c r="AD311" s="605"/>
    </row>
    <row r="312" spans="1:30" s="405" customFormat="1" outlineLevel="1" x14ac:dyDescent="0.2">
      <c r="A312" s="496"/>
      <c r="B312" s="497"/>
      <c r="C312" s="497"/>
      <c r="D312" s="498">
        <v>138</v>
      </c>
      <c r="E312" s="470"/>
      <c r="F312" s="499"/>
      <c r="G312" s="499"/>
      <c r="H312" s="499"/>
      <c r="I312" s="499"/>
      <c r="J312" s="499"/>
      <c r="K312" s="499"/>
      <c r="L312" s="499"/>
      <c r="M312" s="499"/>
      <c r="N312" s="499"/>
      <c r="O312" s="499"/>
      <c r="P312" s="499"/>
      <c r="Q312" s="500"/>
      <c r="S312" s="499"/>
      <c r="T312" s="499"/>
      <c r="U312" s="499"/>
      <c r="V312" s="499"/>
      <c r="W312" s="499"/>
      <c r="X312" s="499"/>
      <c r="Y312" s="499"/>
      <c r="Z312" s="499"/>
      <c r="AA312" s="499"/>
      <c r="AB312" s="499"/>
      <c r="AC312" s="499"/>
      <c r="AD312" s="500"/>
    </row>
    <row r="313" spans="1:30" s="405" customFormat="1" outlineLevel="1" x14ac:dyDescent="0.2">
      <c r="A313" s="622">
        <v>15</v>
      </c>
      <c r="B313" s="613" t="s">
        <v>548</v>
      </c>
      <c r="C313" s="613" t="s">
        <v>549</v>
      </c>
      <c r="D313" s="612">
        <v>131</v>
      </c>
      <c r="E313" s="611"/>
      <c r="F313" s="623"/>
      <c r="G313" s="623"/>
      <c r="H313" s="623"/>
      <c r="I313" s="623"/>
      <c r="J313" s="623"/>
      <c r="K313" s="623"/>
      <c r="L313" s="623"/>
      <c r="M313" s="623"/>
      <c r="N313" s="623"/>
      <c r="O313" s="623"/>
      <c r="P313" s="623"/>
      <c r="Q313" s="605"/>
      <c r="S313" s="623"/>
      <c r="T313" s="623"/>
      <c r="U313" s="623"/>
      <c r="V313" s="623"/>
      <c r="W313" s="623"/>
      <c r="X313" s="623"/>
      <c r="Y313" s="623"/>
      <c r="Z313" s="623"/>
      <c r="AA313" s="623"/>
      <c r="AB313" s="623"/>
      <c r="AC313" s="623"/>
      <c r="AD313" s="605"/>
    </row>
    <row r="314" spans="1:30" s="405" customFormat="1" outlineLevel="1" x14ac:dyDescent="0.2">
      <c r="A314" s="496"/>
      <c r="B314" s="497"/>
      <c r="C314" s="497"/>
      <c r="D314" s="498">
        <v>138</v>
      </c>
      <c r="E314" s="470"/>
      <c r="F314" s="499"/>
      <c r="G314" s="499"/>
      <c r="H314" s="499"/>
      <c r="I314" s="499"/>
      <c r="J314" s="499"/>
      <c r="K314" s="499"/>
      <c r="L314" s="499"/>
      <c r="M314" s="499"/>
      <c r="N314" s="499"/>
      <c r="O314" s="499"/>
      <c r="P314" s="499"/>
      <c r="Q314" s="500"/>
      <c r="S314" s="499"/>
      <c r="T314" s="499"/>
      <c r="U314" s="499"/>
      <c r="V314" s="499"/>
      <c r="W314" s="499"/>
      <c r="X314" s="499"/>
      <c r="Y314" s="499"/>
      <c r="Z314" s="499"/>
      <c r="AA314" s="499"/>
      <c r="AB314" s="499"/>
      <c r="AC314" s="499"/>
      <c r="AD314" s="500"/>
    </row>
    <row r="315" spans="1:30" s="405" customFormat="1" outlineLevel="1" x14ac:dyDescent="0.2">
      <c r="A315" s="622">
        <v>16</v>
      </c>
      <c r="B315" s="613" t="s">
        <v>550</v>
      </c>
      <c r="C315" s="613" t="s">
        <v>551</v>
      </c>
      <c r="D315" s="612">
        <v>131</v>
      </c>
      <c r="E315" s="611"/>
      <c r="F315" s="623"/>
      <c r="G315" s="623"/>
      <c r="H315" s="623"/>
      <c r="I315" s="623"/>
      <c r="J315" s="623"/>
      <c r="K315" s="623"/>
      <c r="L315" s="623"/>
      <c r="M315" s="623"/>
      <c r="N315" s="623"/>
      <c r="O315" s="623"/>
      <c r="P315" s="623"/>
      <c r="Q315" s="605"/>
      <c r="S315" s="623"/>
      <c r="T315" s="623"/>
      <c r="U315" s="623"/>
      <c r="V315" s="623"/>
      <c r="W315" s="623"/>
      <c r="X315" s="623"/>
      <c r="Y315" s="623"/>
      <c r="Z315" s="623"/>
      <c r="AA315" s="623"/>
      <c r="AB315" s="623"/>
      <c r="AC315" s="623"/>
      <c r="AD315" s="605"/>
    </row>
    <row r="316" spans="1:30" s="405" customFormat="1" outlineLevel="1" x14ac:dyDescent="0.2">
      <c r="A316" s="496"/>
      <c r="B316" s="497"/>
      <c r="C316" s="497"/>
      <c r="D316" s="498">
        <v>138</v>
      </c>
      <c r="E316" s="470"/>
      <c r="F316" s="499"/>
      <c r="G316" s="499"/>
      <c r="H316" s="499"/>
      <c r="I316" s="499"/>
      <c r="J316" s="499"/>
      <c r="K316" s="499"/>
      <c r="L316" s="499"/>
      <c r="M316" s="499"/>
      <c r="N316" s="499"/>
      <c r="O316" s="499"/>
      <c r="P316" s="499"/>
      <c r="Q316" s="500"/>
      <c r="S316" s="499"/>
      <c r="T316" s="499"/>
      <c r="U316" s="499"/>
      <c r="V316" s="499"/>
      <c r="W316" s="499"/>
      <c r="X316" s="499"/>
      <c r="Y316" s="499"/>
      <c r="Z316" s="499"/>
      <c r="AA316" s="499"/>
      <c r="AB316" s="499"/>
      <c r="AC316" s="499"/>
      <c r="AD316" s="500"/>
    </row>
    <row r="317" spans="1:30" s="405" customFormat="1" outlineLevel="1" x14ac:dyDescent="0.2">
      <c r="A317" s="622">
        <v>17</v>
      </c>
      <c r="B317" s="613" t="s">
        <v>552</v>
      </c>
      <c r="C317" s="613" t="s">
        <v>553</v>
      </c>
      <c r="D317" s="612">
        <v>131</v>
      </c>
      <c r="E317" s="611"/>
      <c r="F317" s="623"/>
      <c r="G317" s="623"/>
      <c r="H317" s="623"/>
      <c r="I317" s="623"/>
      <c r="J317" s="623"/>
      <c r="K317" s="623"/>
      <c r="L317" s="623"/>
      <c r="M317" s="623"/>
      <c r="N317" s="623"/>
      <c r="O317" s="623"/>
      <c r="P317" s="623"/>
      <c r="Q317" s="605"/>
      <c r="S317" s="623"/>
      <c r="T317" s="623"/>
      <c r="U317" s="623"/>
      <c r="V317" s="623"/>
      <c r="W317" s="623"/>
      <c r="X317" s="623"/>
      <c r="Y317" s="623"/>
      <c r="Z317" s="623"/>
      <c r="AA317" s="623"/>
      <c r="AB317" s="623"/>
      <c r="AC317" s="623"/>
      <c r="AD317" s="605"/>
    </row>
    <row r="318" spans="1:30" s="405" customFormat="1" outlineLevel="1" x14ac:dyDescent="0.2">
      <c r="A318" s="496"/>
      <c r="B318" s="497"/>
      <c r="C318" s="497"/>
      <c r="D318" s="498">
        <v>138</v>
      </c>
      <c r="E318" s="470"/>
      <c r="F318" s="499"/>
      <c r="G318" s="499"/>
      <c r="H318" s="499"/>
      <c r="I318" s="499"/>
      <c r="J318" s="499"/>
      <c r="K318" s="499"/>
      <c r="L318" s="499"/>
      <c r="M318" s="499"/>
      <c r="N318" s="499"/>
      <c r="O318" s="499"/>
      <c r="P318" s="499"/>
      <c r="Q318" s="500"/>
      <c r="S318" s="499"/>
      <c r="T318" s="499"/>
      <c r="U318" s="499"/>
      <c r="V318" s="499"/>
      <c r="W318" s="499"/>
      <c r="X318" s="499"/>
      <c r="Y318" s="499"/>
      <c r="Z318" s="499"/>
      <c r="AA318" s="499"/>
      <c r="AB318" s="499"/>
      <c r="AC318" s="499"/>
      <c r="AD318" s="500"/>
    </row>
    <row r="319" spans="1:30" s="405" customFormat="1" outlineLevel="1" x14ac:dyDescent="0.2">
      <c r="A319" s="622">
        <v>18</v>
      </c>
      <c r="B319" s="613" t="s">
        <v>554</v>
      </c>
      <c r="C319" s="613" t="s">
        <v>555</v>
      </c>
      <c r="D319" s="612">
        <v>131</v>
      </c>
      <c r="E319" s="611"/>
      <c r="F319" s="623"/>
      <c r="G319" s="623"/>
      <c r="H319" s="623"/>
      <c r="I319" s="623"/>
      <c r="J319" s="623"/>
      <c r="K319" s="623"/>
      <c r="L319" s="623"/>
      <c r="M319" s="623"/>
      <c r="N319" s="623"/>
      <c r="O319" s="623"/>
      <c r="P319" s="623"/>
      <c r="Q319" s="605"/>
      <c r="S319" s="623"/>
      <c r="T319" s="623"/>
      <c r="U319" s="623"/>
      <c r="V319" s="623"/>
      <c r="W319" s="623"/>
      <c r="X319" s="623"/>
      <c r="Y319" s="623"/>
      <c r="Z319" s="623"/>
      <c r="AA319" s="623"/>
      <c r="AB319" s="623"/>
      <c r="AC319" s="623"/>
      <c r="AD319" s="605"/>
    </row>
    <row r="320" spans="1:30" s="405" customFormat="1" outlineLevel="1" x14ac:dyDescent="0.2">
      <c r="A320" s="496"/>
      <c r="B320" s="497"/>
      <c r="C320" s="497"/>
      <c r="D320" s="498">
        <v>138</v>
      </c>
      <c r="E320" s="470"/>
      <c r="F320" s="499"/>
      <c r="G320" s="499"/>
      <c r="H320" s="499"/>
      <c r="I320" s="499"/>
      <c r="J320" s="499"/>
      <c r="K320" s="499"/>
      <c r="L320" s="499"/>
      <c r="M320" s="499"/>
      <c r="N320" s="499"/>
      <c r="O320" s="499"/>
      <c r="P320" s="499"/>
      <c r="Q320" s="500"/>
      <c r="S320" s="499"/>
      <c r="T320" s="499"/>
      <c r="U320" s="499"/>
      <c r="V320" s="499"/>
      <c r="W320" s="499"/>
      <c r="X320" s="499"/>
      <c r="Y320" s="499"/>
      <c r="Z320" s="499"/>
      <c r="AA320" s="499"/>
      <c r="AB320" s="499"/>
      <c r="AC320" s="499"/>
      <c r="AD320" s="500"/>
    </row>
    <row r="321" spans="1:30" s="405" customFormat="1" outlineLevel="1" x14ac:dyDescent="0.2">
      <c r="A321" s="622">
        <v>19</v>
      </c>
      <c r="B321" s="600" t="s">
        <v>556</v>
      </c>
      <c r="C321" s="600" t="s">
        <v>557</v>
      </c>
      <c r="D321" s="612">
        <v>131</v>
      </c>
      <c r="E321" s="611"/>
      <c r="F321" s="623"/>
      <c r="G321" s="623"/>
      <c r="H321" s="623"/>
      <c r="I321" s="623"/>
      <c r="J321" s="623"/>
      <c r="K321" s="623"/>
      <c r="L321" s="623"/>
      <c r="M321" s="623"/>
      <c r="N321" s="623"/>
      <c r="O321" s="623"/>
      <c r="P321" s="623"/>
      <c r="Q321" s="605"/>
      <c r="S321" s="623"/>
      <c r="T321" s="623"/>
      <c r="U321" s="623"/>
      <c r="V321" s="623"/>
      <c r="W321" s="623"/>
      <c r="X321" s="623"/>
      <c r="Y321" s="623"/>
      <c r="Z321" s="623"/>
      <c r="AA321" s="623"/>
      <c r="AB321" s="623"/>
      <c r="AC321" s="623"/>
      <c r="AD321" s="605"/>
    </row>
    <row r="322" spans="1:30" s="405" customFormat="1" outlineLevel="1" x14ac:dyDescent="0.2">
      <c r="A322" s="496"/>
      <c r="B322" s="497"/>
      <c r="C322" s="497"/>
      <c r="D322" s="498">
        <v>138</v>
      </c>
      <c r="E322" s="470"/>
      <c r="F322" s="499"/>
      <c r="G322" s="499"/>
      <c r="H322" s="499"/>
      <c r="I322" s="499"/>
      <c r="J322" s="499"/>
      <c r="K322" s="499"/>
      <c r="L322" s="499"/>
      <c r="M322" s="499"/>
      <c r="N322" s="499"/>
      <c r="O322" s="499"/>
      <c r="P322" s="499"/>
      <c r="Q322" s="500"/>
      <c r="S322" s="499"/>
      <c r="T322" s="499"/>
      <c r="U322" s="499"/>
      <c r="V322" s="499"/>
      <c r="W322" s="499"/>
      <c r="X322" s="499"/>
      <c r="Y322" s="499"/>
      <c r="Z322" s="499"/>
      <c r="AA322" s="499"/>
      <c r="AB322" s="499"/>
      <c r="AC322" s="499"/>
      <c r="AD322" s="500"/>
    </row>
    <row r="323" spans="1:30" s="405" customFormat="1" outlineLevel="1" x14ac:dyDescent="0.2">
      <c r="A323" s="622">
        <v>20</v>
      </c>
      <c r="B323" s="613" t="s">
        <v>558</v>
      </c>
      <c r="C323" s="613" t="s">
        <v>559</v>
      </c>
      <c r="D323" s="612">
        <v>131</v>
      </c>
      <c r="E323" s="611"/>
      <c r="F323" s="623"/>
      <c r="G323" s="623"/>
      <c r="H323" s="623"/>
      <c r="I323" s="623"/>
      <c r="J323" s="623"/>
      <c r="K323" s="623"/>
      <c r="L323" s="623"/>
      <c r="M323" s="623"/>
      <c r="N323" s="623"/>
      <c r="O323" s="623"/>
      <c r="P323" s="623"/>
      <c r="Q323" s="605"/>
      <c r="S323" s="623"/>
      <c r="T323" s="623"/>
      <c r="U323" s="623"/>
      <c r="V323" s="623"/>
      <c r="W323" s="623"/>
      <c r="X323" s="623"/>
      <c r="Y323" s="623"/>
      <c r="Z323" s="623"/>
      <c r="AA323" s="623"/>
      <c r="AB323" s="623"/>
      <c r="AC323" s="623"/>
      <c r="AD323" s="605"/>
    </row>
    <row r="324" spans="1:30" s="405" customFormat="1" outlineLevel="1" x14ac:dyDescent="0.2">
      <c r="A324" s="496"/>
      <c r="B324" s="497"/>
      <c r="C324" s="497"/>
      <c r="D324" s="498">
        <v>138</v>
      </c>
      <c r="E324" s="470"/>
      <c r="F324" s="499"/>
      <c r="G324" s="499"/>
      <c r="H324" s="499"/>
      <c r="I324" s="499"/>
      <c r="J324" s="499"/>
      <c r="K324" s="499"/>
      <c r="L324" s="499"/>
      <c r="M324" s="499"/>
      <c r="N324" s="499"/>
      <c r="O324" s="499"/>
      <c r="P324" s="499"/>
      <c r="Q324" s="500"/>
      <c r="S324" s="499"/>
      <c r="T324" s="499"/>
      <c r="U324" s="499"/>
      <c r="V324" s="499"/>
      <c r="W324" s="499"/>
      <c r="X324" s="499"/>
      <c r="Y324" s="499"/>
      <c r="Z324" s="499"/>
      <c r="AA324" s="499"/>
      <c r="AB324" s="499"/>
      <c r="AC324" s="499"/>
      <c r="AD324" s="500"/>
    </row>
    <row r="325" spans="1:30" s="405" customFormat="1" outlineLevel="1" x14ac:dyDescent="0.2">
      <c r="A325" s="622">
        <v>21</v>
      </c>
      <c r="B325" s="613" t="s">
        <v>560</v>
      </c>
      <c r="C325" s="613" t="s">
        <v>561</v>
      </c>
      <c r="D325" s="612">
        <v>131</v>
      </c>
      <c r="E325" s="611"/>
      <c r="F325" s="623"/>
      <c r="G325" s="623"/>
      <c r="H325" s="623"/>
      <c r="I325" s="623"/>
      <c r="J325" s="623"/>
      <c r="K325" s="623"/>
      <c r="L325" s="623"/>
      <c r="M325" s="623"/>
      <c r="N325" s="623"/>
      <c r="O325" s="623"/>
      <c r="P325" s="623"/>
      <c r="Q325" s="605"/>
      <c r="S325" s="623"/>
      <c r="T325" s="623"/>
      <c r="U325" s="623"/>
      <c r="V325" s="623"/>
      <c r="W325" s="623"/>
      <c r="X325" s="623"/>
      <c r="Y325" s="623"/>
      <c r="Z325" s="623"/>
      <c r="AA325" s="623"/>
      <c r="AB325" s="623"/>
      <c r="AC325" s="623"/>
      <c r="AD325" s="605"/>
    </row>
    <row r="326" spans="1:30" s="405" customFormat="1" outlineLevel="1" x14ac:dyDescent="0.2">
      <c r="A326" s="496"/>
      <c r="B326" s="497"/>
      <c r="C326" s="497"/>
      <c r="D326" s="498">
        <v>138</v>
      </c>
      <c r="E326" s="470"/>
      <c r="F326" s="499"/>
      <c r="G326" s="499"/>
      <c r="H326" s="499"/>
      <c r="I326" s="499"/>
      <c r="J326" s="499"/>
      <c r="K326" s="499"/>
      <c r="L326" s="499"/>
      <c r="M326" s="499"/>
      <c r="N326" s="499"/>
      <c r="O326" s="499"/>
      <c r="P326" s="499"/>
      <c r="Q326" s="500"/>
      <c r="S326" s="499"/>
      <c r="T326" s="499"/>
      <c r="U326" s="499"/>
      <c r="V326" s="499"/>
      <c r="W326" s="499"/>
      <c r="X326" s="499"/>
      <c r="Y326" s="499"/>
      <c r="Z326" s="499"/>
      <c r="AA326" s="499"/>
      <c r="AB326" s="499"/>
      <c r="AC326" s="499"/>
      <c r="AD326" s="500"/>
    </row>
    <row r="327" spans="1:30" s="405" customFormat="1" outlineLevel="1" x14ac:dyDescent="0.2">
      <c r="A327" s="622">
        <v>22</v>
      </c>
      <c r="B327" s="613" t="s">
        <v>562</v>
      </c>
      <c r="C327" s="613" t="s">
        <v>563</v>
      </c>
      <c r="D327" s="612">
        <v>131</v>
      </c>
      <c r="E327" s="611"/>
      <c r="F327" s="623"/>
      <c r="G327" s="623"/>
      <c r="H327" s="623"/>
      <c r="I327" s="623"/>
      <c r="J327" s="623"/>
      <c r="K327" s="623"/>
      <c r="L327" s="623"/>
      <c r="M327" s="623"/>
      <c r="N327" s="623"/>
      <c r="O327" s="623"/>
      <c r="P327" s="623"/>
      <c r="Q327" s="605"/>
      <c r="S327" s="623"/>
      <c r="T327" s="623"/>
      <c r="U327" s="623"/>
      <c r="V327" s="623"/>
      <c r="W327" s="623"/>
      <c r="X327" s="623"/>
      <c r="Y327" s="623"/>
      <c r="Z327" s="623"/>
      <c r="AA327" s="623"/>
      <c r="AB327" s="623"/>
      <c r="AC327" s="623"/>
      <c r="AD327" s="605"/>
    </row>
    <row r="328" spans="1:30" s="405" customFormat="1" x14ac:dyDescent="0.2">
      <c r="A328" s="488"/>
      <c r="B328" s="506"/>
      <c r="C328" s="527"/>
      <c r="D328" s="504">
        <v>138</v>
      </c>
      <c r="E328" s="486"/>
      <c r="F328" s="475"/>
      <c r="G328" s="475"/>
      <c r="H328" s="475"/>
      <c r="I328" s="475"/>
      <c r="J328" s="475"/>
      <c r="K328" s="475"/>
      <c r="L328" s="475"/>
      <c r="M328" s="475"/>
      <c r="N328" s="475"/>
      <c r="O328" s="475"/>
      <c r="P328" s="475"/>
      <c r="Q328" s="475"/>
      <c r="S328" s="475"/>
      <c r="T328" s="475"/>
      <c r="U328" s="475"/>
      <c r="V328" s="475"/>
      <c r="W328" s="475"/>
      <c r="X328" s="475"/>
      <c r="Y328" s="475"/>
      <c r="Z328" s="475"/>
      <c r="AA328" s="475"/>
      <c r="AB328" s="475"/>
      <c r="AC328" s="475"/>
      <c r="AD328" s="475"/>
    </row>
    <row r="329" spans="1:30" s="405" customFormat="1" x14ac:dyDescent="0.2">
      <c r="A329" s="539" t="s">
        <v>564</v>
      </c>
      <c r="B329" s="536" t="s">
        <v>617</v>
      </c>
      <c r="C329" s="536"/>
      <c r="D329" s="541"/>
      <c r="E329" s="541"/>
      <c r="F329" s="544" t="s">
        <v>615</v>
      </c>
      <c r="G329" s="544" t="s">
        <v>488</v>
      </c>
      <c r="H329" s="544" t="s">
        <v>489</v>
      </c>
      <c r="I329" s="544" t="s">
        <v>490</v>
      </c>
      <c r="J329" s="544" t="s">
        <v>491</v>
      </c>
      <c r="K329" s="544" t="s">
        <v>492</v>
      </c>
      <c r="L329" s="544" t="s">
        <v>493</v>
      </c>
      <c r="M329" s="544" t="s">
        <v>494</v>
      </c>
      <c r="N329" s="544" t="s">
        <v>495</v>
      </c>
      <c r="O329" s="544" t="s">
        <v>496</v>
      </c>
      <c r="P329" s="544" t="s">
        <v>497</v>
      </c>
      <c r="Q329" s="544" t="s">
        <v>498</v>
      </c>
      <c r="S329" s="544" t="s">
        <v>487</v>
      </c>
      <c r="T329" s="544" t="s">
        <v>488</v>
      </c>
      <c r="U329" s="544" t="s">
        <v>489</v>
      </c>
      <c r="V329" s="544" t="s">
        <v>490</v>
      </c>
      <c r="W329" s="544" t="s">
        <v>491</v>
      </c>
      <c r="X329" s="544" t="s">
        <v>492</v>
      </c>
      <c r="Y329" s="544" t="s">
        <v>493</v>
      </c>
      <c r="Z329" s="544" t="s">
        <v>494</v>
      </c>
      <c r="AA329" s="544" t="s">
        <v>495</v>
      </c>
      <c r="AB329" s="544" t="s">
        <v>496</v>
      </c>
      <c r="AC329" s="544" t="s">
        <v>497</v>
      </c>
      <c r="AD329" s="544" t="s">
        <v>498</v>
      </c>
    </row>
    <row r="330" spans="1:30" s="405" customFormat="1" outlineLevel="1" x14ac:dyDescent="0.2">
      <c r="A330" s="622">
        <v>1</v>
      </c>
      <c r="B330" s="613" t="s">
        <v>503</v>
      </c>
      <c r="C330" s="613" t="s">
        <v>504</v>
      </c>
      <c r="D330" s="612">
        <v>131</v>
      </c>
      <c r="E330" s="611"/>
      <c r="F330" s="630"/>
      <c r="G330" s="630"/>
      <c r="H330" s="630"/>
      <c r="I330" s="630"/>
      <c r="J330" s="630"/>
      <c r="K330" s="630"/>
      <c r="L330" s="630"/>
      <c r="M330" s="630"/>
      <c r="N330" s="630"/>
      <c r="O330" s="630"/>
      <c r="P330" s="630"/>
      <c r="Q330" s="630"/>
      <c r="S330" s="630"/>
      <c r="T330" s="605"/>
      <c r="U330" s="605"/>
      <c r="V330" s="605"/>
      <c r="W330" s="605"/>
      <c r="X330" s="605"/>
      <c r="Y330" s="605"/>
      <c r="Z330" s="605"/>
      <c r="AA330" s="605"/>
      <c r="AB330" s="605"/>
      <c r="AC330" s="605"/>
      <c r="AD330" s="605"/>
    </row>
    <row r="331" spans="1:30" s="586" customFormat="1" x14ac:dyDescent="0.2">
      <c r="A331" s="587">
        <v>2</v>
      </c>
      <c r="B331" s="588" t="s">
        <v>513</v>
      </c>
      <c r="C331" s="588" t="s">
        <v>514</v>
      </c>
      <c r="D331" s="589">
        <v>131</v>
      </c>
      <c r="E331" s="590"/>
      <c r="F331" s="591">
        <v>3400000000</v>
      </c>
      <c r="G331" s="591">
        <v>5000000000</v>
      </c>
      <c r="H331" s="591">
        <v>3900000000</v>
      </c>
      <c r="I331" s="591">
        <v>3900000000</v>
      </c>
      <c r="J331" s="591">
        <v>2552000000</v>
      </c>
      <c r="K331" s="591">
        <v>3288000000</v>
      </c>
      <c r="L331" s="591">
        <v>8919900000</v>
      </c>
      <c r="M331" s="591">
        <v>13056700000</v>
      </c>
      <c r="N331" s="591">
        <v>12233700000</v>
      </c>
      <c r="O331" s="591">
        <v>10680672232</v>
      </c>
      <c r="P331" s="591">
        <v>7680672232</v>
      </c>
      <c r="Q331" s="591">
        <v>9621393836</v>
      </c>
      <c r="S331" s="591">
        <v>13942237927</v>
      </c>
      <c r="T331" s="592">
        <v>16272437927</v>
      </c>
      <c r="U331" s="592">
        <v>18043437927</v>
      </c>
      <c r="V331" s="592">
        <f>17043437927-1000000000</f>
        <v>16043437927</v>
      </c>
      <c r="W331" s="438">
        <v>15043437927</v>
      </c>
      <c r="X331" s="592"/>
      <c r="Y331" s="592"/>
      <c r="Z331" s="592"/>
      <c r="AA331" s="592"/>
      <c r="AB331" s="592"/>
      <c r="AC331" s="592"/>
      <c r="AD331" s="592"/>
    </row>
    <row r="332" spans="1:30" s="405" customFormat="1" outlineLevel="1" x14ac:dyDescent="0.2">
      <c r="A332" s="505">
        <v>3</v>
      </c>
      <c r="B332" s="448" t="s">
        <v>519</v>
      </c>
      <c r="C332" s="448" t="s">
        <v>520</v>
      </c>
      <c r="D332" s="427">
        <v>131</v>
      </c>
      <c r="E332" s="423"/>
      <c r="F332" s="573"/>
      <c r="G332" s="573"/>
      <c r="H332" s="573"/>
      <c r="I332" s="573"/>
      <c r="J332" s="573"/>
      <c r="K332" s="573"/>
      <c r="L332" s="573"/>
      <c r="M332" s="573"/>
      <c r="N332" s="573"/>
      <c r="O332" s="573"/>
      <c r="P332" s="573"/>
      <c r="Q332" s="573"/>
      <c r="S332" s="573"/>
      <c r="T332" s="438"/>
      <c r="U332" s="438"/>
      <c r="V332" s="438"/>
      <c r="W332" s="438"/>
      <c r="X332" s="438"/>
      <c r="Y332" s="438"/>
      <c r="Z332" s="438"/>
      <c r="AA332" s="438"/>
      <c r="AB332" s="438"/>
      <c r="AC332" s="438"/>
      <c r="AD332" s="438"/>
    </row>
    <row r="333" spans="1:30" s="405" customFormat="1" outlineLevel="1" x14ac:dyDescent="0.2">
      <c r="A333" s="505">
        <v>4</v>
      </c>
      <c r="B333" s="448" t="s">
        <v>522</v>
      </c>
      <c r="C333" s="448" t="s">
        <v>523</v>
      </c>
      <c r="D333" s="427">
        <v>131</v>
      </c>
      <c r="E333" s="423"/>
      <c r="F333" s="573"/>
      <c r="G333" s="573"/>
      <c r="H333" s="573"/>
      <c r="I333" s="573"/>
      <c r="J333" s="573"/>
      <c r="K333" s="573"/>
      <c r="L333" s="573"/>
      <c r="M333" s="573"/>
      <c r="N333" s="573"/>
      <c r="O333" s="573"/>
      <c r="P333" s="573"/>
      <c r="Q333" s="573"/>
      <c r="S333" s="573"/>
      <c r="T333" s="438"/>
      <c r="U333" s="438"/>
      <c r="V333" s="438"/>
      <c r="W333" s="438"/>
      <c r="X333" s="438"/>
      <c r="Y333" s="438"/>
      <c r="Z333" s="438"/>
      <c r="AA333" s="438"/>
      <c r="AB333" s="438"/>
      <c r="AC333" s="438"/>
      <c r="AD333" s="438"/>
    </row>
    <row r="334" spans="1:30" s="405" customFormat="1" outlineLevel="1" x14ac:dyDescent="0.2">
      <c r="A334" s="505">
        <v>5</v>
      </c>
      <c r="B334" s="448" t="s">
        <v>524</v>
      </c>
      <c r="C334" s="448" t="s">
        <v>525</v>
      </c>
      <c r="D334" s="427">
        <v>131</v>
      </c>
      <c r="E334" s="423"/>
      <c r="F334" s="573"/>
      <c r="G334" s="573"/>
      <c r="H334" s="573"/>
      <c r="I334" s="573"/>
      <c r="J334" s="573"/>
      <c r="K334" s="573"/>
      <c r="L334" s="573"/>
      <c r="M334" s="573"/>
      <c r="N334" s="573"/>
      <c r="O334" s="573"/>
      <c r="P334" s="573"/>
      <c r="Q334" s="573"/>
      <c r="S334" s="573"/>
      <c r="T334" s="438"/>
      <c r="U334" s="438"/>
      <c r="V334" s="438"/>
      <c r="W334" s="438"/>
      <c r="X334" s="438"/>
      <c r="Y334" s="438"/>
      <c r="Z334" s="438"/>
      <c r="AA334" s="438"/>
      <c r="AB334" s="438"/>
      <c r="AC334" s="438"/>
      <c r="AD334" s="438"/>
    </row>
    <row r="335" spans="1:30" s="405" customFormat="1" outlineLevel="1" x14ac:dyDescent="0.2">
      <c r="A335" s="505">
        <v>6</v>
      </c>
      <c r="B335" s="448" t="s">
        <v>527</v>
      </c>
      <c r="C335" s="448" t="s">
        <v>528</v>
      </c>
      <c r="D335" s="427">
        <v>131</v>
      </c>
      <c r="E335" s="423"/>
      <c r="F335" s="573"/>
      <c r="G335" s="573"/>
      <c r="H335" s="573"/>
      <c r="I335" s="573"/>
      <c r="J335" s="573"/>
      <c r="K335" s="573"/>
      <c r="L335" s="573"/>
      <c r="M335" s="573"/>
      <c r="N335" s="573"/>
      <c r="O335" s="573"/>
      <c r="P335" s="573"/>
      <c r="Q335" s="573"/>
      <c r="S335" s="573"/>
      <c r="T335" s="438"/>
      <c r="U335" s="438"/>
      <c r="V335" s="438"/>
      <c r="W335" s="438"/>
      <c r="X335" s="438"/>
      <c r="Y335" s="438"/>
      <c r="Z335" s="438"/>
      <c r="AA335" s="438"/>
      <c r="AB335" s="438"/>
      <c r="AC335" s="438"/>
      <c r="AD335" s="438"/>
    </row>
    <row r="336" spans="1:30" s="405" customFormat="1" outlineLevel="1" x14ac:dyDescent="0.2">
      <c r="A336" s="505">
        <v>7</v>
      </c>
      <c r="B336" s="452" t="s">
        <v>531</v>
      </c>
      <c r="C336" s="452" t="s">
        <v>532</v>
      </c>
      <c r="D336" s="427">
        <v>131</v>
      </c>
      <c r="E336" s="423"/>
      <c r="F336" s="573"/>
      <c r="G336" s="573"/>
      <c r="H336" s="573"/>
      <c r="I336" s="573"/>
      <c r="J336" s="573"/>
      <c r="K336" s="573"/>
      <c r="L336" s="573"/>
      <c r="M336" s="573"/>
      <c r="N336" s="573"/>
      <c r="O336" s="573"/>
      <c r="P336" s="573"/>
      <c r="Q336" s="573"/>
      <c r="S336" s="573"/>
      <c r="T336" s="438"/>
      <c r="U336" s="438"/>
      <c r="V336" s="438"/>
      <c r="W336" s="438"/>
      <c r="X336" s="438"/>
      <c r="Y336" s="438"/>
      <c r="Z336" s="438"/>
      <c r="AA336" s="438"/>
      <c r="AB336" s="438"/>
      <c r="AC336" s="438"/>
      <c r="AD336" s="438"/>
    </row>
    <row r="337" spans="1:30" s="405" customFormat="1" outlineLevel="1" x14ac:dyDescent="0.2">
      <c r="A337" s="505">
        <v>8</v>
      </c>
      <c r="B337" s="448" t="s">
        <v>533</v>
      </c>
      <c r="C337" s="448" t="s">
        <v>534</v>
      </c>
      <c r="D337" s="427">
        <v>131</v>
      </c>
      <c r="E337" s="423"/>
      <c r="F337" s="573"/>
      <c r="G337" s="573"/>
      <c r="H337" s="573"/>
      <c r="I337" s="573"/>
      <c r="J337" s="573"/>
      <c r="K337" s="573"/>
      <c r="L337" s="573"/>
      <c r="M337" s="573"/>
      <c r="N337" s="573"/>
      <c r="O337" s="573"/>
      <c r="P337" s="573"/>
      <c r="Q337" s="573"/>
      <c r="S337" s="573"/>
      <c r="T337" s="438"/>
      <c r="U337" s="438"/>
      <c r="V337" s="438"/>
      <c r="W337" s="438"/>
      <c r="X337" s="438"/>
      <c r="Y337" s="438"/>
      <c r="Z337" s="438"/>
      <c r="AA337" s="438"/>
      <c r="AB337" s="438"/>
      <c r="AC337" s="438"/>
      <c r="AD337" s="438"/>
    </row>
    <row r="338" spans="1:30" s="405" customFormat="1" outlineLevel="1" x14ac:dyDescent="0.2">
      <c r="A338" s="505">
        <v>9</v>
      </c>
      <c r="B338" s="448" t="s">
        <v>536</v>
      </c>
      <c r="C338" s="448" t="s">
        <v>537</v>
      </c>
      <c r="D338" s="427">
        <v>131</v>
      </c>
      <c r="E338" s="423"/>
      <c r="F338" s="573"/>
      <c r="G338" s="573"/>
      <c r="H338" s="573"/>
      <c r="I338" s="573"/>
      <c r="J338" s="573"/>
      <c r="K338" s="573"/>
      <c r="L338" s="573"/>
      <c r="M338" s="573"/>
      <c r="N338" s="573"/>
      <c r="O338" s="573"/>
      <c r="P338" s="573"/>
      <c r="Q338" s="573"/>
      <c r="S338" s="573"/>
      <c r="T338" s="438"/>
      <c r="U338" s="438"/>
      <c r="V338" s="438"/>
      <c r="W338" s="438"/>
      <c r="X338" s="438"/>
      <c r="Y338" s="438"/>
      <c r="Z338" s="438"/>
      <c r="AA338" s="438"/>
      <c r="AB338" s="438"/>
      <c r="AC338" s="438"/>
      <c r="AD338" s="438"/>
    </row>
    <row r="339" spans="1:30" s="405" customFormat="1" outlineLevel="1" x14ac:dyDescent="0.2">
      <c r="A339" s="505">
        <v>10</v>
      </c>
      <c r="B339" s="448" t="s">
        <v>538</v>
      </c>
      <c r="C339" s="448" t="s">
        <v>539</v>
      </c>
      <c r="D339" s="427">
        <v>131</v>
      </c>
      <c r="E339" s="423"/>
      <c r="F339" s="573"/>
      <c r="G339" s="573"/>
      <c r="H339" s="573"/>
      <c r="I339" s="573"/>
      <c r="J339" s="573"/>
      <c r="K339" s="573"/>
      <c r="L339" s="573"/>
      <c r="M339" s="573"/>
      <c r="N339" s="573"/>
      <c r="O339" s="573"/>
      <c r="P339" s="573"/>
      <c r="Q339" s="573"/>
      <c r="S339" s="573"/>
      <c r="T339" s="438"/>
      <c r="U339" s="438"/>
      <c r="V339" s="438"/>
      <c r="W339" s="438"/>
      <c r="X339" s="438"/>
      <c r="Y339" s="438"/>
      <c r="Z339" s="438"/>
      <c r="AA339" s="438"/>
      <c r="AB339" s="438"/>
      <c r="AC339" s="438"/>
      <c r="AD339" s="438"/>
    </row>
    <row r="340" spans="1:30" s="405" customFormat="1" outlineLevel="1" x14ac:dyDescent="0.2">
      <c r="A340" s="505">
        <v>11</v>
      </c>
      <c r="B340" s="448" t="s">
        <v>540</v>
      </c>
      <c r="C340" s="448" t="s">
        <v>541</v>
      </c>
      <c r="D340" s="427">
        <v>131</v>
      </c>
      <c r="E340" s="423"/>
      <c r="F340" s="573"/>
      <c r="G340" s="573"/>
      <c r="H340" s="573"/>
      <c r="I340" s="573"/>
      <c r="J340" s="573"/>
      <c r="K340" s="573"/>
      <c r="L340" s="573"/>
      <c r="M340" s="573"/>
      <c r="N340" s="573"/>
      <c r="O340" s="573"/>
      <c r="P340" s="573"/>
      <c r="Q340" s="573"/>
      <c r="S340" s="573"/>
      <c r="T340" s="438"/>
      <c r="U340" s="438"/>
      <c r="V340" s="438"/>
      <c r="W340" s="438"/>
      <c r="X340" s="438"/>
      <c r="Y340" s="438"/>
      <c r="Z340" s="438"/>
      <c r="AA340" s="438"/>
      <c r="AB340" s="438"/>
      <c r="AC340" s="438"/>
      <c r="AD340" s="438"/>
    </row>
    <row r="341" spans="1:30" s="405" customFormat="1" outlineLevel="1" x14ac:dyDescent="0.2">
      <c r="A341" s="505">
        <v>12</v>
      </c>
      <c r="B341" s="448" t="s">
        <v>542</v>
      </c>
      <c r="C341" s="448" t="s">
        <v>543</v>
      </c>
      <c r="D341" s="427">
        <v>131</v>
      </c>
      <c r="E341" s="423"/>
      <c r="F341" s="573"/>
      <c r="G341" s="573"/>
      <c r="H341" s="573"/>
      <c r="I341" s="573"/>
      <c r="J341" s="573"/>
      <c r="K341" s="573"/>
      <c r="L341" s="573"/>
      <c r="M341" s="573"/>
      <c r="N341" s="573"/>
      <c r="O341" s="573"/>
      <c r="P341" s="573"/>
      <c r="Q341" s="573"/>
      <c r="S341" s="573"/>
      <c r="T341" s="438"/>
      <c r="U341" s="438"/>
      <c r="V341" s="438"/>
      <c r="W341" s="438"/>
      <c r="X341" s="438"/>
      <c r="Y341" s="438"/>
      <c r="Z341" s="438"/>
      <c r="AA341" s="438"/>
      <c r="AB341" s="438"/>
      <c r="AC341" s="438"/>
      <c r="AD341" s="438"/>
    </row>
    <row r="342" spans="1:30" s="405" customFormat="1" outlineLevel="1" x14ac:dyDescent="0.2">
      <c r="A342" s="505">
        <v>13</v>
      </c>
      <c r="B342" s="448" t="s">
        <v>544</v>
      </c>
      <c r="C342" s="448" t="s">
        <v>545</v>
      </c>
      <c r="D342" s="427">
        <v>131</v>
      </c>
      <c r="E342" s="423"/>
      <c r="F342" s="573"/>
      <c r="G342" s="573"/>
      <c r="H342" s="573"/>
      <c r="I342" s="573"/>
      <c r="J342" s="573"/>
      <c r="K342" s="573"/>
      <c r="L342" s="573"/>
      <c r="M342" s="573"/>
      <c r="N342" s="573"/>
      <c r="O342" s="573"/>
      <c r="P342" s="573"/>
      <c r="Q342" s="573"/>
      <c r="S342" s="573"/>
      <c r="T342" s="438"/>
      <c r="U342" s="438"/>
      <c r="V342" s="438"/>
      <c r="W342" s="438"/>
      <c r="X342" s="438"/>
      <c r="Y342" s="438"/>
      <c r="Z342" s="438"/>
      <c r="AA342" s="438"/>
      <c r="AB342" s="438"/>
      <c r="AC342" s="438"/>
      <c r="AD342" s="438"/>
    </row>
    <row r="343" spans="1:30" s="405" customFormat="1" outlineLevel="1" x14ac:dyDescent="0.2">
      <c r="A343" s="505">
        <v>14</v>
      </c>
      <c r="B343" s="450" t="s">
        <v>546</v>
      </c>
      <c r="C343" s="450" t="s">
        <v>547</v>
      </c>
      <c r="D343" s="427">
        <v>131</v>
      </c>
      <c r="E343" s="426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S343" s="574"/>
      <c r="T343" s="467"/>
      <c r="U343" s="467"/>
      <c r="V343" s="467"/>
      <c r="W343" s="467"/>
      <c r="X343" s="467"/>
      <c r="Y343" s="467"/>
      <c r="Z343" s="467"/>
      <c r="AA343" s="467"/>
      <c r="AB343" s="467"/>
      <c r="AC343" s="467"/>
      <c r="AD343" s="467"/>
    </row>
    <row r="344" spans="1:30" s="405" customFormat="1" outlineLevel="1" x14ac:dyDescent="0.2">
      <c r="A344" s="505">
        <v>15</v>
      </c>
      <c r="B344" s="450" t="s">
        <v>548</v>
      </c>
      <c r="C344" s="450" t="s">
        <v>549</v>
      </c>
      <c r="D344" s="427">
        <v>131</v>
      </c>
      <c r="E344" s="426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S344" s="574"/>
      <c r="T344" s="467"/>
      <c r="U344" s="467"/>
      <c r="V344" s="467"/>
      <c r="W344" s="467"/>
      <c r="X344" s="467"/>
      <c r="Y344" s="467"/>
      <c r="Z344" s="467"/>
      <c r="AA344" s="467"/>
      <c r="AB344" s="467"/>
      <c r="AC344" s="467"/>
      <c r="AD344" s="467"/>
    </row>
    <row r="345" spans="1:30" s="405" customFormat="1" outlineLevel="1" x14ac:dyDescent="0.2">
      <c r="A345" s="505">
        <v>16</v>
      </c>
      <c r="B345" s="450" t="s">
        <v>550</v>
      </c>
      <c r="C345" s="450" t="s">
        <v>551</v>
      </c>
      <c r="D345" s="427">
        <v>131</v>
      </c>
      <c r="E345" s="426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S345" s="574"/>
      <c r="T345" s="467"/>
      <c r="U345" s="467"/>
      <c r="V345" s="467"/>
      <c r="W345" s="467"/>
      <c r="X345" s="467"/>
      <c r="Y345" s="467"/>
      <c r="Z345" s="467"/>
      <c r="AA345" s="467"/>
      <c r="AB345" s="467"/>
      <c r="AC345" s="467"/>
      <c r="AD345" s="467"/>
    </row>
    <row r="346" spans="1:30" s="405" customFormat="1" outlineLevel="1" x14ac:dyDescent="0.2">
      <c r="A346" s="505">
        <v>17</v>
      </c>
      <c r="B346" s="450" t="s">
        <v>552</v>
      </c>
      <c r="C346" s="450" t="s">
        <v>553</v>
      </c>
      <c r="D346" s="427">
        <v>131</v>
      </c>
      <c r="E346" s="426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S346" s="574"/>
      <c r="T346" s="467"/>
      <c r="U346" s="467"/>
      <c r="V346" s="467"/>
      <c r="W346" s="467"/>
      <c r="X346" s="467"/>
      <c r="Y346" s="467"/>
      <c r="Z346" s="467"/>
      <c r="AA346" s="467"/>
      <c r="AB346" s="467"/>
      <c r="AC346" s="467"/>
      <c r="AD346" s="467"/>
    </row>
    <row r="347" spans="1:30" s="405" customFormat="1" outlineLevel="1" x14ac:dyDescent="0.2">
      <c r="A347" s="505">
        <v>18</v>
      </c>
      <c r="B347" s="448" t="s">
        <v>554</v>
      </c>
      <c r="C347" s="448" t="s">
        <v>555</v>
      </c>
      <c r="D347" s="427">
        <v>131</v>
      </c>
      <c r="E347" s="426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S347" s="574"/>
      <c r="T347" s="467"/>
      <c r="U347" s="467"/>
      <c r="V347" s="467"/>
      <c r="W347" s="467"/>
      <c r="X347" s="467"/>
      <c r="Y347" s="467"/>
      <c r="Z347" s="467"/>
      <c r="AA347" s="467"/>
      <c r="AB347" s="467"/>
      <c r="AC347" s="467"/>
      <c r="AD347" s="467"/>
    </row>
    <row r="348" spans="1:30" s="405" customFormat="1" outlineLevel="1" x14ac:dyDescent="0.2">
      <c r="A348" s="505">
        <v>19</v>
      </c>
      <c r="B348" s="452" t="s">
        <v>556</v>
      </c>
      <c r="C348" s="452" t="s">
        <v>557</v>
      </c>
      <c r="D348" s="427">
        <v>131</v>
      </c>
      <c r="E348" s="426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S348" s="574"/>
      <c r="T348" s="467"/>
      <c r="U348" s="467"/>
      <c r="V348" s="467"/>
      <c r="W348" s="467"/>
      <c r="X348" s="467"/>
      <c r="Y348" s="467"/>
      <c r="Z348" s="467"/>
      <c r="AA348" s="467"/>
      <c r="AB348" s="467"/>
      <c r="AC348" s="467"/>
      <c r="AD348" s="467"/>
    </row>
    <row r="349" spans="1:30" s="405" customFormat="1" outlineLevel="1" x14ac:dyDescent="0.2">
      <c r="A349" s="505">
        <v>20</v>
      </c>
      <c r="B349" s="450" t="s">
        <v>558</v>
      </c>
      <c r="C349" s="450" t="s">
        <v>559</v>
      </c>
      <c r="D349" s="427">
        <v>131</v>
      </c>
      <c r="E349" s="426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S349" s="574"/>
      <c r="T349" s="467"/>
      <c r="U349" s="467"/>
      <c r="V349" s="467"/>
      <c r="W349" s="467"/>
      <c r="X349" s="467"/>
      <c r="Y349" s="467"/>
      <c r="Z349" s="467"/>
      <c r="AA349" s="467"/>
      <c r="AB349" s="467"/>
      <c r="AC349" s="467"/>
      <c r="AD349" s="467"/>
    </row>
    <row r="350" spans="1:30" s="405" customFormat="1" outlineLevel="1" x14ac:dyDescent="0.2">
      <c r="A350" s="505">
        <v>21</v>
      </c>
      <c r="B350" s="450" t="s">
        <v>560</v>
      </c>
      <c r="C350" s="450" t="s">
        <v>561</v>
      </c>
      <c r="D350" s="427">
        <v>131</v>
      </c>
      <c r="E350" s="426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S350" s="574"/>
      <c r="T350" s="467"/>
      <c r="U350" s="467"/>
      <c r="V350" s="467"/>
      <c r="W350" s="467"/>
      <c r="X350" s="467"/>
      <c r="Y350" s="467"/>
      <c r="Z350" s="467"/>
      <c r="AA350" s="467"/>
      <c r="AB350" s="467"/>
      <c r="AC350" s="467"/>
      <c r="AD350" s="467"/>
    </row>
    <row r="351" spans="1:30" s="405" customFormat="1" outlineLevel="1" x14ac:dyDescent="0.2">
      <c r="A351" s="505">
        <v>22</v>
      </c>
      <c r="B351" s="450" t="s">
        <v>562</v>
      </c>
      <c r="C351" s="450" t="s">
        <v>563</v>
      </c>
      <c r="D351" s="427">
        <v>131</v>
      </c>
      <c r="E351" s="426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S351" s="574"/>
      <c r="T351" s="467"/>
      <c r="U351" s="467"/>
      <c r="V351" s="467"/>
      <c r="W351" s="467"/>
      <c r="X351" s="467"/>
      <c r="Y351" s="467"/>
      <c r="Z351" s="467"/>
      <c r="AA351" s="467"/>
      <c r="AB351" s="467"/>
      <c r="AC351" s="467"/>
      <c r="AD351" s="467"/>
    </row>
    <row r="352" spans="1:30" s="405" customFormat="1" x14ac:dyDescent="0.2">
      <c r="A352" s="501"/>
      <c r="B352" s="502"/>
      <c r="C352" s="502"/>
      <c r="D352" s="432"/>
      <c r="E352" s="432"/>
      <c r="F352" s="575"/>
      <c r="G352" s="575"/>
      <c r="H352" s="575"/>
      <c r="I352" s="575"/>
      <c r="J352" s="575"/>
      <c r="K352" s="575"/>
      <c r="L352" s="575"/>
      <c r="M352" s="575"/>
      <c r="N352" s="575"/>
      <c r="O352" s="575"/>
      <c r="P352" s="575"/>
      <c r="Q352" s="575"/>
      <c r="S352" s="575"/>
      <c r="T352" s="475"/>
      <c r="U352" s="475"/>
      <c r="V352" s="475"/>
      <c r="W352" s="475"/>
      <c r="X352" s="475"/>
      <c r="Y352" s="475"/>
      <c r="Z352" s="475"/>
      <c r="AA352" s="475"/>
      <c r="AB352" s="475"/>
      <c r="AC352" s="475"/>
      <c r="AD352" s="475"/>
    </row>
    <row r="353" spans="1:30" s="405" customFormat="1" x14ac:dyDescent="0.2">
      <c r="A353" s="539" t="s">
        <v>582</v>
      </c>
      <c r="B353" s="536" t="s">
        <v>618</v>
      </c>
      <c r="C353" s="526"/>
      <c r="D353" s="418"/>
      <c r="E353" s="418"/>
      <c r="F353" s="544" t="s">
        <v>615</v>
      </c>
      <c r="G353" s="544" t="s">
        <v>488</v>
      </c>
      <c r="H353" s="544" t="s">
        <v>489</v>
      </c>
      <c r="I353" s="544" t="s">
        <v>490</v>
      </c>
      <c r="J353" s="544" t="s">
        <v>491</v>
      </c>
      <c r="K353" s="544" t="s">
        <v>492</v>
      </c>
      <c r="L353" s="544" t="s">
        <v>493</v>
      </c>
      <c r="M353" s="544" t="s">
        <v>494</v>
      </c>
      <c r="N353" s="544" t="s">
        <v>495</v>
      </c>
      <c r="O353" s="544" t="s">
        <v>496</v>
      </c>
      <c r="P353" s="544" t="s">
        <v>497</v>
      </c>
      <c r="Q353" s="544" t="s">
        <v>498</v>
      </c>
      <c r="S353" s="544" t="s">
        <v>487</v>
      </c>
      <c r="T353" s="544" t="s">
        <v>488</v>
      </c>
      <c r="U353" s="544" t="s">
        <v>489</v>
      </c>
      <c r="V353" s="544" t="s">
        <v>490</v>
      </c>
      <c r="W353" s="544" t="s">
        <v>491</v>
      </c>
      <c r="X353" s="544" t="s">
        <v>492</v>
      </c>
      <c r="Y353" s="544" t="s">
        <v>493</v>
      </c>
      <c r="Z353" s="544" t="s">
        <v>494</v>
      </c>
      <c r="AA353" s="544" t="s">
        <v>495</v>
      </c>
      <c r="AB353" s="544" t="s">
        <v>496</v>
      </c>
      <c r="AC353" s="544" t="s">
        <v>497</v>
      </c>
      <c r="AD353" s="544" t="s">
        <v>498</v>
      </c>
    </row>
    <row r="354" spans="1:30" s="405" customFormat="1" outlineLevel="1" x14ac:dyDescent="0.2">
      <c r="A354" s="599">
        <v>1</v>
      </c>
      <c r="B354" s="613" t="s">
        <v>503</v>
      </c>
      <c r="C354" s="613" t="s">
        <v>504</v>
      </c>
      <c r="D354" s="612">
        <v>331</v>
      </c>
      <c r="E354" s="611"/>
      <c r="F354" s="630"/>
      <c r="G354" s="630"/>
      <c r="H354" s="630"/>
      <c r="I354" s="630"/>
      <c r="J354" s="630"/>
      <c r="K354" s="630"/>
      <c r="L354" s="630"/>
      <c r="M354" s="630"/>
      <c r="N354" s="630"/>
      <c r="O354" s="630"/>
      <c r="P354" s="630"/>
      <c r="Q354" s="630"/>
      <c r="S354" s="630">
        <v>23275862</v>
      </c>
      <c r="T354" s="605">
        <v>46551724</v>
      </c>
      <c r="U354" s="605">
        <v>23275862</v>
      </c>
      <c r="V354" s="605">
        <v>23275862</v>
      </c>
      <c r="W354" s="645">
        <v>23275862</v>
      </c>
      <c r="X354" s="605"/>
      <c r="Y354" s="605"/>
      <c r="Z354" s="605"/>
      <c r="AA354" s="605"/>
      <c r="AB354" s="605"/>
      <c r="AC354" s="605"/>
      <c r="AD354" s="605"/>
    </row>
    <row r="355" spans="1:30" s="405" customFormat="1" outlineLevel="1" x14ac:dyDescent="0.2">
      <c r="A355" s="431"/>
      <c r="B355" s="502"/>
      <c r="C355" s="502"/>
      <c r="D355" s="471">
        <v>338</v>
      </c>
      <c r="E355" s="507"/>
      <c r="F355" s="575"/>
      <c r="G355" s="575"/>
      <c r="H355" s="575"/>
      <c r="I355" s="575"/>
      <c r="J355" s="575"/>
      <c r="K355" s="575"/>
      <c r="L355" s="575"/>
      <c r="M355" s="575"/>
      <c r="N355" s="575"/>
      <c r="O355" s="575"/>
      <c r="P355" s="575"/>
      <c r="Q355" s="575"/>
      <c r="S355" s="575"/>
      <c r="T355" s="475"/>
      <c r="U355" s="475"/>
      <c r="V355" s="475"/>
      <c r="W355" s="475"/>
      <c r="X355" s="475"/>
      <c r="Y355" s="475"/>
      <c r="Z355" s="475"/>
      <c r="AA355" s="475"/>
      <c r="AB355" s="475"/>
      <c r="AC355" s="475"/>
      <c r="AD355" s="475"/>
    </row>
    <row r="356" spans="1:30" s="586" customFormat="1" x14ac:dyDescent="0.2">
      <c r="A356" s="595">
        <v>2</v>
      </c>
      <c r="B356" s="625" t="s">
        <v>513</v>
      </c>
      <c r="C356" s="625" t="s">
        <v>514</v>
      </c>
      <c r="D356" s="626">
        <v>331</v>
      </c>
      <c r="E356" s="627"/>
      <c r="F356" s="631">
        <v>2531363669</v>
      </c>
      <c r="G356" s="631">
        <v>2531363669</v>
      </c>
      <c r="H356" s="631">
        <v>2531363669</v>
      </c>
      <c r="I356" s="631">
        <v>3049763669</v>
      </c>
      <c r="J356" s="631">
        <v>3068712269</v>
      </c>
      <c r="K356" s="631">
        <v>3068712269</v>
      </c>
      <c r="L356" s="631">
        <v>3068712269</v>
      </c>
      <c r="M356" s="631">
        <v>3068712269</v>
      </c>
      <c r="N356" s="631">
        <v>3068712269</v>
      </c>
      <c r="O356" s="631">
        <v>3068712269</v>
      </c>
      <c r="P356" s="631">
        <v>3068712269</v>
      </c>
      <c r="Q356" s="635">
        <v>121689000</v>
      </c>
      <c r="S356" s="631">
        <v>121689000</v>
      </c>
      <c r="T356" s="629">
        <v>522643162</v>
      </c>
      <c r="U356" s="629">
        <v>833463000</v>
      </c>
      <c r="V356" s="629">
        <v>833463000</v>
      </c>
      <c r="W356" s="645">
        <v>116586000</v>
      </c>
      <c r="X356" s="629"/>
      <c r="Y356" s="629"/>
      <c r="Z356" s="629"/>
      <c r="AA356" s="629"/>
      <c r="AB356" s="629"/>
      <c r="AC356" s="629"/>
      <c r="AD356" s="629"/>
    </row>
    <row r="357" spans="1:30" s="405" customFormat="1" x14ac:dyDescent="0.2">
      <c r="A357" s="431"/>
      <c r="B357" s="502"/>
      <c r="C357" s="502"/>
      <c r="D357" s="471">
        <v>338</v>
      </c>
      <c r="E357" s="507"/>
      <c r="F357" s="575"/>
      <c r="G357" s="575"/>
      <c r="H357" s="575"/>
      <c r="I357" s="575"/>
      <c r="J357" s="575"/>
      <c r="K357" s="575"/>
      <c r="L357" s="575"/>
      <c r="M357" s="575"/>
      <c r="N357" s="575"/>
      <c r="O357" s="575"/>
      <c r="P357" s="575"/>
      <c r="Q357" s="575"/>
      <c r="S357" s="575"/>
      <c r="T357" s="475"/>
      <c r="U357" s="475"/>
      <c r="V357" s="475"/>
      <c r="W357" s="475"/>
      <c r="X357" s="475"/>
      <c r="Y357" s="475"/>
      <c r="Z357" s="475"/>
      <c r="AA357" s="475"/>
      <c r="AB357" s="475"/>
      <c r="AC357" s="475"/>
      <c r="AD357" s="475"/>
    </row>
    <row r="358" spans="1:30" s="405" customFormat="1" x14ac:dyDescent="0.2">
      <c r="A358" s="599">
        <v>3</v>
      </c>
      <c r="B358" s="613" t="s">
        <v>519</v>
      </c>
      <c r="C358" s="613" t="s">
        <v>520</v>
      </c>
      <c r="D358" s="612">
        <v>331</v>
      </c>
      <c r="E358" s="611"/>
      <c r="F358" s="630"/>
      <c r="G358" s="630"/>
      <c r="H358" s="630"/>
      <c r="I358" s="630"/>
      <c r="J358" s="630"/>
      <c r="K358" s="630"/>
      <c r="L358" s="630"/>
      <c r="M358" s="630"/>
      <c r="N358" s="630"/>
      <c r="O358" s="630"/>
      <c r="P358" s="630"/>
      <c r="Q358" s="630"/>
      <c r="S358" s="630"/>
      <c r="T358" s="605"/>
      <c r="U358" s="605"/>
      <c r="V358" s="605"/>
      <c r="W358" s="605"/>
      <c r="X358" s="605"/>
      <c r="Y358" s="605"/>
      <c r="Z358" s="605"/>
      <c r="AA358" s="605"/>
      <c r="AB358" s="605"/>
      <c r="AC358" s="605"/>
      <c r="AD358" s="605"/>
    </row>
    <row r="359" spans="1:30" s="405" customFormat="1" x14ac:dyDescent="0.2">
      <c r="A359" s="431"/>
      <c r="B359" s="502"/>
      <c r="C359" s="502"/>
      <c r="D359" s="471">
        <v>338</v>
      </c>
      <c r="E359" s="507"/>
      <c r="F359" s="575"/>
      <c r="G359" s="575"/>
      <c r="H359" s="575"/>
      <c r="I359" s="575"/>
      <c r="J359" s="575"/>
      <c r="K359" s="575"/>
      <c r="L359" s="575"/>
      <c r="M359" s="575"/>
      <c r="N359" s="575"/>
      <c r="O359" s="575"/>
      <c r="P359" s="575"/>
      <c r="Q359" s="575"/>
      <c r="S359" s="575"/>
      <c r="T359" s="475"/>
      <c r="U359" s="475"/>
      <c r="V359" s="475"/>
      <c r="W359" s="475"/>
      <c r="X359" s="475"/>
      <c r="Y359" s="475"/>
      <c r="Z359" s="475"/>
      <c r="AA359" s="475"/>
      <c r="AB359" s="475"/>
      <c r="AC359" s="475"/>
      <c r="AD359" s="475"/>
    </row>
    <row r="360" spans="1:30" s="640" customFormat="1" x14ac:dyDescent="0.2">
      <c r="A360" s="607">
        <v>4</v>
      </c>
      <c r="B360" s="636" t="s">
        <v>522</v>
      </c>
      <c r="C360" s="636" t="s">
        <v>523</v>
      </c>
      <c r="D360" s="637">
        <v>331</v>
      </c>
      <c r="E360" s="638"/>
      <c r="F360" s="639">
        <v>1569335040</v>
      </c>
      <c r="G360" s="639">
        <v>1569335040</v>
      </c>
      <c r="H360" s="639">
        <v>1569335040</v>
      </c>
      <c r="I360" s="639">
        <v>1569335040</v>
      </c>
      <c r="J360" s="639">
        <v>1445024880</v>
      </c>
      <c r="K360" s="639">
        <v>1340146080</v>
      </c>
      <c r="L360" s="639">
        <v>1340146080</v>
      </c>
      <c r="M360" s="639">
        <v>982575360</v>
      </c>
      <c r="N360" s="639"/>
      <c r="O360" s="639"/>
      <c r="P360" s="639"/>
      <c r="Q360" s="639"/>
      <c r="S360" s="639"/>
      <c r="T360" s="641"/>
      <c r="U360" s="641"/>
      <c r="V360" s="641"/>
      <c r="W360" s="641"/>
      <c r="X360" s="641"/>
      <c r="Y360" s="641"/>
      <c r="Z360" s="641"/>
      <c r="AA360" s="641"/>
      <c r="AB360" s="641"/>
      <c r="AC360" s="641"/>
      <c r="AD360" s="641"/>
    </row>
    <row r="361" spans="1:30" s="405" customFormat="1" x14ac:dyDescent="0.2">
      <c r="A361" s="431"/>
      <c r="B361" s="502"/>
      <c r="C361" s="502"/>
      <c r="D361" s="471">
        <v>338</v>
      </c>
      <c r="E361" s="507"/>
      <c r="F361" s="575"/>
      <c r="G361" s="575"/>
      <c r="H361" s="575"/>
      <c r="I361" s="575"/>
      <c r="J361" s="575"/>
      <c r="K361" s="575"/>
      <c r="L361" s="575"/>
      <c r="M361" s="575"/>
      <c r="N361" s="575"/>
      <c r="O361" s="575"/>
      <c r="P361" s="575"/>
      <c r="Q361" s="575"/>
      <c r="S361" s="575"/>
      <c r="T361" s="475"/>
      <c r="U361" s="475"/>
      <c r="V361" s="475"/>
      <c r="W361" s="475"/>
      <c r="X361" s="475"/>
      <c r="Y361" s="475"/>
      <c r="Z361" s="475"/>
      <c r="AA361" s="475"/>
      <c r="AB361" s="475"/>
      <c r="AC361" s="475"/>
      <c r="AD361" s="475"/>
    </row>
    <row r="362" spans="1:30" s="405" customFormat="1" x14ac:dyDescent="0.2">
      <c r="A362" s="599">
        <v>5</v>
      </c>
      <c r="B362" s="613" t="s">
        <v>524</v>
      </c>
      <c r="C362" s="613" t="s">
        <v>525</v>
      </c>
      <c r="D362" s="612">
        <v>331</v>
      </c>
      <c r="E362" s="611"/>
      <c r="F362" s="630">
        <v>1270465560</v>
      </c>
      <c r="G362" s="630">
        <v>1270465560</v>
      </c>
      <c r="H362" s="630"/>
      <c r="I362" s="630"/>
      <c r="J362" s="630"/>
      <c r="K362" s="630"/>
      <c r="L362" s="630"/>
      <c r="M362" s="630"/>
      <c r="N362" s="630"/>
      <c r="O362" s="630"/>
      <c r="P362" s="630"/>
      <c r="Q362" s="630"/>
      <c r="S362" s="630"/>
      <c r="T362" s="605"/>
      <c r="U362" s="605"/>
      <c r="V362" s="605"/>
      <c r="W362" s="605"/>
      <c r="X362" s="605"/>
      <c r="Y362" s="605"/>
      <c r="Z362" s="605"/>
      <c r="AA362" s="605"/>
      <c r="AB362" s="605"/>
      <c r="AC362" s="605"/>
      <c r="AD362" s="605"/>
    </row>
    <row r="363" spans="1:30" s="405" customFormat="1" x14ac:dyDescent="0.2">
      <c r="A363" s="431"/>
      <c r="B363" s="502"/>
      <c r="C363" s="502"/>
      <c r="D363" s="471">
        <v>338</v>
      </c>
      <c r="E363" s="507"/>
      <c r="F363" s="575"/>
      <c r="G363" s="575"/>
      <c r="H363" s="575"/>
      <c r="I363" s="575"/>
      <c r="J363" s="575"/>
      <c r="K363" s="575"/>
      <c r="L363" s="575"/>
      <c r="M363" s="575"/>
      <c r="N363" s="575"/>
      <c r="O363" s="575"/>
      <c r="P363" s="575"/>
      <c r="Q363" s="575"/>
      <c r="S363" s="575"/>
      <c r="T363" s="475"/>
      <c r="U363" s="475"/>
      <c r="V363" s="475"/>
      <c r="W363" s="475"/>
      <c r="X363" s="475"/>
      <c r="Y363" s="475"/>
      <c r="Z363" s="475"/>
      <c r="AA363" s="475"/>
      <c r="AB363" s="475"/>
      <c r="AC363" s="475"/>
      <c r="AD363" s="475"/>
    </row>
    <row r="364" spans="1:30" s="405" customFormat="1" x14ac:dyDescent="0.2">
      <c r="A364" s="599">
        <v>6</v>
      </c>
      <c r="B364" s="613" t="s">
        <v>527</v>
      </c>
      <c r="C364" s="613" t="s">
        <v>528</v>
      </c>
      <c r="D364" s="612">
        <v>331</v>
      </c>
      <c r="E364" s="611"/>
      <c r="F364" s="630"/>
      <c r="G364" s="630"/>
      <c r="H364" s="630"/>
      <c r="I364" s="630"/>
      <c r="J364" s="630"/>
      <c r="K364" s="630"/>
      <c r="L364" s="630"/>
      <c r="M364" s="630"/>
      <c r="N364" s="630"/>
      <c r="O364" s="630"/>
      <c r="P364" s="630"/>
      <c r="Q364" s="630"/>
      <c r="S364" s="630"/>
      <c r="T364" s="605"/>
      <c r="U364" s="605"/>
      <c r="V364" s="605"/>
      <c r="W364" s="605"/>
      <c r="X364" s="605"/>
      <c r="Y364" s="605"/>
      <c r="Z364" s="605"/>
      <c r="AA364" s="605"/>
      <c r="AB364" s="605"/>
      <c r="AC364" s="605"/>
      <c r="AD364" s="605"/>
    </row>
    <row r="365" spans="1:30" s="405" customFormat="1" outlineLevel="1" x14ac:dyDescent="0.2">
      <c r="A365" s="431"/>
      <c r="B365" s="502"/>
      <c r="C365" s="502"/>
      <c r="D365" s="471">
        <v>338</v>
      </c>
      <c r="E365" s="432"/>
      <c r="F365" s="575"/>
      <c r="G365" s="575"/>
      <c r="H365" s="575"/>
      <c r="I365" s="575"/>
      <c r="J365" s="575"/>
      <c r="K365" s="575"/>
      <c r="L365" s="575"/>
      <c r="M365" s="575"/>
      <c r="N365" s="575"/>
      <c r="O365" s="575"/>
      <c r="P365" s="575"/>
      <c r="Q365" s="575"/>
      <c r="S365" s="575"/>
      <c r="T365" s="475"/>
      <c r="U365" s="475"/>
      <c r="V365" s="475"/>
      <c r="W365" s="475"/>
      <c r="X365" s="475"/>
      <c r="Y365" s="475"/>
      <c r="Z365" s="475"/>
      <c r="AA365" s="475"/>
      <c r="AB365" s="475"/>
      <c r="AC365" s="475"/>
      <c r="AD365" s="475"/>
    </row>
    <row r="366" spans="1:30" s="405" customFormat="1" outlineLevel="1" x14ac:dyDescent="0.2">
      <c r="A366" s="599">
        <v>7</v>
      </c>
      <c r="B366" s="600" t="s">
        <v>531</v>
      </c>
      <c r="C366" s="600" t="s">
        <v>532</v>
      </c>
      <c r="D366" s="612">
        <v>331</v>
      </c>
      <c r="E366" s="632"/>
      <c r="F366" s="630"/>
      <c r="G366" s="630"/>
      <c r="H366" s="630"/>
      <c r="I366" s="630"/>
      <c r="J366" s="630"/>
      <c r="K366" s="630"/>
      <c r="L366" s="630"/>
      <c r="M366" s="630"/>
      <c r="N366" s="630"/>
      <c r="O366" s="630"/>
      <c r="P366" s="630"/>
      <c r="Q366" s="630"/>
      <c r="S366" s="630"/>
      <c r="T366" s="605"/>
      <c r="U366" s="605"/>
      <c r="V366" s="605"/>
      <c r="W366" s="605"/>
      <c r="X366" s="605"/>
      <c r="Y366" s="605"/>
      <c r="Z366" s="605"/>
      <c r="AA366" s="605"/>
      <c r="AB366" s="605"/>
      <c r="AC366" s="605"/>
      <c r="AD366" s="605"/>
    </row>
    <row r="367" spans="1:30" s="405" customFormat="1" outlineLevel="1" x14ac:dyDescent="0.2">
      <c r="A367" s="431"/>
      <c r="B367" s="502"/>
      <c r="C367" s="502"/>
      <c r="D367" s="471">
        <v>338</v>
      </c>
      <c r="E367" s="508"/>
      <c r="F367" s="575"/>
      <c r="G367" s="575"/>
      <c r="H367" s="575"/>
      <c r="I367" s="575"/>
      <c r="J367" s="575"/>
      <c r="K367" s="575"/>
      <c r="L367" s="575"/>
      <c r="M367" s="575"/>
      <c r="N367" s="575"/>
      <c r="O367" s="575"/>
      <c r="P367" s="575"/>
      <c r="Q367" s="575"/>
      <c r="S367" s="575"/>
      <c r="T367" s="475"/>
      <c r="U367" s="475"/>
      <c r="V367" s="475"/>
      <c r="W367" s="475"/>
      <c r="X367" s="475"/>
      <c r="Y367" s="475"/>
      <c r="Z367" s="475"/>
      <c r="AA367" s="475"/>
      <c r="AB367" s="475"/>
      <c r="AC367" s="475"/>
      <c r="AD367" s="475"/>
    </row>
    <row r="368" spans="1:30" s="405" customFormat="1" outlineLevel="1" x14ac:dyDescent="0.2">
      <c r="A368" s="599">
        <v>8</v>
      </c>
      <c r="B368" s="613" t="s">
        <v>533</v>
      </c>
      <c r="C368" s="613" t="s">
        <v>534</v>
      </c>
      <c r="D368" s="612">
        <v>331</v>
      </c>
      <c r="E368" s="611"/>
      <c r="F368" s="630"/>
      <c r="G368" s="630"/>
      <c r="H368" s="630"/>
      <c r="I368" s="630"/>
      <c r="J368" s="630"/>
      <c r="K368" s="630"/>
      <c r="L368" s="630"/>
      <c r="M368" s="630"/>
      <c r="N368" s="630"/>
      <c r="O368" s="630"/>
      <c r="P368" s="630"/>
      <c r="Q368" s="630"/>
      <c r="S368" s="630"/>
      <c r="T368" s="605"/>
      <c r="U368" s="605"/>
      <c r="V368" s="605"/>
      <c r="W368" s="645">
        <v>3300000</v>
      </c>
      <c r="X368" s="605"/>
      <c r="Y368" s="605"/>
      <c r="Z368" s="605"/>
      <c r="AA368" s="605"/>
      <c r="AB368" s="605"/>
      <c r="AC368" s="605"/>
      <c r="AD368" s="605"/>
    </row>
    <row r="369" spans="1:30" s="405" customFormat="1" outlineLevel="1" x14ac:dyDescent="0.2">
      <c r="A369" s="431"/>
      <c r="B369" s="502"/>
      <c r="C369" s="502"/>
      <c r="D369" s="471">
        <v>338</v>
      </c>
      <c r="E369" s="507"/>
      <c r="F369" s="575"/>
      <c r="G369" s="575"/>
      <c r="H369" s="575"/>
      <c r="I369" s="575"/>
      <c r="J369" s="575"/>
      <c r="K369" s="575"/>
      <c r="L369" s="575"/>
      <c r="M369" s="575"/>
      <c r="N369" s="575"/>
      <c r="O369" s="575"/>
      <c r="P369" s="575"/>
      <c r="Q369" s="575"/>
      <c r="S369" s="575"/>
      <c r="T369" s="475"/>
      <c r="U369" s="475"/>
      <c r="V369" s="475"/>
      <c r="W369" s="475"/>
      <c r="X369" s="475"/>
      <c r="Y369" s="475"/>
      <c r="Z369" s="475"/>
      <c r="AA369" s="475"/>
      <c r="AB369" s="475"/>
      <c r="AC369" s="475"/>
      <c r="AD369" s="475"/>
    </row>
    <row r="370" spans="1:30" s="405" customFormat="1" outlineLevel="1" x14ac:dyDescent="0.2">
      <c r="A370" s="599">
        <v>9</v>
      </c>
      <c r="B370" s="613" t="s">
        <v>536</v>
      </c>
      <c r="C370" s="613" t="s">
        <v>537</v>
      </c>
      <c r="D370" s="612">
        <v>331</v>
      </c>
      <c r="E370" s="611"/>
      <c r="F370" s="630"/>
      <c r="G370" s="630"/>
      <c r="H370" s="630"/>
      <c r="I370" s="630"/>
      <c r="J370" s="630"/>
      <c r="K370" s="630"/>
      <c r="L370" s="630"/>
      <c r="M370" s="630"/>
      <c r="N370" s="630"/>
      <c r="O370" s="630"/>
      <c r="P370" s="630"/>
      <c r="Q370" s="630"/>
      <c r="S370" s="630">
        <v>103796000</v>
      </c>
      <c r="T370" s="605">
        <v>103796000</v>
      </c>
      <c r="U370" s="605"/>
      <c r="V370" s="605">
        <v>110616000</v>
      </c>
      <c r="W370" s="645">
        <v>92048000</v>
      </c>
      <c r="X370" s="605"/>
      <c r="Y370" s="605"/>
      <c r="Z370" s="605"/>
      <c r="AA370" s="605"/>
      <c r="AB370" s="605"/>
      <c r="AC370" s="605"/>
      <c r="AD370" s="605"/>
    </row>
    <row r="371" spans="1:30" s="405" customFormat="1" outlineLevel="1" x14ac:dyDescent="0.2">
      <c r="A371" s="431"/>
      <c r="B371" s="502"/>
      <c r="C371" s="502"/>
      <c r="D371" s="471">
        <v>338</v>
      </c>
      <c r="E371" s="507"/>
      <c r="F371" s="575"/>
      <c r="G371" s="575"/>
      <c r="H371" s="575"/>
      <c r="I371" s="575"/>
      <c r="J371" s="575"/>
      <c r="K371" s="575"/>
      <c r="L371" s="575"/>
      <c r="M371" s="575"/>
      <c r="N371" s="575"/>
      <c r="O371" s="575"/>
      <c r="P371" s="575"/>
      <c r="Q371" s="575"/>
      <c r="S371" s="575"/>
      <c r="T371" s="475"/>
      <c r="U371" s="475"/>
      <c r="V371" s="475"/>
      <c r="W371" s="475"/>
      <c r="X371" s="475"/>
      <c r="Y371" s="475"/>
      <c r="Z371" s="475"/>
      <c r="AA371" s="475"/>
      <c r="AB371" s="475"/>
      <c r="AC371" s="475"/>
      <c r="AD371" s="475"/>
    </row>
    <row r="372" spans="1:30" s="405" customFormat="1" outlineLevel="1" x14ac:dyDescent="0.2">
      <c r="A372" s="599">
        <v>10</v>
      </c>
      <c r="B372" s="613" t="s">
        <v>538</v>
      </c>
      <c r="C372" s="613" t="s">
        <v>539</v>
      </c>
      <c r="D372" s="612">
        <v>331</v>
      </c>
      <c r="E372" s="611"/>
      <c r="F372" s="630"/>
      <c r="G372" s="630"/>
      <c r="H372" s="630"/>
      <c r="I372" s="630"/>
      <c r="J372" s="630"/>
      <c r="K372" s="630"/>
      <c r="L372" s="630"/>
      <c r="M372" s="630"/>
      <c r="N372" s="630"/>
      <c r="O372" s="630"/>
      <c r="P372" s="630"/>
      <c r="Q372" s="630"/>
      <c r="S372" s="630"/>
      <c r="T372" s="605"/>
      <c r="U372" s="605"/>
      <c r="V372" s="605"/>
      <c r="W372" s="605"/>
      <c r="X372" s="605"/>
      <c r="Y372" s="605"/>
      <c r="Z372" s="605"/>
      <c r="AA372" s="605"/>
      <c r="AB372" s="605"/>
      <c r="AC372" s="605"/>
      <c r="AD372" s="605"/>
    </row>
    <row r="373" spans="1:30" s="405" customFormat="1" outlineLevel="1" x14ac:dyDescent="0.2">
      <c r="A373" s="431"/>
      <c r="B373" s="502"/>
      <c r="C373" s="502"/>
      <c r="D373" s="471">
        <v>338</v>
      </c>
      <c r="E373" s="507"/>
      <c r="F373" s="575"/>
      <c r="G373" s="575"/>
      <c r="H373" s="575"/>
      <c r="I373" s="575"/>
      <c r="J373" s="575"/>
      <c r="K373" s="575"/>
      <c r="L373" s="575"/>
      <c r="M373" s="575"/>
      <c r="N373" s="575"/>
      <c r="O373" s="575"/>
      <c r="P373" s="575"/>
      <c r="Q373" s="575"/>
      <c r="S373" s="575"/>
      <c r="T373" s="475"/>
      <c r="U373" s="475"/>
      <c r="V373" s="475"/>
      <c r="W373" s="475"/>
      <c r="X373" s="475"/>
      <c r="Y373" s="475"/>
      <c r="Z373" s="475"/>
      <c r="AA373" s="475"/>
      <c r="AB373" s="475"/>
      <c r="AC373" s="475"/>
      <c r="AD373" s="475"/>
    </row>
    <row r="374" spans="1:30" s="405" customFormat="1" outlineLevel="1" x14ac:dyDescent="0.2">
      <c r="A374" s="599">
        <v>11</v>
      </c>
      <c r="B374" s="613" t="s">
        <v>540</v>
      </c>
      <c r="C374" s="613" t="s">
        <v>541</v>
      </c>
      <c r="D374" s="612">
        <v>331</v>
      </c>
      <c r="E374" s="611"/>
      <c r="F374" s="630"/>
      <c r="G374" s="630"/>
      <c r="H374" s="630"/>
      <c r="I374" s="630"/>
      <c r="J374" s="630"/>
      <c r="K374" s="630"/>
      <c r="L374" s="630"/>
      <c r="M374" s="630"/>
      <c r="N374" s="630"/>
      <c r="O374" s="630"/>
      <c r="P374" s="630"/>
      <c r="Q374" s="630"/>
      <c r="S374" s="630">
        <v>177100000</v>
      </c>
      <c r="T374" s="605">
        <v>177100000</v>
      </c>
      <c r="U374" s="605">
        <v>547560000</v>
      </c>
      <c r="V374" s="605"/>
      <c r="W374" s="645">
        <v>286000000</v>
      </c>
      <c r="X374" s="605"/>
      <c r="Y374" s="605"/>
      <c r="Z374" s="605"/>
      <c r="AA374" s="605"/>
      <c r="AB374" s="605"/>
      <c r="AC374" s="605"/>
      <c r="AD374" s="605"/>
    </row>
    <row r="375" spans="1:30" s="405" customFormat="1" outlineLevel="1" x14ac:dyDescent="0.2">
      <c r="A375" s="431"/>
      <c r="B375" s="502"/>
      <c r="C375" s="502"/>
      <c r="D375" s="471">
        <v>338</v>
      </c>
      <c r="E375" s="507"/>
      <c r="F375" s="575"/>
      <c r="G375" s="575"/>
      <c r="H375" s="575"/>
      <c r="I375" s="575"/>
      <c r="J375" s="575"/>
      <c r="K375" s="575"/>
      <c r="L375" s="575"/>
      <c r="M375" s="575"/>
      <c r="N375" s="575"/>
      <c r="O375" s="575"/>
      <c r="P375" s="575"/>
      <c r="Q375" s="575"/>
      <c r="S375" s="575"/>
      <c r="T375" s="475"/>
      <c r="U375" s="475"/>
      <c r="V375" s="475"/>
      <c r="W375" s="475"/>
      <c r="X375" s="475"/>
      <c r="Y375" s="475"/>
      <c r="Z375" s="475"/>
      <c r="AA375" s="475"/>
      <c r="AB375" s="475"/>
      <c r="AC375" s="475"/>
      <c r="AD375" s="475"/>
    </row>
    <row r="376" spans="1:30" s="405" customFormat="1" outlineLevel="1" x14ac:dyDescent="0.2">
      <c r="A376" s="599">
        <v>12</v>
      </c>
      <c r="B376" s="613" t="s">
        <v>542</v>
      </c>
      <c r="C376" s="613" t="s">
        <v>543</v>
      </c>
      <c r="D376" s="612">
        <v>331</v>
      </c>
      <c r="E376" s="611"/>
      <c r="F376" s="630"/>
      <c r="G376" s="630"/>
      <c r="H376" s="630"/>
      <c r="I376" s="630"/>
      <c r="J376" s="630"/>
      <c r="K376" s="630"/>
      <c r="L376" s="630"/>
      <c r="M376" s="630"/>
      <c r="N376" s="630"/>
      <c r="O376" s="630"/>
      <c r="P376" s="630"/>
      <c r="Q376" s="630"/>
      <c r="S376" s="630"/>
      <c r="T376" s="605"/>
      <c r="U376" s="605"/>
      <c r="V376" s="605"/>
      <c r="W376" s="605"/>
      <c r="X376" s="605"/>
      <c r="Y376" s="605"/>
      <c r="Z376" s="605"/>
      <c r="AA376" s="605"/>
      <c r="AB376" s="605"/>
      <c r="AC376" s="605"/>
      <c r="AD376" s="605"/>
    </row>
    <row r="377" spans="1:30" s="405" customFormat="1" outlineLevel="1" x14ac:dyDescent="0.2">
      <c r="A377" s="431"/>
      <c r="B377" s="502"/>
      <c r="C377" s="502"/>
      <c r="D377" s="471">
        <v>338</v>
      </c>
      <c r="E377" s="507"/>
      <c r="F377" s="575"/>
      <c r="G377" s="575"/>
      <c r="H377" s="575"/>
      <c r="I377" s="575"/>
      <c r="J377" s="575"/>
      <c r="K377" s="575"/>
      <c r="L377" s="575"/>
      <c r="M377" s="575"/>
      <c r="N377" s="575"/>
      <c r="O377" s="575"/>
      <c r="P377" s="575"/>
      <c r="Q377" s="575"/>
      <c r="S377" s="575"/>
      <c r="T377" s="475"/>
      <c r="U377" s="475"/>
      <c r="V377" s="475"/>
      <c r="W377" s="475"/>
      <c r="X377" s="475"/>
      <c r="Y377" s="475"/>
      <c r="Z377" s="475"/>
      <c r="AA377" s="475"/>
      <c r="AB377" s="475"/>
      <c r="AC377" s="475"/>
      <c r="AD377" s="475"/>
    </row>
    <row r="378" spans="1:30" s="405" customFormat="1" outlineLevel="1" x14ac:dyDescent="0.2">
      <c r="A378" s="599">
        <v>13</v>
      </c>
      <c r="B378" s="613" t="s">
        <v>544</v>
      </c>
      <c r="C378" s="613" t="s">
        <v>545</v>
      </c>
      <c r="D378" s="612">
        <v>331</v>
      </c>
      <c r="E378" s="611"/>
      <c r="F378" s="630"/>
      <c r="G378" s="630"/>
      <c r="H378" s="630"/>
      <c r="I378" s="630"/>
      <c r="J378" s="630"/>
      <c r="K378" s="630"/>
      <c r="L378" s="630"/>
      <c r="M378" s="630"/>
      <c r="N378" s="630"/>
      <c r="O378" s="630"/>
      <c r="P378" s="630"/>
      <c r="Q378" s="630"/>
      <c r="S378" s="630"/>
      <c r="T378" s="605"/>
      <c r="U378" s="605"/>
      <c r="V378" s="605"/>
      <c r="W378" s="605"/>
      <c r="X378" s="605"/>
      <c r="Y378" s="605"/>
      <c r="Z378" s="605"/>
      <c r="AA378" s="605"/>
      <c r="AB378" s="605"/>
      <c r="AC378" s="605"/>
      <c r="AD378" s="605"/>
    </row>
    <row r="379" spans="1:30" s="405" customFormat="1" outlineLevel="1" x14ac:dyDescent="0.2">
      <c r="A379" s="431"/>
      <c r="B379" s="502"/>
      <c r="C379" s="502"/>
      <c r="D379" s="471">
        <v>338</v>
      </c>
      <c r="E379" s="507"/>
      <c r="F379" s="575"/>
      <c r="G379" s="575"/>
      <c r="H379" s="575"/>
      <c r="I379" s="575"/>
      <c r="J379" s="575"/>
      <c r="K379" s="575"/>
      <c r="L379" s="575"/>
      <c r="M379" s="575"/>
      <c r="N379" s="575"/>
      <c r="O379" s="575"/>
      <c r="P379" s="575"/>
      <c r="Q379" s="575"/>
      <c r="S379" s="575"/>
      <c r="T379" s="475"/>
      <c r="U379" s="475"/>
      <c r="V379" s="475"/>
      <c r="W379" s="475"/>
      <c r="X379" s="475"/>
      <c r="Y379" s="475"/>
      <c r="Z379" s="475"/>
      <c r="AA379" s="475"/>
      <c r="AB379" s="475"/>
      <c r="AC379" s="475"/>
      <c r="AD379" s="475"/>
    </row>
    <row r="380" spans="1:30" s="405" customFormat="1" outlineLevel="1" x14ac:dyDescent="0.2">
      <c r="A380" s="599">
        <v>14</v>
      </c>
      <c r="B380" s="613" t="s">
        <v>546</v>
      </c>
      <c r="C380" s="613" t="s">
        <v>547</v>
      </c>
      <c r="D380" s="612">
        <v>331</v>
      </c>
      <c r="E380" s="611"/>
      <c r="F380" s="630"/>
      <c r="G380" s="630"/>
      <c r="H380" s="630"/>
      <c r="I380" s="630"/>
      <c r="J380" s="630"/>
      <c r="K380" s="630"/>
      <c r="L380" s="630"/>
      <c r="M380" s="630"/>
      <c r="N380" s="630"/>
      <c r="O380" s="630"/>
      <c r="P380" s="630"/>
      <c r="Q380" s="630"/>
      <c r="S380" s="630"/>
      <c r="T380" s="605"/>
      <c r="U380" s="605"/>
      <c r="V380" s="605"/>
      <c r="W380" s="605"/>
      <c r="X380" s="605"/>
      <c r="Y380" s="605"/>
      <c r="Z380" s="605"/>
      <c r="AA380" s="605"/>
      <c r="AB380" s="605"/>
      <c r="AC380" s="605"/>
      <c r="AD380" s="605"/>
    </row>
    <row r="381" spans="1:30" s="405" customFormat="1" outlineLevel="1" x14ac:dyDescent="0.2">
      <c r="A381" s="431"/>
      <c r="B381" s="502"/>
      <c r="C381" s="502"/>
      <c r="D381" s="471">
        <v>338</v>
      </c>
      <c r="E381" s="507"/>
      <c r="F381" s="575"/>
      <c r="G381" s="575"/>
      <c r="H381" s="575"/>
      <c r="I381" s="575"/>
      <c r="J381" s="575"/>
      <c r="K381" s="575"/>
      <c r="L381" s="575"/>
      <c r="M381" s="575"/>
      <c r="N381" s="575"/>
      <c r="O381" s="575"/>
      <c r="P381" s="575"/>
      <c r="Q381" s="575"/>
      <c r="S381" s="575"/>
      <c r="T381" s="475"/>
      <c r="U381" s="475"/>
      <c r="V381" s="475"/>
      <c r="W381" s="475"/>
      <c r="X381" s="475"/>
      <c r="Y381" s="475"/>
      <c r="Z381" s="475"/>
      <c r="AA381" s="475"/>
      <c r="AB381" s="475"/>
      <c r="AC381" s="475"/>
      <c r="AD381" s="475"/>
    </row>
    <row r="382" spans="1:30" s="405" customFormat="1" outlineLevel="1" x14ac:dyDescent="0.2">
      <c r="A382" s="599">
        <v>15</v>
      </c>
      <c r="B382" s="613" t="s">
        <v>548</v>
      </c>
      <c r="C382" s="613" t="s">
        <v>549</v>
      </c>
      <c r="D382" s="612">
        <v>331</v>
      </c>
      <c r="E382" s="611"/>
      <c r="F382" s="630"/>
      <c r="G382" s="630"/>
      <c r="H382" s="630"/>
      <c r="I382" s="630"/>
      <c r="J382" s="630"/>
      <c r="K382" s="630"/>
      <c r="L382" s="630"/>
      <c r="M382" s="630"/>
      <c r="N382" s="630"/>
      <c r="O382" s="630"/>
      <c r="P382" s="630"/>
      <c r="Q382" s="630"/>
      <c r="S382" s="630">
        <v>3520000000</v>
      </c>
      <c r="T382" s="630">
        <v>3520000000</v>
      </c>
      <c r="U382" s="630">
        <v>3520000000</v>
      </c>
      <c r="V382" s="630">
        <v>3520000000</v>
      </c>
      <c r="W382" s="630">
        <v>3520000000</v>
      </c>
      <c r="X382" s="605"/>
      <c r="Y382" s="605"/>
      <c r="Z382" s="605"/>
      <c r="AA382" s="605"/>
      <c r="AB382" s="605"/>
      <c r="AC382" s="605"/>
      <c r="AD382" s="605"/>
    </row>
    <row r="383" spans="1:30" s="405" customFormat="1" outlineLevel="1" x14ac:dyDescent="0.2">
      <c r="A383" s="431"/>
      <c r="B383" s="502"/>
      <c r="C383" s="502"/>
      <c r="D383" s="471">
        <v>338</v>
      </c>
      <c r="E383" s="507"/>
      <c r="F383" s="575"/>
      <c r="G383" s="575"/>
      <c r="H383" s="575"/>
      <c r="I383" s="575"/>
      <c r="J383" s="575"/>
      <c r="K383" s="575"/>
      <c r="L383" s="575"/>
      <c r="M383" s="575"/>
      <c r="N383" s="575"/>
      <c r="O383" s="575"/>
      <c r="P383" s="575"/>
      <c r="Q383" s="575"/>
      <c r="S383" s="575"/>
      <c r="T383" s="475"/>
      <c r="U383" s="475"/>
      <c r="V383" s="475"/>
      <c r="W383" s="475"/>
      <c r="X383" s="475"/>
      <c r="Y383" s="475"/>
      <c r="Z383" s="475"/>
      <c r="AA383" s="475"/>
      <c r="AB383" s="475"/>
      <c r="AC383" s="475"/>
      <c r="AD383" s="475"/>
    </row>
    <row r="384" spans="1:30" s="405" customFormat="1" outlineLevel="1" x14ac:dyDescent="0.2">
      <c r="A384" s="599">
        <v>16</v>
      </c>
      <c r="B384" s="613" t="s">
        <v>550</v>
      </c>
      <c r="C384" s="613" t="s">
        <v>551</v>
      </c>
      <c r="D384" s="612">
        <v>331</v>
      </c>
      <c r="E384" s="611"/>
      <c r="F384" s="630"/>
      <c r="G384" s="630"/>
      <c r="H384" s="630"/>
      <c r="I384" s="630"/>
      <c r="J384" s="630"/>
      <c r="K384" s="630"/>
      <c r="L384" s="630"/>
      <c r="M384" s="630"/>
      <c r="N384" s="630"/>
      <c r="O384" s="630"/>
      <c r="P384" s="630"/>
      <c r="Q384" s="630"/>
      <c r="S384" s="630"/>
      <c r="T384" s="605"/>
      <c r="U384" s="605"/>
      <c r="V384" s="605"/>
      <c r="W384" s="605"/>
      <c r="X384" s="605"/>
      <c r="Y384" s="605"/>
      <c r="Z384" s="605"/>
      <c r="AA384" s="605"/>
      <c r="AB384" s="605"/>
      <c r="AC384" s="605"/>
      <c r="AD384" s="605"/>
    </row>
    <row r="385" spans="1:30" s="405" customFormat="1" outlineLevel="1" x14ac:dyDescent="0.2">
      <c r="A385" s="431"/>
      <c r="B385" s="502"/>
      <c r="C385" s="502"/>
      <c r="D385" s="471">
        <v>338</v>
      </c>
      <c r="E385" s="507"/>
      <c r="F385" s="575"/>
      <c r="G385" s="575"/>
      <c r="H385" s="575"/>
      <c r="I385" s="575"/>
      <c r="J385" s="575"/>
      <c r="K385" s="575"/>
      <c r="L385" s="575"/>
      <c r="M385" s="575"/>
      <c r="N385" s="575"/>
      <c r="O385" s="575"/>
      <c r="P385" s="575"/>
      <c r="Q385" s="575"/>
      <c r="S385" s="575"/>
      <c r="T385" s="475"/>
      <c r="U385" s="475"/>
      <c r="V385" s="475"/>
      <c r="W385" s="475"/>
      <c r="X385" s="475"/>
      <c r="Y385" s="475"/>
      <c r="Z385" s="475"/>
      <c r="AA385" s="475"/>
      <c r="AB385" s="475"/>
      <c r="AC385" s="475"/>
      <c r="AD385" s="475"/>
    </row>
    <row r="386" spans="1:30" s="405" customFormat="1" outlineLevel="1" x14ac:dyDescent="0.2">
      <c r="A386" s="599">
        <v>17</v>
      </c>
      <c r="B386" s="613" t="s">
        <v>552</v>
      </c>
      <c r="C386" s="613" t="s">
        <v>553</v>
      </c>
      <c r="D386" s="612">
        <v>331</v>
      </c>
      <c r="E386" s="611"/>
      <c r="F386" s="630"/>
      <c r="G386" s="630"/>
      <c r="H386" s="630"/>
      <c r="I386" s="630"/>
      <c r="J386" s="630"/>
      <c r="K386" s="630"/>
      <c r="L386" s="630"/>
      <c r="M386" s="630"/>
      <c r="N386" s="630"/>
      <c r="O386" s="630"/>
      <c r="P386" s="630"/>
      <c r="Q386" s="630"/>
      <c r="S386" s="630"/>
      <c r="T386" s="605"/>
      <c r="U386" s="605"/>
      <c r="V386" s="605"/>
      <c r="W386" s="605"/>
      <c r="X386" s="605"/>
      <c r="Y386" s="605"/>
      <c r="Z386" s="605"/>
      <c r="AA386" s="605"/>
      <c r="AB386" s="605"/>
      <c r="AC386" s="605"/>
      <c r="AD386" s="605"/>
    </row>
    <row r="387" spans="1:30" s="405" customFormat="1" outlineLevel="1" x14ac:dyDescent="0.2">
      <c r="A387" s="431"/>
      <c r="B387" s="502"/>
      <c r="C387" s="502"/>
      <c r="D387" s="471">
        <v>338</v>
      </c>
      <c r="E387" s="507"/>
      <c r="F387" s="575"/>
      <c r="G387" s="575"/>
      <c r="H387" s="575"/>
      <c r="I387" s="575"/>
      <c r="J387" s="575"/>
      <c r="K387" s="575"/>
      <c r="L387" s="575"/>
      <c r="M387" s="575"/>
      <c r="N387" s="575"/>
      <c r="O387" s="575"/>
      <c r="P387" s="575"/>
      <c r="Q387" s="575"/>
      <c r="S387" s="575"/>
      <c r="T387" s="475"/>
      <c r="U387" s="475"/>
      <c r="V387" s="475"/>
      <c r="W387" s="475"/>
      <c r="X387" s="475"/>
      <c r="Y387" s="475"/>
      <c r="Z387" s="475"/>
      <c r="AA387" s="475"/>
      <c r="AB387" s="475"/>
      <c r="AC387" s="475"/>
      <c r="AD387" s="475"/>
    </row>
    <row r="388" spans="1:30" s="405" customFormat="1" outlineLevel="1" x14ac:dyDescent="0.2">
      <c r="A388" s="599">
        <v>18</v>
      </c>
      <c r="B388" s="613" t="s">
        <v>554</v>
      </c>
      <c r="C388" s="613" t="s">
        <v>555</v>
      </c>
      <c r="D388" s="612">
        <v>331</v>
      </c>
      <c r="E388" s="611"/>
      <c r="F388" s="630"/>
      <c r="G388" s="630"/>
      <c r="H388" s="630"/>
      <c r="I388" s="630"/>
      <c r="J388" s="630"/>
      <c r="K388" s="630"/>
      <c r="L388" s="630"/>
      <c r="M388" s="630"/>
      <c r="N388" s="630"/>
      <c r="O388" s="630"/>
      <c r="P388" s="630"/>
      <c r="Q388" s="630"/>
      <c r="S388" s="630"/>
      <c r="T388" s="605"/>
      <c r="U388" s="605"/>
      <c r="V388" s="605"/>
      <c r="W388" s="605"/>
      <c r="X388" s="605"/>
      <c r="Y388" s="605"/>
      <c r="Z388" s="605"/>
      <c r="AA388" s="605"/>
      <c r="AB388" s="605"/>
      <c r="AC388" s="605"/>
      <c r="AD388" s="605"/>
    </row>
    <row r="389" spans="1:30" s="405" customFormat="1" outlineLevel="1" x14ac:dyDescent="0.2">
      <c r="A389" s="431"/>
      <c r="B389" s="502"/>
      <c r="C389" s="502"/>
      <c r="D389" s="471">
        <v>338</v>
      </c>
      <c r="E389" s="507"/>
      <c r="F389" s="575"/>
      <c r="G389" s="575"/>
      <c r="H389" s="575"/>
      <c r="I389" s="575"/>
      <c r="J389" s="575"/>
      <c r="K389" s="575"/>
      <c r="L389" s="575"/>
      <c r="M389" s="575"/>
      <c r="N389" s="575"/>
      <c r="O389" s="575"/>
      <c r="P389" s="575"/>
      <c r="Q389" s="575"/>
      <c r="S389" s="575"/>
      <c r="T389" s="475"/>
      <c r="U389" s="475"/>
      <c r="V389" s="475"/>
      <c r="W389" s="475"/>
      <c r="X389" s="475"/>
      <c r="Y389" s="475"/>
      <c r="Z389" s="475"/>
      <c r="AA389" s="475"/>
      <c r="AB389" s="475"/>
      <c r="AC389" s="475"/>
      <c r="AD389" s="475"/>
    </row>
    <row r="390" spans="1:30" s="405" customFormat="1" outlineLevel="1" x14ac:dyDescent="0.2">
      <c r="A390" s="599">
        <v>19</v>
      </c>
      <c r="B390" s="600" t="s">
        <v>556</v>
      </c>
      <c r="C390" s="600" t="s">
        <v>557</v>
      </c>
      <c r="D390" s="612">
        <v>331</v>
      </c>
      <c r="E390" s="611"/>
      <c r="F390" s="630"/>
      <c r="G390" s="630"/>
      <c r="H390" s="630"/>
      <c r="I390" s="630"/>
      <c r="J390" s="630"/>
      <c r="K390" s="630"/>
      <c r="L390" s="630"/>
      <c r="M390" s="630"/>
      <c r="N390" s="630"/>
      <c r="O390" s="630"/>
      <c r="P390" s="630"/>
      <c r="Q390" s="630"/>
      <c r="S390" s="630"/>
      <c r="T390" s="605"/>
      <c r="U390" s="605"/>
      <c r="V390" s="605"/>
      <c r="W390" s="605"/>
      <c r="X390" s="605"/>
      <c r="Y390" s="605"/>
      <c r="Z390" s="605"/>
      <c r="AA390" s="605"/>
      <c r="AB390" s="605"/>
      <c r="AC390" s="605"/>
      <c r="AD390" s="605"/>
    </row>
    <row r="391" spans="1:30" s="405" customFormat="1" outlineLevel="1" x14ac:dyDescent="0.2">
      <c r="A391" s="431"/>
      <c r="B391" s="502"/>
      <c r="C391" s="502"/>
      <c r="D391" s="471">
        <v>338</v>
      </c>
      <c r="E391" s="507"/>
      <c r="F391" s="575"/>
      <c r="G391" s="575"/>
      <c r="H391" s="575"/>
      <c r="I391" s="575"/>
      <c r="J391" s="575"/>
      <c r="K391" s="575"/>
      <c r="L391" s="575"/>
      <c r="M391" s="575"/>
      <c r="N391" s="575"/>
      <c r="O391" s="575"/>
      <c r="P391" s="575"/>
      <c r="Q391" s="575"/>
      <c r="S391" s="575"/>
      <c r="T391" s="475"/>
      <c r="U391" s="475"/>
      <c r="V391" s="475"/>
      <c r="W391" s="475"/>
      <c r="X391" s="475"/>
      <c r="Y391" s="475"/>
      <c r="Z391" s="475"/>
      <c r="AA391" s="475"/>
      <c r="AB391" s="475"/>
      <c r="AC391" s="475"/>
      <c r="AD391" s="475"/>
    </row>
    <row r="392" spans="1:30" s="405" customFormat="1" outlineLevel="1" x14ac:dyDescent="0.2">
      <c r="A392" s="599">
        <v>20</v>
      </c>
      <c r="B392" s="613" t="s">
        <v>558</v>
      </c>
      <c r="C392" s="613" t="s">
        <v>559</v>
      </c>
      <c r="D392" s="612">
        <v>331</v>
      </c>
      <c r="E392" s="611"/>
      <c r="F392" s="630"/>
      <c r="G392" s="630"/>
      <c r="H392" s="630"/>
      <c r="I392" s="630"/>
      <c r="J392" s="630"/>
      <c r="K392" s="630"/>
      <c r="L392" s="630"/>
      <c r="M392" s="630"/>
      <c r="N392" s="630"/>
      <c r="O392" s="630"/>
      <c r="P392" s="630"/>
      <c r="Q392" s="630"/>
      <c r="S392" s="630"/>
      <c r="T392" s="605"/>
      <c r="U392" s="605"/>
      <c r="V392" s="605"/>
      <c r="W392" s="605"/>
      <c r="X392" s="605"/>
      <c r="Y392" s="605"/>
      <c r="Z392" s="605"/>
      <c r="AA392" s="605"/>
      <c r="AB392" s="605"/>
      <c r="AC392" s="605"/>
      <c r="AD392" s="605"/>
    </row>
    <row r="393" spans="1:30" s="405" customFormat="1" outlineLevel="1" x14ac:dyDescent="0.2">
      <c r="A393" s="431"/>
      <c r="B393" s="502"/>
      <c r="C393" s="502"/>
      <c r="D393" s="471">
        <v>338</v>
      </c>
      <c r="E393" s="432"/>
      <c r="F393" s="575"/>
      <c r="G393" s="575"/>
      <c r="H393" s="575"/>
      <c r="I393" s="575"/>
      <c r="J393" s="575"/>
      <c r="K393" s="575"/>
      <c r="L393" s="575"/>
      <c r="M393" s="575"/>
      <c r="N393" s="575"/>
      <c r="O393" s="575"/>
      <c r="P393" s="575"/>
      <c r="Q393" s="575"/>
      <c r="S393" s="575"/>
      <c r="T393" s="475"/>
      <c r="U393" s="475"/>
      <c r="V393" s="475"/>
      <c r="W393" s="475"/>
      <c r="X393" s="475"/>
      <c r="Y393" s="475"/>
      <c r="Z393" s="475"/>
      <c r="AA393" s="475"/>
      <c r="AB393" s="475"/>
      <c r="AC393" s="475"/>
      <c r="AD393" s="475"/>
    </row>
    <row r="394" spans="1:30" s="405" customFormat="1" outlineLevel="1" x14ac:dyDescent="0.2">
      <c r="A394" s="599">
        <v>21</v>
      </c>
      <c r="B394" s="613" t="s">
        <v>560</v>
      </c>
      <c r="C394" s="613" t="s">
        <v>561</v>
      </c>
      <c r="D394" s="612">
        <v>331</v>
      </c>
      <c r="E394" s="611"/>
      <c r="F394" s="630"/>
      <c r="G394" s="630"/>
      <c r="H394" s="630"/>
      <c r="I394" s="630"/>
      <c r="J394" s="630"/>
      <c r="K394" s="630"/>
      <c r="L394" s="630"/>
      <c r="M394" s="630"/>
      <c r="N394" s="630"/>
      <c r="O394" s="630"/>
      <c r="P394" s="630"/>
      <c r="Q394" s="630"/>
      <c r="S394" s="630"/>
      <c r="T394" s="605"/>
      <c r="U394" s="605"/>
      <c r="V394" s="605"/>
      <c r="W394" s="605"/>
      <c r="X394" s="605"/>
      <c r="Y394" s="605"/>
      <c r="Z394" s="605"/>
      <c r="AA394" s="605"/>
      <c r="AB394" s="605"/>
      <c r="AC394" s="605"/>
      <c r="AD394" s="605"/>
    </row>
    <row r="395" spans="1:30" s="405" customFormat="1" outlineLevel="1" x14ac:dyDescent="0.2">
      <c r="A395" s="431"/>
      <c r="B395" s="502"/>
      <c r="C395" s="502"/>
      <c r="D395" s="471">
        <v>338</v>
      </c>
      <c r="E395" s="432"/>
      <c r="F395" s="575"/>
      <c r="G395" s="575"/>
      <c r="H395" s="575"/>
      <c r="I395" s="575"/>
      <c r="J395" s="575"/>
      <c r="K395" s="575"/>
      <c r="L395" s="575"/>
      <c r="M395" s="575"/>
      <c r="N395" s="575"/>
      <c r="O395" s="575"/>
      <c r="P395" s="575"/>
      <c r="Q395" s="575"/>
      <c r="S395" s="575"/>
      <c r="T395" s="475"/>
      <c r="U395" s="475"/>
      <c r="V395" s="475"/>
      <c r="W395" s="475"/>
      <c r="X395" s="475"/>
      <c r="Y395" s="475"/>
      <c r="Z395" s="475"/>
      <c r="AA395" s="475"/>
      <c r="AB395" s="475"/>
      <c r="AC395" s="475"/>
      <c r="AD395" s="475"/>
    </row>
    <row r="396" spans="1:30" s="405" customFormat="1" outlineLevel="1" x14ac:dyDescent="0.2">
      <c r="A396" s="416">
        <v>22</v>
      </c>
      <c r="B396" s="417" t="s">
        <v>562</v>
      </c>
      <c r="C396" s="417" t="s">
        <v>563</v>
      </c>
      <c r="D396" s="419">
        <v>331</v>
      </c>
      <c r="E396" s="418"/>
      <c r="F396" s="576"/>
      <c r="G396" s="576"/>
      <c r="H396" s="576"/>
      <c r="I396" s="576"/>
      <c r="J396" s="576"/>
      <c r="K396" s="576"/>
      <c r="L396" s="576"/>
      <c r="M396" s="576"/>
      <c r="N396" s="576"/>
      <c r="O396" s="576"/>
      <c r="P396" s="576"/>
      <c r="Q396" s="576"/>
      <c r="S396" s="576"/>
      <c r="T396" s="421"/>
      <c r="U396" s="421"/>
      <c r="V396" s="421"/>
      <c r="W396" s="421"/>
      <c r="X396" s="421"/>
      <c r="Y396" s="421"/>
      <c r="Z396" s="421"/>
      <c r="AA396" s="421"/>
      <c r="AB396" s="421"/>
      <c r="AC396" s="421"/>
      <c r="AD396" s="421"/>
    </row>
    <row r="397" spans="1:30" s="405" customFormat="1" x14ac:dyDescent="0.2">
      <c r="A397" s="482"/>
      <c r="B397" s="502"/>
      <c r="C397" s="502"/>
      <c r="D397" s="471">
        <v>338</v>
      </c>
      <c r="E397" s="432"/>
      <c r="F397" s="575"/>
      <c r="G397" s="575"/>
      <c r="H397" s="575"/>
      <c r="I397" s="575"/>
      <c r="J397" s="575"/>
      <c r="K397" s="575"/>
      <c r="L397" s="575"/>
      <c r="M397" s="575"/>
      <c r="N397" s="575"/>
      <c r="O397" s="575"/>
      <c r="P397" s="575"/>
      <c r="Q397" s="575"/>
      <c r="S397" s="575"/>
      <c r="T397" s="475"/>
      <c r="U397" s="475"/>
      <c r="V397" s="475"/>
      <c r="W397" s="475"/>
      <c r="X397" s="475"/>
      <c r="Y397" s="475"/>
      <c r="Z397" s="475"/>
      <c r="AA397" s="475"/>
      <c r="AB397" s="475"/>
      <c r="AC397" s="475"/>
      <c r="AD397" s="475"/>
    </row>
    <row r="398" spans="1:30" s="405" customFormat="1" x14ac:dyDescent="0.2">
      <c r="A398" s="539" t="s">
        <v>591</v>
      </c>
      <c r="B398" s="536" t="s">
        <v>619</v>
      </c>
      <c r="C398" s="536"/>
      <c r="D398" s="541"/>
      <c r="E398" s="418"/>
      <c r="F398" s="544" t="s">
        <v>615</v>
      </c>
      <c r="G398" s="544" t="s">
        <v>488</v>
      </c>
      <c r="H398" s="544" t="s">
        <v>489</v>
      </c>
      <c r="I398" s="544" t="s">
        <v>490</v>
      </c>
      <c r="J398" s="544" t="s">
        <v>491</v>
      </c>
      <c r="K398" s="544" t="s">
        <v>492</v>
      </c>
      <c r="L398" s="544" t="s">
        <v>493</v>
      </c>
      <c r="M398" s="544" t="s">
        <v>494</v>
      </c>
      <c r="N398" s="544" t="s">
        <v>495</v>
      </c>
      <c r="O398" s="544" t="s">
        <v>496</v>
      </c>
      <c r="P398" s="544" t="s">
        <v>497</v>
      </c>
      <c r="Q398" s="544" t="s">
        <v>498</v>
      </c>
      <c r="S398" s="544" t="s">
        <v>487</v>
      </c>
      <c r="T398" s="544" t="s">
        <v>488</v>
      </c>
      <c r="U398" s="544" t="s">
        <v>489</v>
      </c>
      <c r="V398" s="544" t="s">
        <v>490</v>
      </c>
      <c r="W398" s="544" t="s">
        <v>491</v>
      </c>
      <c r="X398" s="544" t="s">
        <v>492</v>
      </c>
      <c r="Y398" s="544" t="s">
        <v>493</v>
      </c>
      <c r="Z398" s="544" t="s">
        <v>494</v>
      </c>
      <c r="AA398" s="544" t="s">
        <v>495</v>
      </c>
      <c r="AB398" s="544" t="s">
        <v>496</v>
      </c>
      <c r="AC398" s="544" t="s">
        <v>497</v>
      </c>
      <c r="AD398" s="544" t="s">
        <v>498</v>
      </c>
    </row>
    <row r="399" spans="1:30" s="405" customFormat="1" outlineLevel="1" x14ac:dyDescent="0.2">
      <c r="A399" s="599">
        <v>1</v>
      </c>
      <c r="B399" s="611" t="s">
        <v>503</v>
      </c>
      <c r="C399" s="611" t="s">
        <v>504</v>
      </c>
      <c r="D399" s="612">
        <v>331</v>
      </c>
      <c r="E399" s="611"/>
      <c r="F399" s="630"/>
      <c r="G399" s="630"/>
      <c r="H399" s="630"/>
      <c r="I399" s="630"/>
      <c r="J399" s="630"/>
      <c r="K399" s="630"/>
      <c r="L399" s="630"/>
      <c r="M399" s="630"/>
      <c r="N399" s="630"/>
      <c r="O399" s="630"/>
      <c r="P399" s="630"/>
      <c r="Q399" s="630"/>
      <c r="S399" s="630"/>
      <c r="T399" s="605"/>
      <c r="U399" s="605"/>
      <c r="V399" s="605"/>
      <c r="W399" s="605"/>
      <c r="X399" s="605"/>
      <c r="Y399" s="605"/>
      <c r="Z399" s="605"/>
      <c r="AA399" s="605"/>
      <c r="AB399" s="605"/>
      <c r="AC399" s="605"/>
      <c r="AD399" s="605"/>
    </row>
    <row r="400" spans="1:30" s="586" customFormat="1" x14ac:dyDescent="0.2">
      <c r="A400" s="593">
        <v>2</v>
      </c>
      <c r="B400" s="590" t="s">
        <v>513</v>
      </c>
      <c r="C400" s="590" t="s">
        <v>514</v>
      </c>
      <c r="D400" s="589">
        <v>331</v>
      </c>
      <c r="E400" s="590"/>
      <c r="F400" s="591"/>
      <c r="G400" s="591"/>
      <c r="H400" s="591"/>
      <c r="I400" s="591"/>
      <c r="J400" s="591"/>
      <c r="K400" s="591"/>
      <c r="L400" s="591"/>
      <c r="M400" s="591"/>
      <c r="N400" s="591"/>
      <c r="O400" s="591"/>
      <c r="P400" s="591"/>
      <c r="Q400" s="591"/>
      <c r="S400" s="591"/>
      <c r="T400" s="592"/>
      <c r="U400" s="592"/>
      <c r="V400" s="592"/>
      <c r="W400" s="592"/>
      <c r="X400" s="592"/>
      <c r="Y400" s="592"/>
      <c r="Z400" s="592"/>
      <c r="AA400" s="592"/>
      <c r="AB400" s="592"/>
      <c r="AC400" s="592"/>
      <c r="AD400" s="592"/>
    </row>
    <row r="401" spans="1:30" s="405" customFormat="1" outlineLevel="1" x14ac:dyDescent="0.2">
      <c r="A401" s="440">
        <v>3</v>
      </c>
      <c r="B401" s="448" t="s">
        <v>519</v>
      </c>
      <c r="C401" s="448" t="s">
        <v>520</v>
      </c>
      <c r="D401" s="427">
        <v>331</v>
      </c>
      <c r="E401" s="423"/>
      <c r="F401" s="573"/>
      <c r="G401" s="573"/>
      <c r="H401" s="573"/>
      <c r="I401" s="573"/>
      <c r="J401" s="573"/>
      <c r="K401" s="573"/>
      <c r="L401" s="573"/>
      <c r="M401" s="573"/>
      <c r="N401" s="573"/>
      <c r="O401" s="573"/>
      <c r="P401" s="573"/>
      <c r="Q401" s="573"/>
      <c r="S401" s="573"/>
      <c r="T401" s="438"/>
      <c r="U401" s="438"/>
      <c r="V401" s="438"/>
      <c r="W401" s="438"/>
      <c r="X401" s="438"/>
      <c r="Y401" s="438"/>
      <c r="Z401" s="438"/>
      <c r="AA401" s="438"/>
      <c r="AB401" s="438"/>
      <c r="AC401" s="438"/>
      <c r="AD401" s="438"/>
    </row>
    <row r="402" spans="1:30" s="405" customFormat="1" outlineLevel="1" x14ac:dyDescent="0.2">
      <c r="A402" s="440">
        <v>4</v>
      </c>
      <c r="B402" s="448" t="s">
        <v>522</v>
      </c>
      <c r="C402" s="448" t="s">
        <v>523</v>
      </c>
      <c r="D402" s="427">
        <v>331</v>
      </c>
      <c r="E402" s="423"/>
      <c r="F402" s="573"/>
      <c r="G402" s="573"/>
      <c r="H402" s="573"/>
      <c r="I402" s="573"/>
      <c r="J402" s="573"/>
      <c r="K402" s="573"/>
      <c r="L402" s="573"/>
      <c r="M402" s="573"/>
      <c r="N402" s="573"/>
      <c r="O402" s="573"/>
      <c r="P402" s="573"/>
      <c r="Q402" s="573"/>
      <c r="S402" s="573"/>
      <c r="T402" s="438"/>
      <c r="U402" s="438"/>
      <c r="V402" s="438"/>
      <c r="W402" s="438"/>
      <c r="X402" s="438"/>
      <c r="Y402" s="573"/>
      <c r="Z402" s="438"/>
      <c r="AA402" s="438"/>
      <c r="AB402" s="438"/>
      <c r="AC402" s="438"/>
      <c r="AD402" s="438"/>
    </row>
    <row r="403" spans="1:30" s="405" customFormat="1" outlineLevel="1" x14ac:dyDescent="0.2">
      <c r="A403" s="422">
        <v>5</v>
      </c>
      <c r="B403" s="448" t="s">
        <v>524</v>
      </c>
      <c r="C403" s="448" t="s">
        <v>525</v>
      </c>
      <c r="D403" s="427">
        <v>331</v>
      </c>
      <c r="E403" s="423"/>
      <c r="F403" s="573"/>
      <c r="G403" s="573"/>
      <c r="H403" s="573"/>
      <c r="I403" s="573"/>
      <c r="J403" s="573"/>
      <c r="K403" s="573"/>
      <c r="L403" s="573"/>
      <c r="M403" s="573"/>
      <c r="N403" s="573"/>
      <c r="O403" s="573"/>
      <c r="P403" s="573"/>
      <c r="Q403" s="573"/>
      <c r="S403" s="573"/>
      <c r="T403" s="438"/>
      <c r="U403" s="438"/>
      <c r="V403" s="438"/>
      <c r="W403" s="438"/>
      <c r="X403" s="438"/>
      <c r="Y403" s="438"/>
      <c r="Z403" s="438"/>
      <c r="AA403" s="438"/>
      <c r="AB403" s="438"/>
      <c r="AC403" s="438"/>
      <c r="AD403" s="438"/>
    </row>
    <row r="404" spans="1:30" s="405" customFormat="1" outlineLevel="1" x14ac:dyDescent="0.2">
      <c r="A404" s="440">
        <v>6</v>
      </c>
      <c r="B404" s="448" t="s">
        <v>527</v>
      </c>
      <c r="C404" s="448" t="s">
        <v>528</v>
      </c>
      <c r="D404" s="427">
        <v>331</v>
      </c>
      <c r="E404" s="423"/>
      <c r="F404" s="573"/>
      <c r="G404" s="573"/>
      <c r="H404" s="573"/>
      <c r="I404" s="573"/>
      <c r="J404" s="573"/>
      <c r="K404" s="573"/>
      <c r="L404" s="573"/>
      <c r="M404" s="573"/>
      <c r="N404" s="573"/>
      <c r="O404" s="573"/>
      <c r="P404" s="573"/>
      <c r="Q404" s="573"/>
      <c r="S404" s="573"/>
      <c r="T404" s="438"/>
      <c r="U404" s="438"/>
      <c r="V404" s="438"/>
      <c r="W404" s="438"/>
      <c r="X404" s="438"/>
      <c r="Y404" s="438"/>
      <c r="Z404" s="438"/>
      <c r="AA404" s="438"/>
      <c r="AB404" s="438"/>
      <c r="AC404" s="438"/>
      <c r="AD404" s="438"/>
    </row>
    <row r="405" spans="1:30" s="405" customFormat="1" outlineLevel="1" x14ac:dyDescent="0.2">
      <c r="A405" s="440">
        <v>7</v>
      </c>
      <c r="B405" s="452" t="s">
        <v>531</v>
      </c>
      <c r="C405" s="452" t="s">
        <v>532</v>
      </c>
      <c r="D405" s="427">
        <v>331</v>
      </c>
      <c r="E405" s="423"/>
      <c r="F405" s="573"/>
      <c r="G405" s="573"/>
      <c r="H405" s="573"/>
      <c r="I405" s="573"/>
      <c r="J405" s="573"/>
      <c r="K405" s="573"/>
      <c r="L405" s="573"/>
      <c r="M405" s="573"/>
      <c r="N405" s="573"/>
      <c r="O405" s="573"/>
      <c r="P405" s="573"/>
      <c r="Q405" s="573"/>
      <c r="S405" s="573"/>
      <c r="T405" s="438"/>
      <c r="U405" s="438"/>
      <c r="V405" s="438"/>
      <c r="W405" s="438"/>
      <c r="X405" s="438"/>
      <c r="Y405" s="438"/>
      <c r="Z405" s="438"/>
      <c r="AA405" s="438"/>
      <c r="AB405" s="438"/>
      <c r="AC405" s="438"/>
      <c r="AD405" s="438"/>
    </row>
    <row r="406" spans="1:30" s="405" customFormat="1" outlineLevel="1" x14ac:dyDescent="0.2">
      <c r="A406" s="440">
        <v>8</v>
      </c>
      <c r="B406" s="448" t="s">
        <v>533</v>
      </c>
      <c r="C406" s="448" t="s">
        <v>534</v>
      </c>
      <c r="D406" s="427">
        <v>331</v>
      </c>
      <c r="E406" s="423"/>
      <c r="F406" s="573"/>
      <c r="G406" s="573"/>
      <c r="H406" s="573"/>
      <c r="I406" s="573"/>
      <c r="J406" s="573"/>
      <c r="K406" s="573"/>
      <c r="L406" s="573"/>
      <c r="M406" s="573"/>
      <c r="N406" s="573"/>
      <c r="O406" s="573"/>
      <c r="P406" s="573"/>
      <c r="Q406" s="573"/>
      <c r="S406" s="573"/>
      <c r="T406" s="438"/>
      <c r="U406" s="438"/>
      <c r="V406" s="438"/>
      <c r="W406" s="438"/>
      <c r="X406" s="438"/>
      <c r="Y406" s="438"/>
      <c r="Z406" s="438"/>
      <c r="AA406" s="438"/>
      <c r="AB406" s="438"/>
      <c r="AC406" s="438"/>
      <c r="AD406" s="438"/>
    </row>
    <row r="407" spans="1:30" s="405" customFormat="1" outlineLevel="1" x14ac:dyDescent="0.2">
      <c r="A407" s="440">
        <v>9</v>
      </c>
      <c r="B407" s="448" t="s">
        <v>536</v>
      </c>
      <c r="C407" s="448" t="s">
        <v>537</v>
      </c>
      <c r="D407" s="427">
        <v>331</v>
      </c>
      <c r="E407" s="423"/>
      <c r="F407" s="573"/>
      <c r="G407" s="573"/>
      <c r="H407" s="573"/>
      <c r="I407" s="573"/>
      <c r="J407" s="573"/>
      <c r="K407" s="573"/>
      <c r="L407" s="573"/>
      <c r="M407" s="573"/>
      <c r="N407" s="573"/>
      <c r="O407" s="573"/>
      <c r="P407" s="573"/>
      <c r="Q407" s="573"/>
      <c r="S407" s="573"/>
      <c r="T407" s="438"/>
      <c r="U407" s="438"/>
      <c r="V407" s="438"/>
      <c r="W407" s="438"/>
      <c r="X407" s="438"/>
      <c r="Y407" s="438"/>
      <c r="Z407" s="438"/>
      <c r="AA407" s="438"/>
      <c r="AB407" s="438"/>
      <c r="AC407" s="438"/>
      <c r="AD407" s="438"/>
    </row>
    <row r="408" spans="1:30" s="405" customFormat="1" outlineLevel="1" x14ac:dyDescent="0.2">
      <c r="A408" s="440">
        <v>10</v>
      </c>
      <c r="B408" s="423" t="s">
        <v>538</v>
      </c>
      <c r="C408" s="423" t="s">
        <v>539</v>
      </c>
      <c r="D408" s="427">
        <v>331</v>
      </c>
      <c r="E408" s="423"/>
      <c r="F408" s="573"/>
      <c r="G408" s="573"/>
      <c r="H408" s="573"/>
      <c r="I408" s="573"/>
      <c r="J408" s="573"/>
      <c r="K408" s="573"/>
      <c r="L408" s="573"/>
      <c r="M408" s="573"/>
      <c r="N408" s="573"/>
      <c r="O408" s="573"/>
      <c r="P408" s="573"/>
      <c r="Q408" s="573"/>
      <c r="S408" s="573"/>
      <c r="T408" s="438"/>
      <c r="U408" s="438"/>
      <c r="V408" s="438"/>
      <c r="W408" s="438"/>
      <c r="X408" s="438"/>
      <c r="Y408" s="438"/>
      <c r="Z408" s="438"/>
      <c r="AA408" s="438"/>
      <c r="AB408" s="438"/>
      <c r="AC408" s="438"/>
      <c r="AD408" s="438"/>
    </row>
    <row r="409" spans="1:30" s="405" customFormat="1" outlineLevel="1" x14ac:dyDescent="0.2">
      <c r="A409" s="440">
        <v>11</v>
      </c>
      <c r="B409" s="448" t="s">
        <v>540</v>
      </c>
      <c r="C409" s="448" t="s">
        <v>541</v>
      </c>
      <c r="D409" s="427">
        <v>331</v>
      </c>
      <c r="E409" s="423"/>
      <c r="F409" s="573"/>
      <c r="G409" s="573"/>
      <c r="H409" s="573"/>
      <c r="I409" s="573"/>
      <c r="J409" s="573"/>
      <c r="K409" s="573"/>
      <c r="L409" s="573"/>
      <c r="M409" s="573"/>
      <c r="N409" s="573"/>
      <c r="O409" s="573"/>
      <c r="P409" s="573"/>
      <c r="Q409" s="573"/>
      <c r="S409" s="573">
        <v>148000000</v>
      </c>
      <c r="T409" s="573">
        <v>148000000</v>
      </c>
      <c r="U409" s="573">
        <v>148000000</v>
      </c>
      <c r="V409" s="438"/>
      <c r="W409" s="438"/>
      <c r="X409" s="438"/>
      <c r="Y409" s="438"/>
      <c r="Z409" s="438"/>
      <c r="AA409" s="438"/>
      <c r="AB409" s="438"/>
      <c r="AC409" s="438"/>
      <c r="AD409" s="438"/>
    </row>
    <row r="410" spans="1:30" s="405" customFormat="1" outlineLevel="1" x14ac:dyDescent="0.2">
      <c r="A410" s="440">
        <v>12</v>
      </c>
      <c r="B410" s="448" t="s">
        <v>542</v>
      </c>
      <c r="C410" s="448" t="s">
        <v>543</v>
      </c>
      <c r="D410" s="427">
        <v>331</v>
      </c>
      <c r="E410" s="423"/>
      <c r="F410" s="573"/>
      <c r="G410" s="573"/>
      <c r="H410" s="573"/>
      <c r="I410" s="573"/>
      <c r="J410" s="573"/>
      <c r="K410" s="573"/>
      <c r="L410" s="573"/>
      <c r="M410" s="573"/>
      <c r="N410" s="573"/>
      <c r="O410" s="573"/>
      <c r="P410" s="573"/>
      <c r="Q410" s="573"/>
      <c r="S410" s="573"/>
      <c r="T410" s="438"/>
      <c r="U410" s="438"/>
      <c r="V410" s="438"/>
      <c r="W410" s="438"/>
      <c r="X410" s="438"/>
      <c r="Y410" s="438"/>
      <c r="Z410" s="438"/>
      <c r="AA410" s="438"/>
      <c r="AB410" s="438"/>
      <c r="AC410" s="438"/>
      <c r="AD410" s="438"/>
    </row>
    <row r="411" spans="1:30" s="405" customFormat="1" outlineLevel="1" x14ac:dyDescent="0.2">
      <c r="A411" s="440">
        <v>13</v>
      </c>
      <c r="B411" s="423" t="s">
        <v>544</v>
      </c>
      <c r="C411" s="423" t="s">
        <v>545</v>
      </c>
      <c r="D411" s="427">
        <v>331</v>
      </c>
      <c r="E411" s="423"/>
      <c r="F411" s="577"/>
      <c r="G411" s="577"/>
      <c r="H411" s="577"/>
      <c r="I411" s="577"/>
      <c r="J411" s="577"/>
      <c r="K411" s="577"/>
      <c r="L411" s="577"/>
      <c r="M411" s="577"/>
      <c r="N411" s="577"/>
      <c r="O411" s="577"/>
      <c r="P411" s="577"/>
      <c r="Q411" s="577"/>
      <c r="S411" s="577"/>
      <c r="T411" s="438"/>
      <c r="U411" s="438"/>
      <c r="V411" s="438"/>
      <c r="W411" s="438"/>
      <c r="X411" s="438"/>
      <c r="Y411" s="438"/>
      <c r="Z411" s="438"/>
      <c r="AA411" s="438"/>
      <c r="AB411" s="438"/>
      <c r="AC411" s="438"/>
      <c r="AD411" s="438"/>
    </row>
    <row r="412" spans="1:30" s="405" customFormat="1" outlineLevel="1" x14ac:dyDescent="0.2">
      <c r="A412" s="440">
        <v>14</v>
      </c>
      <c r="B412" s="423" t="s">
        <v>546</v>
      </c>
      <c r="C412" s="423" t="s">
        <v>547</v>
      </c>
      <c r="D412" s="427">
        <v>331</v>
      </c>
      <c r="E412" s="423"/>
      <c r="F412" s="577"/>
      <c r="G412" s="577"/>
      <c r="H412" s="577"/>
      <c r="I412" s="577"/>
      <c r="J412" s="577"/>
      <c r="K412" s="577"/>
      <c r="L412" s="577"/>
      <c r="M412" s="577"/>
      <c r="N412" s="577"/>
      <c r="O412" s="577"/>
      <c r="P412" s="577"/>
      <c r="Q412" s="577"/>
      <c r="S412" s="577"/>
      <c r="T412" s="438"/>
      <c r="U412" s="438"/>
      <c r="V412" s="438"/>
      <c r="W412" s="438"/>
      <c r="X412" s="438"/>
      <c r="Y412" s="438"/>
      <c r="Z412" s="438"/>
      <c r="AA412" s="438"/>
      <c r="AB412" s="438"/>
      <c r="AC412" s="438"/>
      <c r="AD412" s="438"/>
    </row>
    <row r="413" spans="1:30" s="405" customFormat="1" outlineLevel="1" x14ac:dyDescent="0.2">
      <c r="A413" s="440">
        <v>15</v>
      </c>
      <c r="B413" s="423" t="s">
        <v>548</v>
      </c>
      <c r="C413" s="423" t="s">
        <v>549</v>
      </c>
      <c r="D413" s="427">
        <v>331</v>
      </c>
      <c r="E413" s="423"/>
      <c r="F413" s="577"/>
      <c r="G413" s="577"/>
      <c r="H413" s="577"/>
      <c r="I413" s="577"/>
      <c r="J413" s="577"/>
      <c r="K413" s="577"/>
      <c r="L413" s="577"/>
      <c r="M413" s="577"/>
      <c r="N413" s="577"/>
      <c r="O413" s="577"/>
      <c r="P413" s="577"/>
      <c r="Q413" s="577"/>
      <c r="S413" s="577"/>
      <c r="T413" s="438"/>
      <c r="U413" s="438"/>
      <c r="V413" s="438"/>
      <c r="W413" s="438"/>
      <c r="X413" s="438"/>
      <c r="Y413" s="438"/>
      <c r="Z413" s="438"/>
      <c r="AA413" s="438"/>
      <c r="AB413" s="438"/>
      <c r="AC413" s="438"/>
      <c r="AD413" s="438"/>
    </row>
    <row r="414" spans="1:30" s="405" customFormat="1" outlineLevel="1" x14ac:dyDescent="0.2">
      <c r="A414" s="440">
        <v>16</v>
      </c>
      <c r="B414" s="423" t="s">
        <v>550</v>
      </c>
      <c r="C414" s="423" t="s">
        <v>551</v>
      </c>
      <c r="D414" s="427">
        <v>331</v>
      </c>
      <c r="E414" s="423"/>
      <c r="F414" s="577"/>
      <c r="G414" s="577"/>
      <c r="H414" s="577"/>
      <c r="I414" s="577"/>
      <c r="J414" s="577"/>
      <c r="K414" s="577"/>
      <c r="L414" s="577"/>
      <c r="M414" s="577"/>
      <c r="N414" s="577"/>
      <c r="O414" s="577"/>
      <c r="P414" s="577"/>
      <c r="Q414" s="577"/>
      <c r="S414" s="577"/>
      <c r="T414" s="438"/>
      <c r="U414" s="438"/>
      <c r="V414" s="438"/>
      <c r="W414" s="438"/>
      <c r="X414" s="438"/>
      <c r="Y414" s="438"/>
      <c r="Z414" s="438"/>
      <c r="AA414" s="438"/>
      <c r="AB414" s="438"/>
      <c r="AC414" s="438"/>
      <c r="AD414" s="438"/>
    </row>
    <row r="415" spans="1:30" s="405" customFormat="1" outlineLevel="1" x14ac:dyDescent="0.2">
      <c r="A415" s="440">
        <v>17</v>
      </c>
      <c r="B415" s="423" t="s">
        <v>552</v>
      </c>
      <c r="C415" s="423" t="s">
        <v>553</v>
      </c>
      <c r="D415" s="427">
        <v>331</v>
      </c>
      <c r="E415" s="423"/>
      <c r="F415" s="577"/>
      <c r="G415" s="577"/>
      <c r="H415" s="577"/>
      <c r="I415" s="577"/>
      <c r="J415" s="577"/>
      <c r="K415" s="577"/>
      <c r="L415" s="577"/>
      <c r="M415" s="577"/>
      <c r="N415" s="577"/>
      <c r="O415" s="577"/>
      <c r="P415" s="577"/>
      <c r="Q415" s="577"/>
      <c r="S415" s="577"/>
      <c r="T415" s="438"/>
      <c r="U415" s="438"/>
      <c r="V415" s="438"/>
      <c r="W415" s="438"/>
      <c r="X415" s="438"/>
      <c r="Y415" s="438"/>
      <c r="Z415" s="438"/>
      <c r="AA415" s="438"/>
      <c r="AB415" s="438"/>
      <c r="AC415" s="438"/>
      <c r="AD415" s="438"/>
    </row>
    <row r="416" spans="1:30" s="405" customFormat="1" outlineLevel="1" x14ac:dyDescent="0.2">
      <c r="A416" s="440">
        <v>18</v>
      </c>
      <c r="B416" s="423" t="s">
        <v>554</v>
      </c>
      <c r="C416" s="423" t="s">
        <v>555</v>
      </c>
      <c r="D416" s="427">
        <v>331</v>
      </c>
      <c r="E416" s="423"/>
      <c r="F416" s="577"/>
      <c r="G416" s="577"/>
      <c r="H416" s="577"/>
      <c r="I416" s="577"/>
      <c r="J416" s="577"/>
      <c r="K416" s="577"/>
      <c r="L416" s="577"/>
      <c r="M416" s="577"/>
      <c r="N416" s="577"/>
      <c r="O416" s="577"/>
      <c r="P416" s="577"/>
      <c r="Q416" s="577"/>
      <c r="S416" s="577"/>
      <c r="T416" s="438"/>
      <c r="U416" s="438"/>
      <c r="V416" s="438"/>
      <c r="W416" s="438"/>
      <c r="X416" s="438"/>
      <c r="Y416" s="438"/>
      <c r="Z416" s="438"/>
      <c r="AA416" s="438"/>
      <c r="AB416" s="438"/>
      <c r="AC416" s="438"/>
      <c r="AD416" s="438"/>
    </row>
    <row r="417" spans="1:30" s="405" customFormat="1" outlineLevel="1" x14ac:dyDescent="0.2">
      <c r="A417" s="440">
        <v>19</v>
      </c>
      <c r="B417" s="452" t="s">
        <v>556</v>
      </c>
      <c r="C417" s="452" t="s">
        <v>557</v>
      </c>
      <c r="D417" s="427">
        <v>331</v>
      </c>
      <c r="E417" s="423"/>
      <c r="F417" s="577"/>
      <c r="G417" s="577"/>
      <c r="H417" s="577"/>
      <c r="I417" s="577"/>
      <c r="J417" s="577"/>
      <c r="K417" s="577"/>
      <c r="L417" s="577"/>
      <c r="M417" s="577"/>
      <c r="N417" s="577"/>
      <c r="O417" s="577"/>
      <c r="P417" s="577"/>
      <c r="Q417" s="577"/>
      <c r="S417" s="577"/>
      <c r="T417" s="438"/>
      <c r="U417" s="438"/>
      <c r="V417" s="438"/>
      <c r="W417" s="438"/>
      <c r="X417" s="438"/>
      <c r="Y417" s="438"/>
      <c r="Z417" s="438"/>
      <c r="AA417" s="438"/>
      <c r="AB417" s="438"/>
      <c r="AC417" s="438"/>
      <c r="AD417" s="438"/>
    </row>
    <row r="418" spans="1:30" s="405" customFormat="1" outlineLevel="1" x14ac:dyDescent="0.2">
      <c r="A418" s="440">
        <v>20</v>
      </c>
      <c r="B418" s="423" t="s">
        <v>558</v>
      </c>
      <c r="C418" s="423" t="s">
        <v>559</v>
      </c>
      <c r="D418" s="427">
        <v>331</v>
      </c>
      <c r="E418" s="423"/>
      <c r="F418" s="577"/>
      <c r="G418" s="577"/>
      <c r="H418" s="577"/>
      <c r="I418" s="577"/>
      <c r="J418" s="577"/>
      <c r="K418" s="577"/>
      <c r="L418" s="577"/>
      <c r="M418" s="577"/>
      <c r="N418" s="577"/>
      <c r="O418" s="577"/>
      <c r="P418" s="577"/>
      <c r="Q418" s="577"/>
      <c r="S418" s="577"/>
      <c r="T418" s="438"/>
      <c r="U418" s="438"/>
      <c r="V418" s="438"/>
      <c r="W418" s="438"/>
      <c r="X418" s="438"/>
      <c r="Y418" s="438"/>
      <c r="Z418" s="438"/>
      <c r="AA418" s="438"/>
      <c r="AB418" s="438"/>
      <c r="AC418" s="438"/>
      <c r="AD418" s="438"/>
    </row>
    <row r="419" spans="1:30" s="405" customFormat="1" outlineLevel="1" x14ac:dyDescent="0.2">
      <c r="A419" s="440">
        <v>21</v>
      </c>
      <c r="B419" s="423" t="s">
        <v>560</v>
      </c>
      <c r="C419" s="423" t="s">
        <v>561</v>
      </c>
      <c r="D419" s="427">
        <v>331</v>
      </c>
      <c r="E419" s="423"/>
      <c r="F419" s="577"/>
      <c r="G419" s="577"/>
      <c r="H419" s="577"/>
      <c r="I419" s="577"/>
      <c r="J419" s="577"/>
      <c r="K419" s="577"/>
      <c r="L419" s="577"/>
      <c r="M419" s="577"/>
      <c r="N419" s="577"/>
      <c r="O419" s="577"/>
      <c r="P419" s="577"/>
      <c r="Q419" s="577"/>
      <c r="S419" s="577"/>
      <c r="T419" s="438"/>
      <c r="U419" s="438"/>
      <c r="V419" s="438"/>
      <c r="W419" s="438"/>
      <c r="X419" s="438"/>
      <c r="Y419" s="438"/>
      <c r="Z419" s="438"/>
      <c r="AA419" s="438"/>
      <c r="AB419" s="438"/>
      <c r="AC419" s="438"/>
      <c r="AD419" s="438"/>
    </row>
    <row r="420" spans="1:30" s="405" customFormat="1" outlineLevel="1" x14ac:dyDescent="0.2">
      <c r="A420" s="440">
        <v>22</v>
      </c>
      <c r="B420" s="423" t="s">
        <v>562</v>
      </c>
      <c r="C420" s="423" t="s">
        <v>563</v>
      </c>
      <c r="D420" s="427">
        <v>331</v>
      </c>
      <c r="E420" s="423"/>
      <c r="F420" s="577"/>
      <c r="G420" s="577"/>
      <c r="H420" s="577"/>
      <c r="I420" s="577"/>
      <c r="J420" s="577"/>
      <c r="K420" s="577"/>
      <c r="L420" s="577"/>
      <c r="M420" s="577"/>
      <c r="N420" s="577"/>
      <c r="O420" s="577"/>
      <c r="P420" s="577"/>
      <c r="Q420" s="577"/>
      <c r="S420" s="577"/>
      <c r="T420" s="438"/>
      <c r="U420" s="438"/>
      <c r="V420" s="438"/>
      <c r="W420" s="438"/>
      <c r="X420" s="438"/>
      <c r="Y420" s="438"/>
      <c r="Z420" s="438"/>
      <c r="AA420" s="438"/>
      <c r="AB420" s="438"/>
      <c r="AC420" s="438"/>
      <c r="AD420" s="438"/>
    </row>
    <row r="421" spans="1:30" s="405" customFormat="1" x14ac:dyDescent="0.2">
      <c r="A421" s="482"/>
      <c r="B421" s="432"/>
      <c r="C421" s="432"/>
      <c r="D421" s="432"/>
      <c r="E421" s="432"/>
      <c r="F421" s="575"/>
      <c r="G421" s="575"/>
      <c r="H421" s="575"/>
      <c r="I421" s="575"/>
      <c r="J421" s="575"/>
      <c r="K421" s="575"/>
      <c r="L421" s="575"/>
      <c r="M421" s="575"/>
      <c r="N421" s="575"/>
      <c r="O421" s="575"/>
      <c r="P421" s="575"/>
      <c r="Q421" s="575"/>
      <c r="S421" s="575"/>
      <c r="T421" s="475"/>
      <c r="U421" s="475"/>
      <c r="V421" s="475"/>
      <c r="W421" s="475"/>
      <c r="X421" s="475"/>
      <c r="Y421" s="475"/>
      <c r="Z421" s="475"/>
      <c r="AA421" s="475"/>
      <c r="AB421" s="475"/>
      <c r="AC421" s="475"/>
      <c r="AD421" s="475"/>
    </row>
    <row r="422" spans="1:30" s="405" customFormat="1" x14ac:dyDescent="0.2">
      <c r="A422" s="539" t="s">
        <v>620</v>
      </c>
      <c r="B422" s="536" t="s">
        <v>621</v>
      </c>
      <c r="C422" s="536"/>
      <c r="D422" s="541"/>
      <c r="E422" s="541"/>
      <c r="F422" s="544" t="s">
        <v>615</v>
      </c>
      <c r="G422" s="544" t="s">
        <v>488</v>
      </c>
      <c r="H422" s="544" t="s">
        <v>489</v>
      </c>
      <c r="I422" s="544" t="s">
        <v>490</v>
      </c>
      <c r="J422" s="544" t="s">
        <v>491</v>
      </c>
      <c r="K422" s="544" t="s">
        <v>492</v>
      </c>
      <c r="L422" s="544" t="s">
        <v>493</v>
      </c>
      <c r="M422" s="544" t="s">
        <v>494</v>
      </c>
      <c r="N422" s="544" t="s">
        <v>495</v>
      </c>
      <c r="O422" s="544" t="s">
        <v>496</v>
      </c>
      <c r="P422" s="544" t="s">
        <v>497</v>
      </c>
      <c r="Q422" s="544" t="s">
        <v>498</v>
      </c>
      <c r="S422" s="544" t="s">
        <v>487</v>
      </c>
      <c r="T422" s="544" t="s">
        <v>488</v>
      </c>
      <c r="U422" s="544" t="s">
        <v>489</v>
      </c>
      <c r="V422" s="544" t="s">
        <v>490</v>
      </c>
      <c r="W422" s="544" t="s">
        <v>491</v>
      </c>
      <c r="X422" s="544" t="s">
        <v>492</v>
      </c>
      <c r="Y422" s="544" t="s">
        <v>493</v>
      </c>
      <c r="Z422" s="544" t="s">
        <v>494</v>
      </c>
      <c r="AA422" s="544" t="s">
        <v>495</v>
      </c>
      <c r="AB422" s="544" t="s">
        <v>496</v>
      </c>
      <c r="AC422" s="544" t="s">
        <v>497</v>
      </c>
      <c r="AD422" s="544" t="s">
        <v>498</v>
      </c>
    </row>
    <row r="423" spans="1:30" s="405" customFormat="1" x14ac:dyDescent="0.2">
      <c r="A423" s="476"/>
      <c r="B423" s="509" t="s">
        <v>622</v>
      </c>
      <c r="C423" s="509"/>
      <c r="D423" s="510"/>
      <c r="E423" s="423"/>
      <c r="F423" s="603"/>
      <c r="G423" s="603"/>
      <c r="H423" s="603"/>
      <c r="I423" s="603"/>
      <c r="J423" s="603"/>
      <c r="K423" s="603"/>
      <c r="L423" s="603"/>
      <c r="M423" s="603"/>
      <c r="N423" s="603"/>
      <c r="O423" s="603"/>
      <c r="P423" s="603"/>
      <c r="Q423" s="603"/>
      <c r="S423" s="603"/>
      <c r="T423" s="605"/>
      <c r="U423" s="605"/>
      <c r="V423" s="605"/>
      <c r="W423" s="605"/>
      <c r="X423" s="605"/>
      <c r="Y423" s="605"/>
      <c r="Z423" s="605"/>
      <c r="AA423" s="605"/>
      <c r="AB423" s="605"/>
      <c r="AC423" s="605"/>
      <c r="AD423" s="605"/>
    </row>
    <row r="424" spans="1:30" s="405" customFormat="1" outlineLevel="1" x14ac:dyDescent="0.2">
      <c r="A424" s="440">
        <v>1</v>
      </c>
      <c r="B424" s="506" t="s">
        <v>503</v>
      </c>
      <c r="C424" s="506" t="s">
        <v>504</v>
      </c>
      <c r="D424" s="427">
        <v>128</v>
      </c>
      <c r="E424" s="423"/>
      <c r="F424" s="573"/>
      <c r="G424" s="573"/>
      <c r="H424" s="573"/>
      <c r="I424" s="573"/>
      <c r="J424" s="573"/>
      <c r="K424" s="573"/>
      <c r="L424" s="573"/>
      <c r="M424" s="573"/>
      <c r="N424" s="573"/>
      <c r="O424" s="573"/>
      <c r="P424" s="573"/>
      <c r="Q424" s="573"/>
      <c r="S424" s="573"/>
      <c r="T424" s="438"/>
      <c r="U424" s="438"/>
      <c r="V424" s="438"/>
      <c r="W424" s="438"/>
      <c r="X424" s="438"/>
      <c r="Y424" s="438"/>
      <c r="Z424" s="438"/>
      <c r="AA424" s="438"/>
      <c r="AB424" s="438"/>
      <c r="AC424" s="438"/>
      <c r="AD424" s="438"/>
    </row>
    <row r="425" spans="1:30" s="586" customFormat="1" x14ac:dyDescent="0.2">
      <c r="A425" s="593">
        <v>2</v>
      </c>
      <c r="B425" s="594" t="s">
        <v>513</v>
      </c>
      <c r="C425" s="594" t="s">
        <v>514</v>
      </c>
      <c r="D425" s="589">
        <v>128</v>
      </c>
      <c r="E425" s="590"/>
      <c r="F425" s="591"/>
      <c r="G425" s="591"/>
      <c r="H425" s="591"/>
      <c r="I425" s="591"/>
      <c r="J425" s="591"/>
      <c r="K425" s="591"/>
      <c r="L425" s="591"/>
      <c r="M425" s="591"/>
      <c r="N425" s="591"/>
      <c r="O425" s="591"/>
      <c r="P425" s="591"/>
      <c r="Q425" s="591"/>
      <c r="S425" s="591"/>
      <c r="T425" s="592"/>
      <c r="U425" s="592"/>
      <c r="V425" s="592"/>
      <c r="W425" s="592"/>
      <c r="X425" s="592"/>
      <c r="Y425" s="592"/>
      <c r="Z425" s="592"/>
      <c r="AA425" s="592"/>
      <c r="AB425" s="592"/>
      <c r="AC425" s="592"/>
      <c r="AD425" s="592"/>
    </row>
    <row r="426" spans="1:30" s="405" customFormat="1" outlineLevel="1" x14ac:dyDescent="0.2">
      <c r="A426" s="440">
        <v>3</v>
      </c>
      <c r="B426" s="506" t="s">
        <v>519</v>
      </c>
      <c r="C426" s="506" t="s">
        <v>520</v>
      </c>
      <c r="D426" s="427">
        <v>128</v>
      </c>
      <c r="E426" s="423"/>
      <c r="F426" s="573"/>
      <c r="G426" s="573"/>
      <c r="H426" s="573"/>
      <c r="I426" s="573"/>
      <c r="J426" s="573"/>
      <c r="K426" s="573"/>
      <c r="L426" s="573"/>
      <c r="M426" s="573"/>
      <c r="N426" s="573"/>
      <c r="O426" s="573"/>
      <c r="P426" s="573"/>
      <c r="Q426" s="573"/>
      <c r="S426" s="573"/>
      <c r="T426" s="438"/>
      <c r="U426" s="438"/>
      <c r="V426" s="438"/>
      <c r="W426" s="438"/>
      <c r="X426" s="438"/>
      <c r="Y426" s="438"/>
      <c r="Z426" s="438"/>
      <c r="AA426" s="438"/>
      <c r="AB426" s="438"/>
      <c r="AC426" s="438"/>
      <c r="AD426" s="438"/>
    </row>
    <row r="427" spans="1:30" s="405" customFormat="1" outlineLevel="1" x14ac:dyDescent="0.2">
      <c r="A427" s="440">
        <v>4</v>
      </c>
      <c r="B427" s="506" t="s">
        <v>522</v>
      </c>
      <c r="C427" s="506" t="s">
        <v>523</v>
      </c>
      <c r="D427" s="427">
        <v>128</v>
      </c>
      <c r="E427" s="423"/>
      <c r="F427" s="573"/>
      <c r="G427" s="573"/>
      <c r="H427" s="573"/>
      <c r="I427" s="573"/>
      <c r="J427" s="573"/>
      <c r="K427" s="573"/>
      <c r="L427" s="573"/>
      <c r="M427" s="573"/>
      <c r="N427" s="573"/>
      <c r="O427" s="573"/>
      <c r="P427" s="573"/>
      <c r="Q427" s="573"/>
      <c r="S427" s="573"/>
      <c r="T427" s="438"/>
      <c r="U427" s="438"/>
      <c r="V427" s="438"/>
      <c r="W427" s="438"/>
      <c r="X427" s="438"/>
      <c r="Y427" s="438"/>
      <c r="Z427" s="438"/>
      <c r="AA427" s="438"/>
      <c r="AB427" s="438"/>
      <c r="AC427" s="438"/>
      <c r="AD427" s="438"/>
    </row>
    <row r="428" spans="1:30" s="405" customFormat="1" outlineLevel="1" x14ac:dyDescent="0.2">
      <c r="A428" s="440">
        <v>5</v>
      </c>
      <c r="B428" s="506" t="s">
        <v>524</v>
      </c>
      <c r="C428" s="506" t="s">
        <v>525</v>
      </c>
      <c r="D428" s="427">
        <v>128</v>
      </c>
      <c r="E428" s="423"/>
      <c r="F428" s="573"/>
      <c r="G428" s="573"/>
      <c r="H428" s="573"/>
      <c r="I428" s="573"/>
      <c r="J428" s="573"/>
      <c r="K428" s="573"/>
      <c r="L428" s="573"/>
      <c r="M428" s="573"/>
      <c r="N428" s="573"/>
      <c r="O428" s="573"/>
      <c r="P428" s="573"/>
      <c r="Q428" s="573"/>
      <c r="S428" s="573"/>
      <c r="T428" s="438"/>
      <c r="U428" s="438"/>
      <c r="V428" s="438"/>
      <c r="W428" s="438"/>
      <c r="X428" s="438"/>
      <c r="Y428" s="438"/>
      <c r="Z428" s="438"/>
      <c r="AA428" s="438"/>
      <c r="AB428" s="438"/>
      <c r="AC428" s="438"/>
      <c r="AD428" s="438"/>
    </row>
    <row r="429" spans="1:30" s="405" customFormat="1" outlineLevel="1" x14ac:dyDescent="0.2">
      <c r="A429" s="440">
        <v>6</v>
      </c>
      <c r="B429" s="506" t="s">
        <v>527</v>
      </c>
      <c r="C429" s="506" t="s">
        <v>528</v>
      </c>
      <c r="D429" s="427">
        <v>128</v>
      </c>
      <c r="E429" s="423"/>
      <c r="F429" s="573"/>
      <c r="G429" s="573"/>
      <c r="H429" s="573"/>
      <c r="I429" s="573"/>
      <c r="J429" s="573"/>
      <c r="K429" s="573"/>
      <c r="L429" s="573"/>
      <c r="M429" s="573"/>
      <c r="N429" s="573"/>
      <c r="O429" s="573"/>
      <c r="P429" s="573"/>
      <c r="Q429" s="573"/>
      <c r="S429" s="573"/>
      <c r="T429" s="438"/>
      <c r="U429" s="438"/>
      <c r="V429" s="438"/>
      <c r="W429" s="438"/>
      <c r="X429" s="438"/>
      <c r="Y429" s="438"/>
      <c r="Z429" s="438"/>
      <c r="AA429" s="438"/>
      <c r="AB429" s="438"/>
      <c r="AC429" s="438"/>
      <c r="AD429" s="438"/>
    </row>
    <row r="430" spans="1:30" s="405" customFormat="1" outlineLevel="1" x14ac:dyDescent="0.2">
      <c r="A430" s="440">
        <v>7</v>
      </c>
      <c r="B430" s="452" t="s">
        <v>531</v>
      </c>
      <c r="C430" s="452" t="s">
        <v>532</v>
      </c>
      <c r="D430" s="427">
        <v>128</v>
      </c>
      <c r="E430" s="423"/>
      <c r="F430" s="573"/>
      <c r="G430" s="573"/>
      <c r="H430" s="573"/>
      <c r="I430" s="573"/>
      <c r="J430" s="573"/>
      <c r="K430" s="573"/>
      <c r="L430" s="573"/>
      <c r="M430" s="573"/>
      <c r="N430" s="573"/>
      <c r="O430" s="573"/>
      <c r="P430" s="573"/>
      <c r="Q430" s="573"/>
      <c r="S430" s="573"/>
      <c r="T430" s="438"/>
      <c r="U430" s="438"/>
      <c r="V430" s="438"/>
      <c r="W430" s="438"/>
      <c r="X430" s="438"/>
      <c r="Y430" s="438"/>
      <c r="Z430" s="438"/>
      <c r="AA430" s="438"/>
      <c r="AB430" s="438"/>
      <c r="AC430" s="438"/>
      <c r="AD430" s="438"/>
    </row>
    <row r="431" spans="1:30" s="405" customFormat="1" outlineLevel="1" x14ac:dyDescent="0.2">
      <c r="A431" s="440">
        <v>8</v>
      </c>
      <c r="B431" s="506" t="s">
        <v>533</v>
      </c>
      <c r="C431" s="506" t="s">
        <v>534</v>
      </c>
      <c r="D431" s="427">
        <v>128</v>
      </c>
      <c r="E431" s="423"/>
      <c r="F431" s="573"/>
      <c r="G431" s="573"/>
      <c r="H431" s="573"/>
      <c r="I431" s="573"/>
      <c r="J431" s="573"/>
      <c r="K431" s="573"/>
      <c r="L431" s="573"/>
      <c r="M431" s="573"/>
      <c r="N431" s="573"/>
      <c r="O431" s="573"/>
      <c r="P431" s="573"/>
      <c r="Q431" s="573"/>
      <c r="S431" s="573"/>
      <c r="T431" s="438"/>
      <c r="U431" s="438"/>
      <c r="V431" s="438"/>
      <c r="W431" s="438"/>
      <c r="X431" s="438"/>
      <c r="Y431" s="438"/>
      <c r="Z431" s="438"/>
      <c r="AA431" s="438"/>
      <c r="AB431" s="438"/>
      <c r="AC431" s="438"/>
      <c r="AD431" s="438"/>
    </row>
    <row r="432" spans="1:30" s="405" customFormat="1" outlineLevel="1" x14ac:dyDescent="0.2">
      <c r="A432" s="440">
        <v>9</v>
      </c>
      <c r="B432" s="506" t="s">
        <v>536</v>
      </c>
      <c r="C432" s="506" t="s">
        <v>537</v>
      </c>
      <c r="D432" s="427">
        <v>128</v>
      </c>
      <c r="E432" s="423"/>
      <c r="F432" s="573"/>
      <c r="G432" s="573"/>
      <c r="H432" s="573"/>
      <c r="I432" s="573"/>
      <c r="J432" s="573"/>
      <c r="K432" s="573"/>
      <c r="L432" s="573"/>
      <c r="M432" s="573"/>
      <c r="N432" s="573"/>
      <c r="O432" s="573"/>
      <c r="P432" s="573"/>
      <c r="Q432" s="573"/>
      <c r="S432" s="573"/>
      <c r="T432" s="438"/>
      <c r="U432" s="438"/>
      <c r="V432" s="438"/>
      <c r="W432" s="438"/>
      <c r="X432" s="438"/>
      <c r="Y432" s="438"/>
      <c r="Z432" s="438"/>
      <c r="AA432" s="438"/>
      <c r="AB432" s="438"/>
      <c r="AC432" s="438"/>
      <c r="AD432" s="438"/>
    </row>
    <row r="433" spans="1:30" s="405" customFormat="1" outlineLevel="1" x14ac:dyDescent="0.2">
      <c r="A433" s="440">
        <v>10</v>
      </c>
      <c r="B433" s="506" t="s">
        <v>538</v>
      </c>
      <c r="C433" s="506" t="s">
        <v>539</v>
      </c>
      <c r="D433" s="427">
        <v>128</v>
      </c>
      <c r="E433" s="423"/>
      <c r="F433" s="573"/>
      <c r="G433" s="573"/>
      <c r="H433" s="573"/>
      <c r="I433" s="573"/>
      <c r="J433" s="573"/>
      <c r="K433" s="573"/>
      <c r="L433" s="573"/>
      <c r="M433" s="573"/>
      <c r="N433" s="573"/>
      <c r="O433" s="573"/>
      <c r="P433" s="573"/>
      <c r="Q433" s="573"/>
      <c r="S433" s="573"/>
      <c r="T433" s="438"/>
      <c r="U433" s="438"/>
      <c r="V433" s="438"/>
      <c r="W433" s="438"/>
      <c r="X433" s="438"/>
      <c r="Y433" s="438"/>
      <c r="Z433" s="438"/>
      <c r="AA433" s="438"/>
      <c r="AB433" s="438"/>
      <c r="AC433" s="438"/>
      <c r="AD433" s="438"/>
    </row>
    <row r="434" spans="1:30" s="405" customFormat="1" outlineLevel="1" x14ac:dyDescent="0.2">
      <c r="A434" s="440">
        <v>11</v>
      </c>
      <c r="B434" s="506" t="s">
        <v>540</v>
      </c>
      <c r="C434" s="506" t="s">
        <v>541</v>
      </c>
      <c r="D434" s="427">
        <v>128</v>
      </c>
      <c r="E434" s="423"/>
      <c r="F434" s="573"/>
      <c r="G434" s="573"/>
      <c r="H434" s="573"/>
      <c r="I434" s="573"/>
      <c r="J434" s="573"/>
      <c r="K434" s="573"/>
      <c r="L434" s="573"/>
      <c r="M434" s="573"/>
      <c r="N434" s="573"/>
      <c r="O434" s="573"/>
      <c r="P434" s="573"/>
      <c r="Q434" s="573"/>
      <c r="S434" s="573"/>
      <c r="T434" s="438"/>
      <c r="U434" s="438"/>
      <c r="V434" s="438"/>
      <c r="W434" s="438"/>
      <c r="X434" s="438"/>
      <c r="Y434" s="438"/>
      <c r="Z434" s="438"/>
      <c r="AA434" s="438"/>
      <c r="AB434" s="438"/>
      <c r="AC434" s="438"/>
      <c r="AD434" s="438"/>
    </row>
    <row r="435" spans="1:30" s="405" customFormat="1" outlineLevel="1" x14ac:dyDescent="0.2">
      <c r="A435" s="440">
        <v>12</v>
      </c>
      <c r="B435" s="506" t="s">
        <v>542</v>
      </c>
      <c r="C435" s="506" t="s">
        <v>543</v>
      </c>
      <c r="D435" s="427">
        <v>128</v>
      </c>
      <c r="E435" s="423"/>
      <c r="F435" s="573"/>
      <c r="G435" s="573"/>
      <c r="H435" s="573"/>
      <c r="I435" s="573"/>
      <c r="J435" s="573"/>
      <c r="K435" s="573"/>
      <c r="L435" s="573"/>
      <c r="M435" s="573"/>
      <c r="N435" s="573"/>
      <c r="O435" s="573"/>
      <c r="P435" s="573"/>
      <c r="Q435" s="573"/>
      <c r="S435" s="573"/>
      <c r="T435" s="438"/>
      <c r="U435" s="438"/>
      <c r="V435" s="438"/>
      <c r="W435" s="438"/>
      <c r="X435" s="438"/>
      <c r="Y435" s="438"/>
      <c r="Z435" s="438"/>
      <c r="AA435" s="438"/>
      <c r="AB435" s="438"/>
      <c r="AC435" s="438"/>
      <c r="AD435" s="438"/>
    </row>
    <row r="436" spans="1:30" s="405" customFormat="1" outlineLevel="1" x14ac:dyDescent="0.2">
      <c r="A436" s="440">
        <v>13</v>
      </c>
      <c r="B436" s="506" t="s">
        <v>544</v>
      </c>
      <c r="C436" s="506" t="s">
        <v>545</v>
      </c>
      <c r="D436" s="427">
        <v>128</v>
      </c>
      <c r="E436" s="423"/>
      <c r="F436" s="573"/>
      <c r="G436" s="573"/>
      <c r="H436" s="573"/>
      <c r="I436" s="573"/>
      <c r="J436" s="573"/>
      <c r="K436" s="573"/>
      <c r="L436" s="573"/>
      <c r="M436" s="573"/>
      <c r="N436" s="573"/>
      <c r="O436" s="573"/>
      <c r="P436" s="573"/>
      <c r="Q436" s="573"/>
      <c r="S436" s="573"/>
      <c r="T436" s="438"/>
      <c r="U436" s="438"/>
      <c r="V436" s="438"/>
      <c r="W436" s="438"/>
      <c r="X436" s="438"/>
      <c r="Y436" s="438"/>
      <c r="Z436" s="438"/>
      <c r="AA436" s="438"/>
      <c r="AB436" s="438"/>
      <c r="AC436" s="438"/>
      <c r="AD436" s="438"/>
    </row>
    <row r="437" spans="1:30" s="405" customFormat="1" outlineLevel="1" x14ac:dyDescent="0.2">
      <c r="A437" s="440">
        <v>14</v>
      </c>
      <c r="B437" s="506" t="s">
        <v>546</v>
      </c>
      <c r="C437" s="506" t="s">
        <v>547</v>
      </c>
      <c r="D437" s="427">
        <v>128</v>
      </c>
      <c r="E437" s="423"/>
      <c r="F437" s="573"/>
      <c r="G437" s="573"/>
      <c r="H437" s="573"/>
      <c r="I437" s="573"/>
      <c r="J437" s="573"/>
      <c r="K437" s="573"/>
      <c r="L437" s="573"/>
      <c r="M437" s="573"/>
      <c r="N437" s="573"/>
      <c r="O437" s="573"/>
      <c r="P437" s="573"/>
      <c r="Q437" s="573"/>
      <c r="S437" s="573"/>
      <c r="T437" s="438"/>
      <c r="U437" s="438"/>
      <c r="V437" s="438"/>
      <c r="W437" s="438"/>
      <c r="X437" s="438"/>
      <c r="Y437" s="438"/>
      <c r="Z437" s="438"/>
      <c r="AA437" s="438"/>
      <c r="AB437" s="438"/>
      <c r="AC437" s="438"/>
      <c r="AD437" s="438"/>
    </row>
    <row r="438" spans="1:30" s="405" customFormat="1" outlineLevel="1" x14ac:dyDescent="0.2">
      <c r="A438" s="440">
        <v>15</v>
      </c>
      <c r="B438" s="506" t="s">
        <v>548</v>
      </c>
      <c r="C438" s="506" t="s">
        <v>549</v>
      </c>
      <c r="D438" s="427">
        <v>128</v>
      </c>
      <c r="E438" s="423"/>
      <c r="F438" s="573"/>
      <c r="G438" s="573"/>
      <c r="H438" s="573"/>
      <c r="I438" s="573"/>
      <c r="J438" s="573"/>
      <c r="K438" s="573"/>
      <c r="L438" s="573"/>
      <c r="M438" s="573"/>
      <c r="N438" s="573"/>
      <c r="O438" s="573"/>
      <c r="P438" s="573"/>
      <c r="Q438" s="573"/>
      <c r="S438" s="573"/>
      <c r="T438" s="438"/>
      <c r="U438" s="438"/>
      <c r="V438" s="438"/>
      <c r="W438" s="438"/>
      <c r="X438" s="438"/>
      <c r="Y438" s="438"/>
      <c r="Z438" s="438"/>
      <c r="AA438" s="438"/>
      <c r="AB438" s="438"/>
      <c r="AC438" s="438"/>
      <c r="AD438" s="438"/>
    </row>
    <row r="439" spans="1:30" s="405" customFormat="1" outlineLevel="1" x14ac:dyDescent="0.2">
      <c r="A439" s="440">
        <v>16</v>
      </c>
      <c r="B439" s="506" t="s">
        <v>550</v>
      </c>
      <c r="C439" s="506" t="s">
        <v>551</v>
      </c>
      <c r="D439" s="427">
        <v>128</v>
      </c>
      <c r="E439" s="423"/>
      <c r="F439" s="573"/>
      <c r="G439" s="573"/>
      <c r="H439" s="573"/>
      <c r="I439" s="573"/>
      <c r="J439" s="573"/>
      <c r="K439" s="573"/>
      <c r="L439" s="573"/>
      <c r="M439" s="573"/>
      <c r="N439" s="573"/>
      <c r="O439" s="573"/>
      <c r="P439" s="573"/>
      <c r="Q439" s="573"/>
      <c r="S439" s="573"/>
      <c r="T439" s="438"/>
      <c r="U439" s="438"/>
      <c r="V439" s="438"/>
      <c r="W439" s="438"/>
      <c r="X439" s="438"/>
      <c r="Y439" s="438"/>
      <c r="Z439" s="438"/>
      <c r="AA439" s="438"/>
      <c r="AB439" s="438"/>
      <c r="AC439" s="438"/>
      <c r="AD439" s="438"/>
    </row>
    <row r="440" spans="1:30" s="405" customFormat="1" outlineLevel="1" x14ac:dyDescent="0.2">
      <c r="A440" s="440">
        <v>17</v>
      </c>
      <c r="B440" s="506" t="s">
        <v>552</v>
      </c>
      <c r="C440" s="506" t="s">
        <v>553</v>
      </c>
      <c r="D440" s="427">
        <v>128</v>
      </c>
      <c r="E440" s="423"/>
      <c r="F440" s="573"/>
      <c r="G440" s="573"/>
      <c r="H440" s="573"/>
      <c r="I440" s="573"/>
      <c r="J440" s="573"/>
      <c r="K440" s="573"/>
      <c r="L440" s="573"/>
      <c r="M440" s="573"/>
      <c r="N440" s="573"/>
      <c r="O440" s="573"/>
      <c r="P440" s="573"/>
      <c r="Q440" s="573"/>
      <c r="S440" s="573"/>
      <c r="T440" s="438"/>
      <c r="U440" s="438"/>
      <c r="V440" s="438"/>
      <c r="W440" s="438"/>
      <c r="X440" s="438"/>
      <c r="Y440" s="438"/>
      <c r="Z440" s="438"/>
      <c r="AA440" s="438"/>
      <c r="AB440" s="438"/>
      <c r="AC440" s="438"/>
      <c r="AD440" s="438"/>
    </row>
    <row r="441" spans="1:30" s="405" customFormat="1" outlineLevel="1" x14ac:dyDescent="0.2">
      <c r="A441" s="440">
        <v>18</v>
      </c>
      <c r="B441" s="506" t="s">
        <v>554</v>
      </c>
      <c r="C441" s="506" t="s">
        <v>555</v>
      </c>
      <c r="D441" s="427">
        <v>128</v>
      </c>
      <c r="E441" s="423"/>
      <c r="F441" s="573"/>
      <c r="G441" s="573"/>
      <c r="H441" s="573"/>
      <c r="I441" s="573"/>
      <c r="J441" s="573"/>
      <c r="K441" s="573"/>
      <c r="L441" s="573"/>
      <c r="M441" s="573"/>
      <c r="N441" s="573"/>
      <c r="O441" s="573"/>
      <c r="P441" s="573"/>
      <c r="Q441" s="573"/>
      <c r="S441" s="573"/>
      <c r="T441" s="438"/>
      <c r="U441" s="438"/>
      <c r="V441" s="438"/>
      <c r="W441" s="438"/>
      <c r="X441" s="438"/>
      <c r="Y441" s="438"/>
      <c r="Z441" s="438"/>
      <c r="AA441" s="438"/>
      <c r="AB441" s="438"/>
      <c r="AC441" s="438"/>
      <c r="AD441" s="438"/>
    </row>
    <row r="442" spans="1:30" s="405" customFormat="1" outlineLevel="1" x14ac:dyDescent="0.2">
      <c r="A442" s="440">
        <v>19</v>
      </c>
      <c r="B442" s="452" t="s">
        <v>556</v>
      </c>
      <c r="C442" s="452" t="s">
        <v>557</v>
      </c>
      <c r="D442" s="427">
        <v>128</v>
      </c>
      <c r="E442" s="423"/>
      <c r="F442" s="573"/>
      <c r="G442" s="573"/>
      <c r="H442" s="573"/>
      <c r="I442" s="573"/>
      <c r="J442" s="573"/>
      <c r="K442" s="573"/>
      <c r="L442" s="573"/>
      <c r="M442" s="573"/>
      <c r="N442" s="573"/>
      <c r="O442" s="573"/>
      <c r="P442" s="573"/>
      <c r="Q442" s="573"/>
      <c r="S442" s="573"/>
      <c r="T442" s="438"/>
      <c r="U442" s="438"/>
      <c r="V442" s="438"/>
      <c r="W442" s="438"/>
      <c r="X442" s="438"/>
      <c r="Y442" s="438"/>
      <c r="Z442" s="438"/>
      <c r="AA442" s="438"/>
      <c r="AB442" s="438"/>
      <c r="AC442" s="438"/>
      <c r="AD442" s="438"/>
    </row>
    <row r="443" spans="1:30" s="405" customFormat="1" outlineLevel="1" x14ac:dyDescent="0.2">
      <c r="A443" s="440">
        <v>20</v>
      </c>
      <c r="B443" s="506" t="s">
        <v>558</v>
      </c>
      <c r="C443" s="506" t="s">
        <v>559</v>
      </c>
      <c r="D443" s="427">
        <v>128</v>
      </c>
      <c r="E443" s="423"/>
      <c r="F443" s="573"/>
      <c r="G443" s="573"/>
      <c r="H443" s="573"/>
      <c r="I443" s="573"/>
      <c r="J443" s="573"/>
      <c r="K443" s="573"/>
      <c r="L443" s="573"/>
      <c r="M443" s="573"/>
      <c r="N443" s="573"/>
      <c r="O443" s="573"/>
      <c r="P443" s="573"/>
      <c r="Q443" s="573"/>
      <c r="S443" s="573"/>
      <c r="T443" s="438"/>
      <c r="U443" s="438"/>
      <c r="V443" s="438"/>
      <c r="W443" s="438"/>
      <c r="X443" s="438"/>
      <c r="Y443" s="438"/>
      <c r="Z443" s="438"/>
      <c r="AA443" s="438"/>
      <c r="AB443" s="438"/>
      <c r="AC443" s="438"/>
      <c r="AD443" s="438"/>
    </row>
    <row r="444" spans="1:30" s="405" customFormat="1" outlineLevel="1" x14ac:dyDescent="0.2">
      <c r="A444" s="440">
        <v>21</v>
      </c>
      <c r="B444" s="506" t="s">
        <v>560</v>
      </c>
      <c r="C444" s="506" t="s">
        <v>561</v>
      </c>
      <c r="D444" s="427">
        <v>128</v>
      </c>
      <c r="E444" s="423"/>
      <c r="F444" s="573"/>
      <c r="G444" s="573"/>
      <c r="H444" s="573"/>
      <c r="I444" s="573"/>
      <c r="J444" s="573"/>
      <c r="K444" s="573"/>
      <c r="L444" s="573"/>
      <c r="M444" s="573"/>
      <c r="N444" s="573"/>
      <c r="O444" s="573"/>
      <c r="P444" s="573"/>
      <c r="Q444" s="573"/>
      <c r="S444" s="573"/>
      <c r="T444" s="438"/>
      <c r="U444" s="438"/>
      <c r="V444" s="438"/>
      <c r="W444" s="438"/>
      <c r="X444" s="438"/>
      <c r="Y444" s="438"/>
      <c r="Z444" s="438"/>
      <c r="AA444" s="438"/>
      <c r="AB444" s="438"/>
      <c r="AC444" s="438"/>
      <c r="AD444" s="438"/>
    </row>
    <row r="445" spans="1:30" s="405" customFormat="1" outlineLevel="1" x14ac:dyDescent="0.2">
      <c r="A445" s="440">
        <v>22</v>
      </c>
      <c r="B445" s="506" t="s">
        <v>562</v>
      </c>
      <c r="C445" s="506" t="s">
        <v>563</v>
      </c>
      <c r="D445" s="427">
        <v>128</v>
      </c>
      <c r="E445" s="423"/>
      <c r="F445" s="573"/>
      <c r="G445" s="573"/>
      <c r="H445" s="573"/>
      <c r="I445" s="573"/>
      <c r="J445" s="573"/>
      <c r="K445" s="573"/>
      <c r="L445" s="573"/>
      <c r="M445" s="573"/>
      <c r="N445" s="573"/>
      <c r="O445" s="573"/>
      <c r="P445" s="573"/>
      <c r="Q445" s="573"/>
      <c r="S445" s="573"/>
      <c r="T445" s="438"/>
      <c r="U445" s="438"/>
      <c r="V445" s="438"/>
      <c r="W445" s="438"/>
      <c r="X445" s="438"/>
      <c r="Y445" s="438"/>
      <c r="Z445" s="438"/>
      <c r="AA445" s="438"/>
      <c r="AB445" s="438"/>
      <c r="AC445" s="438"/>
      <c r="AD445" s="438"/>
    </row>
    <row r="446" spans="1:30" s="405" customFormat="1" x14ac:dyDescent="0.2">
      <c r="A446" s="440"/>
      <c r="B446" s="506"/>
      <c r="C446" s="506"/>
      <c r="D446" s="427"/>
      <c r="E446" s="423"/>
      <c r="F446" s="573"/>
      <c r="G446" s="573"/>
      <c r="H446" s="573"/>
      <c r="I446" s="573"/>
      <c r="J446" s="573"/>
      <c r="K446" s="573"/>
      <c r="L446" s="573"/>
      <c r="M446" s="573"/>
      <c r="N446" s="573"/>
      <c r="O446" s="573"/>
      <c r="P446" s="573"/>
      <c r="Q446" s="573"/>
      <c r="S446" s="573"/>
      <c r="T446" s="438"/>
      <c r="U446" s="438"/>
      <c r="V446" s="438"/>
      <c r="W446" s="438"/>
      <c r="X446" s="438"/>
      <c r="Y446" s="438"/>
      <c r="Z446" s="438"/>
      <c r="AA446" s="438"/>
      <c r="AB446" s="438"/>
      <c r="AC446" s="438"/>
      <c r="AD446" s="438"/>
    </row>
    <row r="447" spans="1:30" s="405" customFormat="1" x14ac:dyDescent="0.2">
      <c r="A447" s="476"/>
      <c r="B447" s="509" t="s">
        <v>623</v>
      </c>
      <c r="C447" s="509"/>
      <c r="D447" s="510"/>
      <c r="E447" s="423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S447" s="439"/>
      <c r="T447" s="438"/>
      <c r="U447" s="438"/>
      <c r="V447" s="438"/>
      <c r="W447" s="438"/>
      <c r="X447" s="438"/>
      <c r="Y447" s="438"/>
      <c r="Z447" s="438"/>
      <c r="AA447" s="438"/>
      <c r="AB447" s="438"/>
      <c r="AC447" s="438"/>
      <c r="AD447" s="438"/>
    </row>
    <row r="448" spans="1:30" s="405" customFormat="1" x14ac:dyDescent="0.2">
      <c r="A448" s="442"/>
      <c r="B448" s="423" t="s">
        <v>587</v>
      </c>
      <c r="C448" s="423"/>
      <c r="D448" s="427">
        <v>128</v>
      </c>
      <c r="E448" s="426"/>
      <c r="F448" s="573"/>
      <c r="G448" s="573"/>
      <c r="H448" s="573"/>
      <c r="I448" s="573"/>
      <c r="J448" s="573"/>
      <c r="K448" s="573"/>
      <c r="L448" s="573"/>
      <c r="M448" s="573"/>
      <c r="N448" s="573"/>
      <c r="O448" s="573"/>
      <c r="P448" s="573"/>
      <c r="Q448" s="573"/>
      <c r="S448" s="573"/>
      <c r="T448" s="438"/>
      <c r="U448" s="438"/>
      <c r="V448" s="438"/>
      <c r="W448" s="438"/>
      <c r="X448" s="438"/>
      <c r="Y448" s="438"/>
      <c r="Z448" s="438"/>
      <c r="AA448" s="438"/>
      <c r="AB448" s="438"/>
      <c r="AC448" s="438"/>
      <c r="AD448" s="438"/>
    </row>
    <row r="449" spans="1:30" s="405" customFormat="1" x14ac:dyDescent="0.2">
      <c r="A449" s="442"/>
      <c r="B449" s="527"/>
      <c r="C449" s="527"/>
      <c r="D449" s="504"/>
      <c r="E449" s="426"/>
      <c r="F449" s="575"/>
      <c r="G449" s="575"/>
      <c r="H449" s="575"/>
      <c r="I449" s="575"/>
      <c r="J449" s="575"/>
      <c r="K449" s="575"/>
      <c r="L449" s="575"/>
      <c r="M449" s="575"/>
      <c r="N449" s="575"/>
      <c r="O449" s="575"/>
      <c r="P449" s="575"/>
      <c r="Q449" s="575"/>
      <c r="S449" s="575"/>
      <c r="T449" s="475"/>
      <c r="U449" s="475"/>
      <c r="V449" s="475"/>
      <c r="W449" s="475"/>
      <c r="X449" s="475"/>
      <c r="Y449" s="475"/>
      <c r="Z449" s="475"/>
      <c r="AA449" s="475"/>
      <c r="AB449" s="475"/>
      <c r="AC449" s="475"/>
      <c r="AD449" s="475"/>
    </row>
    <row r="450" spans="1:30" s="405" customFormat="1" x14ac:dyDescent="0.2">
      <c r="A450" s="539" t="s">
        <v>624</v>
      </c>
      <c r="B450" s="536" t="s">
        <v>625</v>
      </c>
      <c r="C450" s="536"/>
      <c r="D450" s="541"/>
      <c r="E450" s="541"/>
      <c r="F450" s="544" t="s">
        <v>615</v>
      </c>
      <c r="G450" s="544" t="s">
        <v>488</v>
      </c>
      <c r="H450" s="544" t="s">
        <v>489</v>
      </c>
      <c r="I450" s="544" t="s">
        <v>490</v>
      </c>
      <c r="J450" s="544" t="s">
        <v>491</v>
      </c>
      <c r="K450" s="544" t="s">
        <v>492</v>
      </c>
      <c r="L450" s="544" t="s">
        <v>493</v>
      </c>
      <c r="M450" s="544" t="s">
        <v>494</v>
      </c>
      <c r="N450" s="544" t="s">
        <v>495</v>
      </c>
      <c r="O450" s="544" t="s">
        <v>496</v>
      </c>
      <c r="P450" s="544" t="s">
        <v>497</v>
      </c>
      <c r="Q450" s="544" t="s">
        <v>498</v>
      </c>
      <c r="S450" s="544" t="s">
        <v>487</v>
      </c>
      <c r="T450" s="544" t="s">
        <v>488</v>
      </c>
      <c r="U450" s="544" t="s">
        <v>489</v>
      </c>
      <c r="V450" s="544" t="s">
        <v>490</v>
      </c>
      <c r="W450" s="544" t="s">
        <v>491</v>
      </c>
      <c r="X450" s="544" t="s">
        <v>492</v>
      </c>
      <c r="Y450" s="544" t="s">
        <v>493</v>
      </c>
      <c r="Z450" s="544" t="s">
        <v>494</v>
      </c>
      <c r="AA450" s="544" t="s">
        <v>495</v>
      </c>
      <c r="AB450" s="544" t="s">
        <v>496</v>
      </c>
      <c r="AC450" s="544" t="s">
        <v>497</v>
      </c>
      <c r="AD450" s="544" t="s">
        <v>498</v>
      </c>
    </row>
    <row r="451" spans="1:30" s="405" customFormat="1" x14ac:dyDescent="0.2">
      <c r="A451" s="476"/>
      <c r="B451" s="511" t="s">
        <v>622</v>
      </c>
      <c r="C451" s="511"/>
      <c r="D451" s="509"/>
      <c r="E451" s="423"/>
      <c r="F451" s="603"/>
      <c r="G451" s="603"/>
      <c r="H451" s="603"/>
      <c r="I451" s="603"/>
      <c r="J451" s="603"/>
      <c r="K451" s="603"/>
      <c r="L451" s="603"/>
      <c r="M451" s="603"/>
      <c r="N451" s="603"/>
      <c r="O451" s="603"/>
      <c r="P451" s="603"/>
      <c r="Q451" s="603"/>
      <c r="S451" s="603"/>
      <c r="T451" s="605"/>
      <c r="U451" s="605"/>
      <c r="V451" s="605"/>
      <c r="W451" s="605"/>
      <c r="X451" s="605"/>
      <c r="Y451" s="605"/>
      <c r="Z451" s="605"/>
      <c r="AA451" s="605"/>
      <c r="AB451" s="605"/>
      <c r="AC451" s="605"/>
      <c r="AD451" s="605"/>
    </row>
    <row r="452" spans="1:30" s="405" customFormat="1" outlineLevel="1" x14ac:dyDescent="0.2">
      <c r="A452" s="440">
        <v>1</v>
      </c>
      <c r="B452" s="452" t="s">
        <v>503</v>
      </c>
      <c r="C452" s="452" t="s">
        <v>504</v>
      </c>
      <c r="D452" s="427">
        <v>341</v>
      </c>
      <c r="E452" s="423"/>
      <c r="F452" s="573"/>
      <c r="G452" s="573"/>
      <c r="H452" s="573"/>
      <c r="I452" s="573"/>
      <c r="J452" s="573"/>
      <c r="K452" s="573"/>
      <c r="L452" s="573"/>
      <c r="M452" s="573"/>
      <c r="N452" s="573"/>
      <c r="O452" s="573"/>
      <c r="P452" s="573"/>
      <c r="Q452" s="573"/>
      <c r="S452" s="573"/>
      <c r="T452" s="438"/>
      <c r="U452" s="438"/>
      <c r="V452" s="438"/>
      <c r="W452" s="438"/>
      <c r="X452" s="438"/>
      <c r="Y452" s="438"/>
      <c r="Z452" s="438"/>
      <c r="AA452" s="438"/>
      <c r="AB452" s="438"/>
      <c r="AC452" s="438"/>
      <c r="AD452" s="438"/>
    </row>
    <row r="453" spans="1:30" s="586" customFormat="1" x14ac:dyDescent="0.2">
      <c r="A453" s="593">
        <v>2</v>
      </c>
      <c r="B453" s="594" t="s">
        <v>513</v>
      </c>
      <c r="C453" s="594" t="s">
        <v>514</v>
      </c>
      <c r="D453" s="589">
        <v>341</v>
      </c>
      <c r="E453" s="590"/>
      <c r="F453" s="591"/>
      <c r="G453" s="591"/>
      <c r="H453" s="591"/>
      <c r="I453" s="591"/>
      <c r="J453" s="591"/>
      <c r="K453" s="591"/>
      <c r="L453" s="591"/>
      <c r="M453" s="591"/>
      <c r="N453" s="591"/>
      <c r="O453" s="591"/>
      <c r="P453" s="591"/>
      <c r="Q453" s="591"/>
      <c r="S453" s="591"/>
      <c r="T453" s="592"/>
      <c r="U453" s="592"/>
      <c r="V453" s="592"/>
      <c r="W453" s="592"/>
      <c r="X453" s="592"/>
      <c r="Y453" s="592"/>
      <c r="Z453" s="592"/>
      <c r="AA453" s="592"/>
      <c r="AB453" s="592"/>
      <c r="AC453" s="592"/>
      <c r="AD453" s="592"/>
    </row>
    <row r="454" spans="1:30" s="405" customFormat="1" outlineLevel="1" x14ac:dyDescent="0.2">
      <c r="A454" s="440">
        <v>3</v>
      </c>
      <c r="B454" s="506" t="s">
        <v>519</v>
      </c>
      <c r="C454" s="506" t="s">
        <v>520</v>
      </c>
      <c r="D454" s="427">
        <v>341</v>
      </c>
      <c r="E454" s="423"/>
      <c r="F454" s="573"/>
      <c r="G454" s="573"/>
      <c r="H454" s="573"/>
      <c r="I454" s="573"/>
      <c r="J454" s="573"/>
      <c r="K454" s="573"/>
      <c r="L454" s="573"/>
      <c r="M454" s="573"/>
      <c r="N454" s="573"/>
      <c r="O454" s="573"/>
      <c r="P454" s="573"/>
      <c r="Q454" s="573"/>
      <c r="S454" s="573"/>
      <c r="T454" s="438"/>
      <c r="U454" s="438"/>
      <c r="V454" s="438"/>
      <c r="W454" s="438"/>
      <c r="X454" s="438"/>
      <c r="Y454" s="438"/>
      <c r="Z454" s="438"/>
      <c r="AA454" s="438"/>
      <c r="AB454" s="438"/>
      <c r="AC454" s="438"/>
      <c r="AD454" s="438"/>
    </row>
    <row r="455" spans="1:30" s="405" customFormat="1" outlineLevel="1" x14ac:dyDescent="0.2">
      <c r="A455" s="440">
        <v>4</v>
      </c>
      <c r="B455" s="506" t="s">
        <v>522</v>
      </c>
      <c r="C455" s="506" t="s">
        <v>523</v>
      </c>
      <c r="D455" s="427">
        <v>341</v>
      </c>
      <c r="E455" s="423"/>
      <c r="F455" s="573"/>
      <c r="G455" s="573"/>
      <c r="H455" s="573"/>
      <c r="I455" s="573"/>
      <c r="J455" s="573"/>
      <c r="K455" s="573"/>
      <c r="L455" s="573"/>
      <c r="M455" s="573"/>
      <c r="N455" s="573"/>
      <c r="O455" s="573"/>
      <c r="P455" s="573"/>
      <c r="Q455" s="573"/>
      <c r="S455" s="573"/>
      <c r="T455" s="438"/>
      <c r="U455" s="438"/>
      <c r="V455" s="438"/>
      <c r="W455" s="438"/>
      <c r="X455" s="438"/>
      <c r="Y455" s="438"/>
      <c r="Z455" s="438"/>
      <c r="AA455" s="438"/>
      <c r="AB455" s="438"/>
      <c r="AC455" s="438"/>
      <c r="AD455" s="438"/>
    </row>
    <row r="456" spans="1:30" s="405" customFormat="1" outlineLevel="1" x14ac:dyDescent="0.2">
      <c r="A456" s="440">
        <v>5</v>
      </c>
      <c r="B456" s="506" t="s">
        <v>524</v>
      </c>
      <c r="C456" s="506" t="s">
        <v>525</v>
      </c>
      <c r="D456" s="427">
        <v>341</v>
      </c>
      <c r="E456" s="423"/>
      <c r="F456" s="573"/>
      <c r="G456" s="573"/>
      <c r="H456" s="573"/>
      <c r="I456" s="573"/>
      <c r="J456" s="573"/>
      <c r="K456" s="573"/>
      <c r="L456" s="573"/>
      <c r="M456" s="573"/>
      <c r="N456" s="573"/>
      <c r="O456" s="573"/>
      <c r="P456" s="573"/>
      <c r="Q456" s="573"/>
      <c r="S456" s="573"/>
      <c r="T456" s="438"/>
      <c r="U456" s="438"/>
      <c r="V456" s="438"/>
      <c r="W456" s="438"/>
      <c r="X456" s="438"/>
      <c r="Y456" s="438"/>
      <c r="Z456" s="438"/>
      <c r="AA456" s="438"/>
      <c r="AB456" s="438"/>
      <c r="AC456" s="438"/>
      <c r="AD456" s="438"/>
    </row>
    <row r="457" spans="1:30" s="405" customFormat="1" outlineLevel="1" x14ac:dyDescent="0.2">
      <c r="A457" s="440">
        <v>6</v>
      </c>
      <c r="B457" s="506" t="s">
        <v>527</v>
      </c>
      <c r="C457" s="506" t="s">
        <v>528</v>
      </c>
      <c r="D457" s="427">
        <v>341</v>
      </c>
      <c r="E457" s="423"/>
      <c r="F457" s="573"/>
      <c r="G457" s="573"/>
      <c r="H457" s="573"/>
      <c r="I457" s="573"/>
      <c r="J457" s="573"/>
      <c r="K457" s="573"/>
      <c r="L457" s="573"/>
      <c r="M457" s="573"/>
      <c r="N457" s="573"/>
      <c r="O457" s="573"/>
      <c r="P457" s="573"/>
      <c r="Q457" s="573"/>
      <c r="S457" s="573"/>
      <c r="T457" s="438"/>
      <c r="U457" s="438"/>
      <c r="V457" s="438"/>
      <c r="W457" s="438"/>
      <c r="X457" s="438"/>
      <c r="Y457" s="438"/>
      <c r="Z457" s="438"/>
      <c r="AA457" s="438"/>
      <c r="AB457" s="438"/>
      <c r="AC457" s="438"/>
      <c r="AD457" s="438"/>
    </row>
    <row r="458" spans="1:30" s="405" customFormat="1" outlineLevel="1" x14ac:dyDescent="0.2">
      <c r="A458" s="440">
        <v>7</v>
      </c>
      <c r="B458" s="452" t="s">
        <v>531</v>
      </c>
      <c r="C458" s="452" t="s">
        <v>532</v>
      </c>
      <c r="D458" s="427">
        <v>341</v>
      </c>
      <c r="E458" s="423"/>
      <c r="F458" s="573"/>
      <c r="G458" s="573"/>
      <c r="H458" s="573"/>
      <c r="I458" s="573"/>
      <c r="J458" s="573"/>
      <c r="K458" s="573"/>
      <c r="L458" s="573"/>
      <c r="M458" s="573"/>
      <c r="N458" s="573"/>
      <c r="O458" s="573"/>
      <c r="P458" s="573"/>
      <c r="Q458" s="573"/>
      <c r="S458" s="573"/>
      <c r="T458" s="438"/>
      <c r="U458" s="438"/>
      <c r="V458" s="438"/>
      <c r="W458" s="438"/>
      <c r="X458" s="438"/>
      <c r="Y458" s="438"/>
      <c r="Z458" s="438"/>
      <c r="AA458" s="438"/>
      <c r="AB458" s="438"/>
      <c r="AC458" s="438"/>
      <c r="AD458" s="438"/>
    </row>
    <row r="459" spans="1:30" s="405" customFormat="1" outlineLevel="1" x14ac:dyDescent="0.2">
      <c r="A459" s="440">
        <v>8</v>
      </c>
      <c r="B459" s="506" t="s">
        <v>533</v>
      </c>
      <c r="C459" s="506" t="s">
        <v>534</v>
      </c>
      <c r="D459" s="427">
        <v>341</v>
      </c>
      <c r="E459" s="423"/>
      <c r="F459" s="573"/>
      <c r="G459" s="573"/>
      <c r="H459" s="573"/>
      <c r="I459" s="573"/>
      <c r="J459" s="573"/>
      <c r="K459" s="573"/>
      <c r="L459" s="573"/>
      <c r="M459" s="573"/>
      <c r="N459" s="573"/>
      <c r="O459" s="573"/>
      <c r="P459" s="573"/>
      <c r="Q459" s="573"/>
      <c r="S459" s="573"/>
      <c r="T459" s="438"/>
      <c r="U459" s="438"/>
      <c r="V459" s="438"/>
      <c r="W459" s="438"/>
      <c r="X459" s="438"/>
      <c r="Y459" s="438"/>
      <c r="Z459" s="438"/>
      <c r="AA459" s="438"/>
      <c r="AB459" s="438"/>
      <c r="AC459" s="438"/>
      <c r="AD459" s="438"/>
    </row>
    <row r="460" spans="1:30" s="405" customFormat="1" outlineLevel="1" x14ac:dyDescent="0.2">
      <c r="A460" s="440">
        <v>9</v>
      </c>
      <c r="B460" s="506" t="s">
        <v>536</v>
      </c>
      <c r="C460" s="506" t="s">
        <v>537</v>
      </c>
      <c r="D460" s="427">
        <v>341</v>
      </c>
      <c r="E460" s="423"/>
      <c r="F460" s="573"/>
      <c r="G460" s="573"/>
      <c r="H460" s="573"/>
      <c r="I460" s="573"/>
      <c r="J460" s="573"/>
      <c r="K460" s="573"/>
      <c r="L460" s="573"/>
      <c r="M460" s="573"/>
      <c r="N460" s="573"/>
      <c r="O460" s="573"/>
      <c r="P460" s="573"/>
      <c r="Q460" s="573"/>
      <c r="S460" s="573"/>
      <c r="T460" s="438"/>
      <c r="U460" s="438"/>
      <c r="V460" s="438"/>
      <c r="W460" s="438"/>
      <c r="X460" s="438"/>
      <c r="Y460" s="438"/>
      <c r="Z460" s="438"/>
      <c r="AA460" s="438"/>
      <c r="AB460" s="438"/>
      <c r="AC460" s="438"/>
      <c r="AD460" s="438"/>
    </row>
    <row r="461" spans="1:30" s="405" customFormat="1" outlineLevel="1" x14ac:dyDescent="0.2">
      <c r="A461" s="440">
        <v>10</v>
      </c>
      <c r="B461" s="506" t="s">
        <v>538</v>
      </c>
      <c r="C461" s="506" t="s">
        <v>539</v>
      </c>
      <c r="D461" s="427">
        <v>341</v>
      </c>
      <c r="E461" s="423"/>
      <c r="F461" s="573"/>
      <c r="G461" s="573"/>
      <c r="H461" s="573"/>
      <c r="I461" s="573"/>
      <c r="J461" s="573"/>
      <c r="K461" s="573"/>
      <c r="L461" s="573"/>
      <c r="M461" s="573"/>
      <c r="N461" s="573"/>
      <c r="O461" s="573"/>
      <c r="P461" s="573"/>
      <c r="Q461" s="573"/>
      <c r="S461" s="573"/>
      <c r="T461" s="438"/>
      <c r="U461" s="438"/>
      <c r="V461" s="438"/>
      <c r="W461" s="438"/>
      <c r="X461" s="438"/>
      <c r="Y461" s="438"/>
      <c r="Z461" s="438"/>
      <c r="AA461" s="438"/>
      <c r="AB461" s="438"/>
      <c r="AC461" s="438"/>
      <c r="AD461" s="438"/>
    </row>
    <row r="462" spans="1:30" s="405" customFormat="1" outlineLevel="1" x14ac:dyDescent="0.2">
      <c r="A462" s="440">
        <v>11</v>
      </c>
      <c r="B462" s="506" t="s">
        <v>540</v>
      </c>
      <c r="C462" s="506" t="s">
        <v>541</v>
      </c>
      <c r="D462" s="427">
        <v>341</v>
      </c>
      <c r="E462" s="423"/>
      <c r="F462" s="573"/>
      <c r="G462" s="573"/>
      <c r="H462" s="573"/>
      <c r="I462" s="573"/>
      <c r="J462" s="573"/>
      <c r="K462" s="573"/>
      <c r="L462" s="573"/>
      <c r="M462" s="573"/>
      <c r="N462" s="573"/>
      <c r="O462" s="573"/>
      <c r="P462" s="573"/>
      <c r="Q462" s="573"/>
      <c r="S462" s="573"/>
      <c r="T462" s="438"/>
      <c r="U462" s="438"/>
      <c r="V462" s="438"/>
      <c r="W462" s="438"/>
      <c r="X462" s="438"/>
      <c r="Y462" s="438"/>
      <c r="Z462" s="438"/>
      <c r="AA462" s="438"/>
      <c r="AB462" s="438"/>
      <c r="AC462" s="438"/>
      <c r="AD462" s="438"/>
    </row>
    <row r="463" spans="1:30" s="405" customFormat="1" outlineLevel="1" x14ac:dyDescent="0.2">
      <c r="A463" s="440">
        <v>12</v>
      </c>
      <c r="B463" s="506" t="s">
        <v>542</v>
      </c>
      <c r="C463" s="506" t="s">
        <v>543</v>
      </c>
      <c r="D463" s="427">
        <v>341</v>
      </c>
      <c r="E463" s="423"/>
      <c r="F463" s="573"/>
      <c r="G463" s="573"/>
      <c r="H463" s="573"/>
      <c r="I463" s="573"/>
      <c r="J463" s="573"/>
      <c r="K463" s="573"/>
      <c r="L463" s="573"/>
      <c r="M463" s="573"/>
      <c r="N463" s="573"/>
      <c r="O463" s="573"/>
      <c r="P463" s="573"/>
      <c r="Q463" s="573"/>
      <c r="S463" s="573"/>
      <c r="T463" s="438"/>
      <c r="U463" s="438"/>
      <c r="V463" s="438"/>
      <c r="W463" s="438"/>
      <c r="X463" s="438"/>
      <c r="Y463" s="438"/>
      <c r="Z463" s="438"/>
      <c r="AA463" s="438"/>
      <c r="AB463" s="438"/>
      <c r="AC463" s="438"/>
      <c r="AD463" s="438"/>
    </row>
    <row r="464" spans="1:30" s="405" customFormat="1" outlineLevel="1" x14ac:dyDescent="0.2">
      <c r="A464" s="440">
        <v>13</v>
      </c>
      <c r="B464" s="506" t="s">
        <v>544</v>
      </c>
      <c r="C464" s="506" t="s">
        <v>545</v>
      </c>
      <c r="D464" s="427">
        <v>341</v>
      </c>
      <c r="E464" s="423"/>
      <c r="F464" s="573"/>
      <c r="G464" s="573"/>
      <c r="H464" s="573"/>
      <c r="I464" s="573"/>
      <c r="J464" s="573"/>
      <c r="K464" s="573"/>
      <c r="L464" s="573"/>
      <c r="M464" s="573"/>
      <c r="N464" s="573"/>
      <c r="O464" s="573"/>
      <c r="P464" s="573"/>
      <c r="Q464" s="573"/>
      <c r="S464" s="573"/>
      <c r="T464" s="438"/>
      <c r="U464" s="438"/>
      <c r="V464" s="438"/>
      <c r="W464" s="438"/>
      <c r="X464" s="438"/>
      <c r="Y464" s="438"/>
      <c r="Z464" s="438"/>
      <c r="AA464" s="438"/>
      <c r="AB464" s="438"/>
      <c r="AC464" s="438"/>
      <c r="AD464" s="438"/>
    </row>
    <row r="465" spans="1:30" s="405" customFormat="1" outlineLevel="1" x14ac:dyDescent="0.2">
      <c r="A465" s="440">
        <v>14</v>
      </c>
      <c r="B465" s="506" t="s">
        <v>546</v>
      </c>
      <c r="C465" s="506" t="s">
        <v>547</v>
      </c>
      <c r="D465" s="427">
        <v>341</v>
      </c>
      <c r="E465" s="423"/>
      <c r="F465" s="573"/>
      <c r="G465" s="573"/>
      <c r="H465" s="573"/>
      <c r="I465" s="573"/>
      <c r="J465" s="573"/>
      <c r="K465" s="573"/>
      <c r="L465" s="573"/>
      <c r="M465" s="573"/>
      <c r="N465" s="573"/>
      <c r="O465" s="573"/>
      <c r="P465" s="573"/>
      <c r="Q465" s="573"/>
      <c r="S465" s="573"/>
      <c r="T465" s="438"/>
      <c r="U465" s="438"/>
      <c r="V465" s="438"/>
      <c r="W465" s="438"/>
      <c r="X465" s="438"/>
      <c r="Y465" s="438"/>
      <c r="Z465" s="438"/>
      <c r="AA465" s="438"/>
      <c r="AB465" s="438"/>
      <c r="AC465" s="438"/>
      <c r="AD465" s="438"/>
    </row>
    <row r="466" spans="1:30" s="405" customFormat="1" outlineLevel="1" x14ac:dyDescent="0.2">
      <c r="A466" s="440">
        <v>15</v>
      </c>
      <c r="B466" s="506" t="s">
        <v>548</v>
      </c>
      <c r="C466" s="506" t="s">
        <v>549</v>
      </c>
      <c r="D466" s="427">
        <v>341</v>
      </c>
      <c r="E466" s="423"/>
      <c r="F466" s="573"/>
      <c r="G466" s="573"/>
      <c r="H466" s="573"/>
      <c r="I466" s="573"/>
      <c r="J466" s="573"/>
      <c r="K466" s="573"/>
      <c r="L466" s="573"/>
      <c r="M466" s="573"/>
      <c r="N466" s="573"/>
      <c r="O466" s="573"/>
      <c r="P466" s="573"/>
      <c r="Q466" s="573"/>
      <c r="S466" s="573"/>
      <c r="T466" s="438"/>
      <c r="U466" s="438"/>
      <c r="V466" s="438"/>
      <c r="W466" s="438"/>
      <c r="X466" s="438"/>
      <c r="Y466" s="438"/>
      <c r="Z466" s="438"/>
      <c r="AA466" s="438"/>
      <c r="AB466" s="438"/>
      <c r="AC466" s="438"/>
      <c r="AD466" s="438"/>
    </row>
    <row r="467" spans="1:30" s="405" customFormat="1" outlineLevel="1" x14ac:dyDescent="0.2">
      <c r="A467" s="440">
        <v>16</v>
      </c>
      <c r="B467" s="506" t="s">
        <v>550</v>
      </c>
      <c r="C467" s="506" t="s">
        <v>551</v>
      </c>
      <c r="D467" s="427">
        <v>341</v>
      </c>
      <c r="E467" s="423"/>
      <c r="F467" s="573"/>
      <c r="G467" s="573"/>
      <c r="H467" s="573"/>
      <c r="I467" s="573"/>
      <c r="J467" s="573"/>
      <c r="K467" s="573"/>
      <c r="L467" s="573"/>
      <c r="M467" s="573"/>
      <c r="N467" s="573"/>
      <c r="O467" s="573"/>
      <c r="P467" s="573"/>
      <c r="Q467" s="573"/>
      <c r="S467" s="573"/>
      <c r="T467" s="438"/>
      <c r="U467" s="438"/>
      <c r="V467" s="438"/>
      <c r="W467" s="438"/>
      <c r="X467" s="438"/>
      <c r="Y467" s="438"/>
      <c r="Z467" s="438"/>
      <c r="AA467" s="438"/>
      <c r="AB467" s="438"/>
      <c r="AC467" s="438"/>
      <c r="AD467" s="438"/>
    </row>
    <row r="468" spans="1:30" s="405" customFormat="1" outlineLevel="1" x14ac:dyDescent="0.2">
      <c r="A468" s="440">
        <v>17</v>
      </c>
      <c r="B468" s="506" t="s">
        <v>552</v>
      </c>
      <c r="C468" s="506" t="s">
        <v>553</v>
      </c>
      <c r="D468" s="427">
        <v>341</v>
      </c>
      <c r="E468" s="423"/>
      <c r="F468" s="573"/>
      <c r="G468" s="573"/>
      <c r="H468" s="573"/>
      <c r="I468" s="573"/>
      <c r="J468" s="573"/>
      <c r="K468" s="573"/>
      <c r="L468" s="573"/>
      <c r="M468" s="573"/>
      <c r="N468" s="573"/>
      <c r="O468" s="573"/>
      <c r="P468" s="573"/>
      <c r="Q468" s="573"/>
      <c r="S468" s="573"/>
      <c r="T468" s="438"/>
      <c r="U468" s="438"/>
      <c r="V468" s="438"/>
      <c r="W468" s="438"/>
      <c r="X468" s="438"/>
      <c r="Y468" s="438"/>
      <c r="Z468" s="438"/>
      <c r="AA468" s="438"/>
      <c r="AB468" s="438"/>
      <c r="AC468" s="438"/>
      <c r="AD468" s="438"/>
    </row>
    <row r="469" spans="1:30" s="405" customFormat="1" outlineLevel="1" x14ac:dyDescent="0.2">
      <c r="A469" s="440">
        <v>18</v>
      </c>
      <c r="B469" s="506" t="s">
        <v>554</v>
      </c>
      <c r="C469" s="506" t="s">
        <v>555</v>
      </c>
      <c r="D469" s="427">
        <v>341</v>
      </c>
      <c r="E469" s="423"/>
      <c r="F469" s="573"/>
      <c r="G469" s="573"/>
      <c r="H469" s="573"/>
      <c r="I469" s="573"/>
      <c r="J469" s="573"/>
      <c r="K469" s="573"/>
      <c r="L469" s="573"/>
      <c r="M469" s="573"/>
      <c r="N469" s="573"/>
      <c r="O469" s="573"/>
      <c r="P469" s="573"/>
      <c r="Q469" s="573"/>
      <c r="S469" s="573"/>
      <c r="T469" s="438"/>
      <c r="U469" s="438"/>
      <c r="V469" s="438"/>
      <c r="W469" s="438"/>
      <c r="X469" s="438"/>
      <c r="Y469" s="438"/>
      <c r="Z469" s="438"/>
      <c r="AA469" s="438"/>
      <c r="AB469" s="438"/>
      <c r="AC469" s="438"/>
      <c r="AD469" s="438"/>
    </row>
    <row r="470" spans="1:30" s="405" customFormat="1" outlineLevel="1" x14ac:dyDescent="0.2">
      <c r="A470" s="440">
        <v>19</v>
      </c>
      <c r="B470" s="452" t="s">
        <v>556</v>
      </c>
      <c r="C470" s="452" t="s">
        <v>557</v>
      </c>
      <c r="D470" s="427">
        <v>341</v>
      </c>
      <c r="E470" s="423"/>
      <c r="F470" s="573"/>
      <c r="G470" s="573"/>
      <c r="H470" s="573"/>
      <c r="I470" s="573"/>
      <c r="J470" s="573"/>
      <c r="K470" s="573"/>
      <c r="L470" s="573"/>
      <c r="M470" s="573"/>
      <c r="N470" s="573"/>
      <c r="O470" s="573"/>
      <c r="P470" s="573"/>
      <c r="Q470" s="573"/>
      <c r="S470" s="573"/>
      <c r="T470" s="438"/>
      <c r="U470" s="438"/>
      <c r="V470" s="438"/>
      <c r="W470" s="438"/>
      <c r="X470" s="438"/>
      <c r="Y470" s="438"/>
      <c r="Z470" s="438"/>
      <c r="AA470" s="438"/>
      <c r="AB470" s="438"/>
      <c r="AC470" s="438"/>
      <c r="AD470" s="438"/>
    </row>
    <row r="471" spans="1:30" s="405" customFormat="1" outlineLevel="1" x14ac:dyDescent="0.2">
      <c r="A471" s="440">
        <v>20</v>
      </c>
      <c r="B471" s="506" t="s">
        <v>558</v>
      </c>
      <c r="C471" s="506" t="s">
        <v>559</v>
      </c>
      <c r="D471" s="427">
        <v>341</v>
      </c>
      <c r="E471" s="423"/>
      <c r="F471" s="573"/>
      <c r="G471" s="573"/>
      <c r="H471" s="573"/>
      <c r="I471" s="573"/>
      <c r="J471" s="573"/>
      <c r="K471" s="573"/>
      <c r="L471" s="573"/>
      <c r="M471" s="573"/>
      <c r="N471" s="573"/>
      <c r="O471" s="573"/>
      <c r="P471" s="573"/>
      <c r="Q471" s="573"/>
      <c r="S471" s="573"/>
      <c r="T471" s="438"/>
      <c r="U471" s="438"/>
      <c r="V471" s="438"/>
      <c r="W471" s="438"/>
      <c r="X471" s="438"/>
      <c r="Y471" s="438"/>
      <c r="Z471" s="438"/>
      <c r="AA471" s="438"/>
      <c r="AB471" s="438"/>
      <c r="AC471" s="438"/>
      <c r="AD471" s="438"/>
    </row>
    <row r="472" spans="1:30" s="405" customFormat="1" outlineLevel="1" x14ac:dyDescent="0.2">
      <c r="A472" s="440">
        <v>21</v>
      </c>
      <c r="B472" s="506" t="s">
        <v>560</v>
      </c>
      <c r="C472" s="506" t="s">
        <v>561</v>
      </c>
      <c r="D472" s="427">
        <v>341</v>
      </c>
      <c r="E472" s="423"/>
      <c r="F472" s="573"/>
      <c r="G472" s="573"/>
      <c r="H472" s="573"/>
      <c r="I472" s="573"/>
      <c r="J472" s="573"/>
      <c r="K472" s="573"/>
      <c r="L472" s="573"/>
      <c r="M472" s="573"/>
      <c r="N472" s="573"/>
      <c r="O472" s="573"/>
      <c r="P472" s="573"/>
      <c r="Q472" s="573"/>
      <c r="S472" s="573"/>
      <c r="T472" s="438"/>
      <c r="U472" s="438"/>
      <c r="V472" s="438"/>
      <c r="W472" s="438"/>
      <c r="X472" s="438"/>
      <c r="Y472" s="438"/>
      <c r="Z472" s="438"/>
      <c r="AA472" s="438"/>
      <c r="AB472" s="438"/>
      <c r="AC472" s="438"/>
      <c r="AD472" s="438"/>
    </row>
    <row r="473" spans="1:30" s="405" customFormat="1" outlineLevel="1" x14ac:dyDescent="0.2">
      <c r="A473" s="440">
        <v>22</v>
      </c>
      <c r="B473" s="506" t="s">
        <v>562</v>
      </c>
      <c r="C473" s="506" t="s">
        <v>563</v>
      </c>
      <c r="D473" s="427">
        <v>341</v>
      </c>
      <c r="E473" s="423"/>
      <c r="F473" s="573"/>
      <c r="G473" s="573"/>
      <c r="H473" s="573"/>
      <c r="I473" s="573"/>
      <c r="J473" s="573"/>
      <c r="K473" s="573"/>
      <c r="L473" s="573"/>
      <c r="M473" s="573"/>
      <c r="N473" s="573"/>
      <c r="O473" s="573"/>
      <c r="P473" s="573"/>
      <c r="Q473" s="573"/>
      <c r="S473" s="573"/>
      <c r="T473" s="438"/>
      <c r="U473" s="438"/>
      <c r="V473" s="438"/>
      <c r="W473" s="438"/>
      <c r="X473" s="438"/>
      <c r="Y473" s="438"/>
      <c r="Z473" s="438"/>
      <c r="AA473" s="438"/>
      <c r="AB473" s="438"/>
      <c r="AC473" s="438"/>
      <c r="AD473" s="438"/>
    </row>
    <row r="474" spans="1:30" s="405" customFormat="1" x14ac:dyDescent="0.2">
      <c r="A474" s="476"/>
      <c r="B474" s="506"/>
      <c r="C474" s="506"/>
      <c r="D474" s="427"/>
      <c r="E474" s="423"/>
      <c r="F474" s="573"/>
      <c r="G474" s="573"/>
      <c r="H474" s="573"/>
      <c r="I474" s="573"/>
      <c r="J474" s="573"/>
      <c r="K474" s="573"/>
      <c r="L474" s="573"/>
      <c r="M474" s="573"/>
      <c r="N474" s="573"/>
      <c r="O474" s="573"/>
      <c r="P474" s="573"/>
      <c r="Q474" s="573"/>
      <c r="S474" s="573"/>
      <c r="T474" s="438"/>
      <c r="U474" s="438"/>
      <c r="V474" s="438"/>
      <c r="W474" s="438"/>
      <c r="X474" s="438"/>
      <c r="Y474" s="438"/>
      <c r="Z474" s="438"/>
      <c r="AA474" s="438"/>
      <c r="AB474" s="438"/>
      <c r="AC474" s="438"/>
      <c r="AD474" s="438"/>
    </row>
    <row r="475" spans="1:30" s="405" customFormat="1" x14ac:dyDescent="0.2">
      <c r="A475" s="476"/>
      <c r="B475" s="511" t="s">
        <v>623</v>
      </c>
      <c r="C475" s="511"/>
      <c r="D475" s="510"/>
      <c r="E475" s="423"/>
      <c r="F475" s="573"/>
      <c r="G475" s="573"/>
      <c r="H475" s="573"/>
      <c r="I475" s="573"/>
      <c r="J475" s="573"/>
      <c r="K475" s="573"/>
      <c r="L475" s="573"/>
      <c r="M475" s="573"/>
      <c r="N475" s="573"/>
      <c r="O475" s="573"/>
      <c r="P475" s="573"/>
      <c r="Q475" s="573"/>
      <c r="S475" s="573"/>
      <c r="T475" s="438"/>
      <c r="U475" s="438"/>
      <c r="V475" s="438"/>
      <c r="W475" s="438"/>
      <c r="X475" s="438"/>
      <c r="Y475" s="438"/>
      <c r="Z475" s="438"/>
      <c r="AA475" s="438"/>
      <c r="AB475" s="438"/>
      <c r="AC475" s="438"/>
      <c r="AD475" s="438"/>
    </row>
    <row r="476" spans="1:30" s="405" customFormat="1" x14ac:dyDescent="0.2">
      <c r="A476" s="476"/>
      <c r="B476" s="506" t="s">
        <v>587</v>
      </c>
      <c r="C476" s="506"/>
      <c r="D476" s="427">
        <v>341</v>
      </c>
      <c r="E476" s="423"/>
      <c r="F476" s="573">
        <v>32770000000</v>
      </c>
      <c r="G476" s="573">
        <v>32770000000</v>
      </c>
      <c r="H476" s="573">
        <v>32770000000</v>
      </c>
      <c r="I476" s="573">
        <v>32770000000</v>
      </c>
      <c r="J476" s="573">
        <v>32770000000</v>
      </c>
      <c r="K476" s="573">
        <v>32770000000</v>
      </c>
      <c r="L476" s="573">
        <v>32770000000</v>
      </c>
      <c r="M476" s="573">
        <v>32770000000</v>
      </c>
      <c r="N476" s="573">
        <v>32770000000</v>
      </c>
      <c r="O476" s="573">
        <v>32770000000</v>
      </c>
      <c r="P476" s="573">
        <v>32770000000</v>
      </c>
      <c r="Q476" s="573">
        <v>32770000000</v>
      </c>
      <c r="S476" s="573">
        <v>32770000000</v>
      </c>
      <c r="T476" s="573">
        <v>32770000000</v>
      </c>
      <c r="U476" s="573">
        <v>32770000000</v>
      </c>
      <c r="V476" s="573">
        <v>32770000000</v>
      </c>
      <c r="W476" s="573">
        <v>32770000000</v>
      </c>
      <c r="X476" s="438"/>
      <c r="Y476" s="438"/>
      <c r="Z476" s="438"/>
      <c r="AA476" s="438"/>
      <c r="AB476" s="438"/>
      <c r="AC476" s="438"/>
      <c r="AD476" s="438"/>
    </row>
    <row r="477" spans="1:30" s="405" customFormat="1" x14ac:dyDescent="0.2">
      <c r="A477" s="476"/>
      <c r="B477" s="506" t="s">
        <v>626</v>
      </c>
      <c r="C477" s="506"/>
      <c r="D477" s="427">
        <v>341</v>
      </c>
      <c r="E477" s="423"/>
      <c r="F477" s="573"/>
      <c r="G477" s="573"/>
      <c r="H477" s="573"/>
      <c r="I477" s="573"/>
      <c r="J477" s="573"/>
      <c r="K477" s="573"/>
      <c r="L477" s="573"/>
      <c r="M477" s="573"/>
      <c r="N477" s="573"/>
      <c r="O477" s="573"/>
      <c r="P477" s="573"/>
      <c r="Q477" s="573"/>
      <c r="S477" s="573"/>
      <c r="T477" s="438"/>
      <c r="U477" s="438"/>
      <c r="V477" s="438"/>
      <c r="W477" s="438"/>
      <c r="X477" s="438"/>
      <c r="Y477" s="438"/>
      <c r="Z477" s="438"/>
      <c r="AA477" s="438"/>
      <c r="AB477" s="438"/>
      <c r="AC477" s="438"/>
      <c r="AD477" s="438"/>
    </row>
    <row r="478" spans="1:30" s="405" customFormat="1" x14ac:dyDescent="0.2">
      <c r="A478" s="512"/>
      <c r="B478" s="502"/>
      <c r="C478" s="502"/>
      <c r="D478" s="432"/>
      <c r="E478" s="432"/>
      <c r="F478" s="575"/>
      <c r="G478" s="575"/>
      <c r="H478" s="575"/>
      <c r="I478" s="575"/>
      <c r="J478" s="575"/>
      <c r="K478" s="575"/>
      <c r="L478" s="575"/>
      <c r="M478" s="575"/>
      <c r="N478" s="575"/>
      <c r="O478" s="575"/>
      <c r="P478" s="575"/>
      <c r="Q478" s="575"/>
      <c r="S478" s="575"/>
      <c r="T478" s="475"/>
      <c r="U478" s="475"/>
      <c r="V478" s="475"/>
      <c r="W478" s="475"/>
      <c r="X478" s="475"/>
      <c r="Y478" s="475"/>
      <c r="Z478" s="475"/>
      <c r="AA478" s="475"/>
      <c r="AB478" s="475"/>
      <c r="AC478" s="475"/>
      <c r="AD478" s="475"/>
    </row>
    <row r="479" spans="1:30" s="405" customFormat="1" x14ac:dyDescent="0.2">
      <c r="A479" s="539" t="s">
        <v>627</v>
      </c>
      <c r="B479" s="536" t="s">
        <v>628</v>
      </c>
      <c r="C479" s="536"/>
      <c r="D479" s="541"/>
      <c r="E479" s="541"/>
      <c r="F479" s="544" t="s">
        <v>615</v>
      </c>
      <c r="G479" s="544" t="s">
        <v>488</v>
      </c>
      <c r="H479" s="544" t="s">
        <v>489</v>
      </c>
      <c r="I479" s="544" t="s">
        <v>490</v>
      </c>
      <c r="J479" s="544" t="s">
        <v>491</v>
      </c>
      <c r="K479" s="544" t="s">
        <v>492</v>
      </c>
      <c r="L479" s="544" t="s">
        <v>493</v>
      </c>
      <c r="M479" s="544" t="s">
        <v>494</v>
      </c>
      <c r="N479" s="544" t="s">
        <v>495</v>
      </c>
      <c r="O479" s="544" t="s">
        <v>496</v>
      </c>
      <c r="P479" s="544" t="s">
        <v>497</v>
      </c>
      <c r="Q479" s="544" t="s">
        <v>498</v>
      </c>
      <c r="S479" s="534" t="s">
        <v>487</v>
      </c>
      <c r="T479" s="534" t="s">
        <v>488</v>
      </c>
      <c r="U479" s="534" t="s">
        <v>489</v>
      </c>
      <c r="V479" s="534" t="s">
        <v>490</v>
      </c>
      <c r="W479" s="534" t="s">
        <v>491</v>
      </c>
      <c r="X479" s="534" t="s">
        <v>492</v>
      </c>
      <c r="Y479" s="534" t="s">
        <v>493</v>
      </c>
      <c r="Z479" s="534" t="s">
        <v>494</v>
      </c>
      <c r="AA479" s="534" t="s">
        <v>495</v>
      </c>
      <c r="AB479" s="534" t="s">
        <v>496</v>
      </c>
      <c r="AC479" s="534" t="s">
        <v>497</v>
      </c>
      <c r="AD479" s="534" t="s">
        <v>498</v>
      </c>
    </row>
    <row r="480" spans="1:30" s="405" customFormat="1" x14ac:dyDescent="0.2">
      <c r="A480" s="633"/>
      <c r="B480" s="611" t="s">
        <v>587</v>
      </c>
      <c r="C480" s="611"/>
      <c r="D480" s="611" t="s">
        <v>629</v>
      </c>
      <c r="E480" s="611"/>
      <c r="F480" s="616"/>
      <c r="G480" s="616"/>
      <c r="H480" s="616"/>
      <c r="I480" s="616"/>
      <c r="J480" s="616"/>
      <c r="K480" s="616"/>
      <c r="L480" s="616"/>
      <c r="M480" s="616"/>
      <c r="N480" s="616"/>
      <c r="O480" s="616"/>
      <c r="P480" s="616"/>
      <c r="Q480" s="616"/>
      <c r="S480" s="616"/>
      <c r="T480" s="611"/>
      <c r="U480" s="611"/>
      <c r="V480" s="611"/>
      <c r="W480" s="611"/>
      <c r="X480" s="611"/>
      <c r="Y480" s="611"/>
      <c r="Z480" s="611"/>
      <c r="AA480" s="611"/>
      <c r="AB480" s="611"/>
      <c r="AC480" s="611"/>
      <c r="AD480" s="611"/>
    </row>
    <row r="481" spans="1:30" s="405" customFormat="1" x14ac:dyDescent="0.2">
      <c r="A481" s="512"/>
      <c r="B481" s="463"/>
      <c r="C481" s="463"/>
      <c r="D481" s="432"/>
      <c r="E481" s="432"/>
      <c r="F481" s="436"/>
      <c r="G481" s="436"/>
      <c r="H481" s="436"/>
      <c r="I481" s="436"/>
      <c r="J481" s="436"/>
      <c r="K481" s="436"/>
      <c r="L481" s="436"/>
      <c r="M481" s="436"/>
      <c r="N481" s="436"/>
      <c r="O481" s="436"/>
      <c r="P481" s="436"/>
      <c r="Q481" s="436"/>
      <c r="S481" s="436"/>
      <c r="T481" s="432"/>
      <c r="U481" s="432"/>
      <c r="V481" s="432"/>
      <c r="W481" s="432"/>
      <c r="X481" s="432"/>
      <c r="Y481" s="432"/>
      <c r="Z481" s="432"/>
      <c r="AA481" s="432"/>
      <c r="AB481" s="432"/>
      <c r="AC481" s="432"/>
      <c r="AD481" s="432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8232-51E7-49A0-BC00-A5C09107324D}">
  <dimension ref="A1"/>
  <sheetViews>
    <sheetView workbookViewId="0">
      <selection activeCell="M16" sqref="M16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37AB287-8504-46A2-9D4F-FFFB7C074D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6FC7C4-16E0-4066-A629-6E2578AB3A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EB3C0F-051F-4D4F-80DC-C2141CD1F51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Hương, Trần Thị</cp:lastModifiedBy>
  <cp:revision/>
  <dcterms:created xsi:type="dcterms:W3CDTF">2025-10-30T02:54:10Z</dcterms:created>
  <dcterms:modified xsi:type="dcterms:W3CDTF">2026-06-08T02:25:48Z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